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ksay\OneDrive\Desktop\Excel Projects\Sales Dashboard - E-Commerce\"/>
    </mc:Choice>
  </mc:AlternateContent>
  <xr:revisionPtr revIDLastSave="0" documentId="13_ncr:1_{AAFEF25F-B2E4-474F-8E84-AAC9AAA25540}" xr6:coauthVersionLast="47" xr6:coauthVersionMax="47" xr10:uidLastSave="{00000000-0000-0000-0000-000000000000}"/>
  <bookViews>
    <workbookView xWindow="-108" yWindow="-108" windowWidth="23256" windowHeight="12456" xr2:uid="{346724B3-1C49-40AE-AA36-C77CF5D6DD09}"/>
  </bookViews>
  <sheets>
    <sheet name="Dashboard" sheetId="3" r:id="rId1"/>
    <sheet name="Pivot 2" sheetId="6" r:id="rId2"/>
    <sheet name="Pivots" sheetId="5" r:id="rId3"/>
    <sheet name="Data" sheetId="1" r:id="rId4"/>
  </sheets>
  <definedNames>
    <definedName name="_xlchart.v5.0" hidden="1">Pivots!$G$58:$H$58</definedName>
    <definedName name="_xlchart.v5.1" hidden="1">Pivots!$G$59:$H$116</definedName>
    <definedName name="_xlchart.v5.2" hidden="1">Pivots!$I$58</definedName>
    <definedName name="_xlchart.v5.3" hidden="1">Pivots!$I$59:$I$116</definedName>
    <definedName name="_xlchart.v5.4" hidden="1">Pivots!$K$58:$L$58</definedName>
    <definedName name="_xlchart.v5.5" hidden="1">Pivots!$K$59:$L$116</definedName>
    <definedName name="_xlchart.v5.6" hidden="1">Pivots!$M$58</definedName>
    <definedName name="_xlchart.v5.7" hidden="1">Pivots!$M$59:$M$116</definedName>
    <definedName name="_xlcn.WorksheetConnection_ecommerceblank.xlsxorders1" hidden="1">orders[]</definedName>
    <definedName name="Slicer_Gender_Value">#N/A</definedName>
    <definedName name="Slicer_Order_Mod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blank.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0" i="5" l="1"/>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59" i="5"/>
  <c r="L59" i="5"/>
  <c r="K60" i="5"/>
  <c r="L60" i="5"/>
  <c r="K61" i="5"/>
  <c r="L61" i="5"/>
  <c r="K62" i="5"/>
  <c r="L62" i="5"/>
  <c r="K63" i="5"/>
  <c r="L63" i="5"/>
  <c r="K64" i="5"/>
  <c r="L64" i="5"/>
  <c r="K65" i="5"/>
  <c r="L65" i="5"/>
  <c r="K66" i="5"/>
  <c r="L66" i="5"/>
  <c r="K67" i="5"/>
  <c r="L67" i="5"/>
  <c r="K68" i="5"/>
  <c r="L68" i="5"/>
  <c r="K69" i="5"/>
  <c r="L69" i="5"/>
  <c r="K70" i="5"/>
  <c r="L70" i="5"/>
  <c r="K71" i="5"/>
  <c r="L71" i="5"/>
  <c r="K72" i="5"/>
  <c r="L72" i="5"/>
  <c r="K73" i="5"/>
  <c r="L73" i="5"/>
  <c r="K74" i="5"/>
  <c r="L74" i="5"/>
  <c r="K75" i="5"/>
  <c r="L75" i="5"/>
  <c r="K76" i="5"/>
  <c r="L76" i="5"/>
  <c r="K77" i="5"/>
  <c r="L77" i="5"/>
  <c r="K78" i="5"/>
  <c r="L78" i="5"/>
  <c r="K79" i="5"/>
  <c r="L79" i="5"/>
  <c r="K80" i="5"/>
  <c r="L80" i="5"/>
  <c r="K81" i="5"/>
  <c r="L81" i="5"/>
  <c r="K82" i="5"/>
  <c r="L82" i="5"/>
  <c r="K83" i="5"/>
  <c r="L83" i="5"/>
  <c r="K84" i="5"/>
  <c r="L84" i="5"/>
  <c r="K85" i="5"/>
  <c r="L85" i="5"/>
  <c r="K86" i="5"/>
  <c r="L86" i="5"/>
  <c r="K87" i="5"/>
  <c r="L87" i="5"/>
  <c r="K88" i="5"/>
  <c r="L88" i="5"/>
  <c r="K89" i="5"/>
  <c r="L89" i="5"/>
  <c r="K90" i="5"/>
  <c r="L90" i="5"/>
  <c r="K91" i="5"/>
  <c r="L91" i="5"/>
  <c r="K92" i="5"/>
  <c r="L92" i="5"/>
  <c r="K93" i="5"/>
  <c r="L93" i="5"/>
  <c r="K94" i="5"/>
  <c r="L94" i="5"/>
  <c r="K95" i="5"/>
  <c r="L95" i="5"/>
  <c r="K96" i="5"/>
  <c r="L96" i="5"/>
  <c r="K97" i="5"/>
  <c r="L97" i="5"/>
  <c r="K98" i="5"/>
  <c r="L98" i="5"/>
  <c r="K99" i="5"/>
  <c r="L99" i="5"/>
  <c r="K100" i="5"/>
  <c r="L100" i="5"/>
  <c r="K101" i="5"/>
  <c r="L101" i="5"/>
  <c r="K102" i="5"/>
  <c r="L102" i="5"/>
  <c r="K103" i="5"/>
  <c r="L103" i="5"/>
  <c r="K104" i="5"/>
  <c r="L104" i="5"/>
  <c r="K105" i="5"/>
  <c r="L105" i="5"/>
  <c r="K106" i="5"/>
  <c r="L106" i="5"/>
  <c r="K107" i="5"/>
  <c r="L107" i="5"/>
  <c r="K108" i="5"/>
  <c r="L108" i="5"/>
  <c r="K109" i="5"/>
  <c r="L109" i="5"/>
  <c r="K110" i="5"/>
  <c r="L110" i="5"/>
  <c r="K111" i="5"/>
  <c r="L111" i="5"/>
  <c r="K112" i="5"/>
  <c r="L112" i="5"/>
  <c r="K113" i="5"/>
  <c r="L113" i="5"/>
  <c r="K114" i="5"/>
  <c r="L114" i="5"/>
  <c r="K115" i="5"/>
  <c r="L115" i="5"/>
  <c r="K116" i="5"/>
  <c r="L116" i="5"/>
  <c r="K59" i="5"/>
  <c r="G60" i="5"/>
  <c r="H60" i="5"/>
  <c r="I60" i="5"/>
  <c r="G61" i="5"/>
  <c r="H61" i="5"/>
  <c r="I61" i="5"/>
  <c r="G62" i="5"/>
  <c r="H62" i="5"/>
  <c r="I62" i="5"/>
  <c r="G63" i="5"/>
  <c r="H63" i="5"/>
  <c r="I63" i="5"/>
  <c r="G64" i="5"/>
  <c r="H64" i="5"/>
  <c r="I64" i="5"/>
  <c r="G65" i="5"/>
  <c r="H65" i="5"/>
  <c r="I65" i="5"/>
  <c r="G66" i="5"/>
  <c r="H66" i="5"/>
  <c r="I66" i="5"/>
  <c r="G67" i="5"/>
  <c r="H67" i="5"/>
  <c r="I67" i="5"/>
  <c r="G68" i="5"/>
  <c r="H68" i="5"/>
  <c r="I68" i="5"/>
  <c r="G69" i="5"/>
  <c r="H69" i="5"/>
  <c r="I69" i="5"/>
  <c r="G70" i="5"/>
  <c r="H70" i="5"/>
  <c r="I70" i="5"/>
  <c r="G71" i="5"/>
  <c r="H71" i="5"/>
  <c r="I71" i="5"/>
  <c r="G72" i="5"/>
  <c r="H72" i="5"/>
  <c r="I72" i="5"/>
  <c r="G73" i="5"/>
  <c r="H73" i="5"/>
  <c r="I73" i="5"/>
  <c r="G74" i="5"/>
  <c r="H74" i="5"/>
  <c r="I74" i="5"/>
  <c r="G75" i="5"/>
  <c r="H75" i="5"/>
  <c r="I75" i="5"/>
  <c r="G76" i="5"/>
  <c r="H76" i="5"/>
  <c r="I76" i="5"/>
  <c r="G77" i="5"/>
  <c r="H77" i="5"/>
  <c r="I77" i="5"/>
  <c r="G78" i="5"/>
  <c r="H78" i="5"/>
  <c r="I78" i="5"/>
  <c r="G79" i="5"/>
  <c r="H79" i="5"/>
  <c r="I79" i="5"/>
  <c r="G80" i="5"/>
  <c r="H80" i="5"/>
  <c r="I80" i="5"/>
  <c r="G81" i="5"/>
  <c r="H81" i="5"/>
  <c r="I81" i="5"/>
  <c r="G82" i="5"/>
  <c r="H82" i="5"/>
  <c r="I82" i="5"/>
  <c r="G83" i="5"/>
  <c r="H83" i="5"/>
  <c r="I83" i="5"/>
  <c r="G84" i="5"/>
  <c r="H84" i="5"/>
  <c r="I84" i="5"/>
  <c r="G85" i="5"/>
  <c r="H85" i="5"/>
  <c r="I85" i="5"/>
  <c r="G86" i="5"/>
  <c r="H86" i="5"/>
  <c r="I86" i="5"/>
  <c r="G87" i="5"/>
  <c r="H87" i="5"/>
  <c r="I87" i="5"/>
  <c r="G88" i="5"/>
  <c r="H88" i="5"/>
  <c r="I88" i="5"/>
  <c r="G89" i="5"/>
  <c r="H89" i="5"/>
  <c r="I89" i="5"/>
  <c r="G90" i="5"/>
  <c r="H90" i="5"/>
  <c r="I90" i="5"/>
  <c r="G91" i="5"/>
  <c r="H91" i="5"/>
  <c r="I91" i="5"/>
  <c r="G92" i="5"/>
  <c r="H92" i="5"/>
  <c r="I92" i="5"/>
  <c r="G93" i="5"/>
  <c r="H93" i="5"/>
  <c r="I93" i="5"/>
  <c r="G94" i="5"/>
  <c r="H94" i="5"/>
  <c r="I94" i="5"/>
  <c r="G95" i="5"/>
  <c r="H95" i="5"/>
  <c r="I95" i="5"/>
  <c r="G96" i="5"/>
  <c r="H96" i="5"/>
  <c r="I96" i="5"/>
  <c r="G97" i="5"/>
  <c r="H97" i="5"/>
  <c r="I97" i="5"/>
  <c r="G98" i="5"/>
  <c r="H98" i="5"/>
  <c r="I98" i="5"/>
  <c r="G99" i="5"/>
  <c r="H99" i="5"/>
  <c r="I99" i="5"/>
  <c r="G100" i="5"/>
  <c r="H100" i="5"/>
  <c r="I100" i="5"/>
  <c r="G101" i="5"/>
  <c r="H101" i="5"/>
  <c r="I101" i="5"/>
  <c r="G102" i="5"/>
  <c r="H102" i="5"/>
  <c r="I102" i="5"/>
  <c r="G103" i="5"/>
  <c r="H103" i="5"/>
  <c r="I103" i="5"/>
  <c r="G104" i="5"/>
  <c r="H104" i="5"/>
  <c r="I104" i="5"/>
  <c r="G105" i="5"/>
  <c r="H105" i="5"/>
  <c r="I105" i="5"/>
  <c r="G106" i="5"/>
  <c r="H106" i="5"/>
  <c r="I106" i="5"/>
  <c r="G107" i="5"/>
  <c r="H107" i="5"/>
  <c r="I107" i="5"/>
  <c r="G108" i="5"/>
  <c r="H108" i="5"/>
  <c r="I108" i="5"/>
  <c r="G109" i="5"/>
  <c r="H109" i="5"/>
  <c r="I109" i="5"/>
  <c r="G110" i="5"/>
  <c r="H110" i="5"/>
  <c r="I110" i="5"/>
  <c r="G111" i="5"/>
  <c r="H111" i="5"/>
  <c r="I111" i="5"/>
  <c r="G112" i="5"/>
  <c r="H112" i="5"/>
  <c r="I112" i="5"/>
  <c r="G113" i="5"/>
  <c r="H113" i="5"/>
  <c r="I113" i="5"/>
  <c r="G114" i="5"/>
  <c r="H114" i="5"/>
  <c r="I114" i="5"/>
  <c r="G115" i="5"/>
  <c r="H115" i="5"/>
  <c r="I115" i="5"/>
  <c r="G116" i="5"/>
  <c r="H116" i="5"/>
  <c r="I116" i="5"/>
  <c r="H59" i="5"/>
  <c r="I59" i="5"/>
  <c r="G59" i="5"/>
  <c r="M58" i="5"/>
  <c r="L58" i="5"/>
  <c r="K58" i="5"/>
  <c r="H58" i="5"/>
  <c r="I58" i="5"/>
  <c r="G58" i="5"/>
  <c r="P2" i="1" a="1"/>
  <c r="P2" i="1" s="1"/>
  <c r="P3" i="1" a="1"/>
  <c r="P3" i="1"/>
  <c r="P4" i="1" a="1"/>
  <c r="P4" i="1"/>
  <c r="P5" i="1" a="1"/>
  <c r="P5" i="1"/>
  <c r="P6" i="1" a="1"/>
  <c r="P6" i="1"/>
  <c r="P7" i="1" a="1"/>
  <c r="P7" i="1"/>
  <c r="P8" i="1" a="1"/>
  <c r="P8" i="1" s="1"/>
  <c r="P9" i="1" a="1"/>
  <c r="P9" i="1" s="1"/>
  <c r="P10" i="1" a="1"/>
  <c r="P10" i="1"/>
  <c r="P11" i="1" a="1"/>
  <c r="P11" i="1" s="1"/>
  <c r="P12" i="1" a="1"/>
  <c r="P12" i="1"/>
  <c r="P13" i="1" a="1"/>
  <c r="P13" i="1"/>
  <c r="P14" i="1" a="1"/>
  <c r="P14" i="1" s="1"/>
  <c r="P15" i="1" a="1"/>
  <c r="P15" i="1" s="1"/>
  <c r="P16" i="1" a="1"/>
  <c r="P16" i="1"/>
  <c r="P17" i="1" a="1"/>
  <c r="P17" i="1"/>
  <c r="P18" i="1" a="1"/>
  <c r="P18" i="1" s="1"/>
  <c r="P19" i="1" a="1"/>
  <c r="P19" i="1" s="1"/>
  <c r="P20" i="1" a="1"/>
  <c r="P20" i="1" s="1"/>
  <c r="P21" i="1" a="1"/>
  <c r="P21" i="1"/>
  <c r="P22" i="1" a="1"/>
  <c r="P22" i="1" s="1"/>
  <c r="P23" i="1" a="1"/>
  <c r="P23" i="1"/>
  <c r="P24" i="1" a="1"/>
  <c r="P24" i="1"/>
  <c r="P25" i="1" a="1"/>
  <c r="P25" i="1" s="1"/>
  <c r="P26" i="1" a="1"/>
  <c r="P26" i="1" s="1"/>
  <c r="P27" i="1" a="1"/>
  <c r="P27" i="1" s="1"/>
  <c r="P28" i="1" a="1"/>
  <c r="P28" i="1" s="1"/>
  <c r="P29" i="1" a="1"/>
  <c r="P29" i="1"/>
  <c r="P30" i="1" a="1"/>
  <c r="P30" i="1" s="1"/>
  <c r="P31" i="1" a="1"/>
  <c r="P31" i="1"/>
  <c r="P32" i="1" a="1"/>
  <c r="P32" i="1" s="1"/>
  <c r="P33" i="1" a="1"/>
  <c r="P33" i="1"/>
  <c r="P34" i="1" a="1"/>
  <c r="P34" i="1"/>
  <c r="P35" i="1" a="1"/>
  <c r="P35" i="1" s="1"/>
  <c r="P36" i="1" a="1"/>
  <c r="P36" i="1"/>
  <c r="P37" i="1" a="1"/>
  <c r="P37" i="1" s="1"/>
  <c r="P38" i="1" a="1"/>
  <c r="P38" i="1" s="1"/>
  <c r="P39" i="1" a="1"/>
  <c r="P39" i="1"/>
  <c r="P40" i="1" a="1"/>
  <c r="P40" i="1" s="1"/>
  <c r="P41" i="1" a="1"/>
  <c r="P41" i="1" s="1"/>
  <c r="P42" i="1" a="1"/>
  <c r="P42" i="1"/>
  <c r="P43" i="1" a="1"/>
  <c r="P43" i="1" s="1"/>
  <c r="P44" i="1" a="1"/>
  <c r="P44" i="1" s="1"/>
  <c r="P45" i="1" a="1"/>
  <c r="P45" i="1"/>
  <c r="P46" i="1" a="1"/>
  <c r="P46" i="1"/>
  <c r="P47" i="1" a="1"/>
  <c r="P47" i="1" s="1"/>
  <c r="P48" i="1" a="1"/>
  <c r="P48" i="1" s="1"/>
  <c r="P49" i="1" a="1"/>
  <c r="P49" i="1"/>
  <c r="P50" i="1" a="1"/>
  <c r="P50" i="1" s="1"/>
  <c r="P51" i="1" a="1"/>
  <c r="P51" i="1" s="1"/>
  <c r="P52" i="1" a="1"/>
  <c r="P52" i="1"/>
  <c r="P53" i="1" a="1"/>
  <c r="P53" i="1"/>
  <c r="P54" i="1" a="1"/>
  <c r="P54" i="1" s="1"/>
  <c r="P55" i="1" a="1"/>
  <c r="P55" i="1"/>
  <c r="P56" i="1" a="1"/>
  <c r="P56" i="1" s="1"/>
  <c r="P57" i="1" a="1"/>
  <c r="P57" i="1"/>
  <c r="P58" i="1" a="1"/>
  <c r="P58" i="1" s="1"/>
  <c r="P59" i="1" a="1"/>
  <c r="P59" i="1"/>
  <c r="P60" i="1" a="1"/>
  <c r="P60" i="1"/>
  <c r="P61" i="1" a="1"/>
  <c r="P61" i="1" s="1"/>
  <c r="P62" i="1" a="1"/>
  <c r="P62" i="1" s="1"/>
  <c r="P63" i="1" a="1"/>
  <c r="P63" i="1"/>
  <c r="P64" i="1" a="1"/>
  <c r="P64" i="1"/>
  <c r="P65" i="1" a="1"/>
  <c r="P65" i="1" s="1"/>
  <c r="P66" i="1" a="1"/>
  <c r="P66" i="1"/>
  <c r="P67" i="1" a="1"/>
  <c r="P67" i="1" s="1"/>
  <c r="P68" i="1" a="1"/>
  <c r="P68" i="1" s="1"/>
  <c r="P69" i="1" a="1"/>
  <c r="P69" i="1"/>
  <c r="P70" i="1" a="1"/>
  <c r="P70" i="1"/>
  <c r="P71" i="1" a="1"/>
  <c r="P71" i="1"/>
  <c r="P72" i="1" a="1"/>
  <c r="P72" i="1" s="1"/>
  <c r="P73" i="1" a="1"/>
  <c r="P73" i="1" s="1"/>
  <c r="P74" i="1" a="1"/>
  <c r="P74" i="1" s="1"/>
  <c r="P75" i="1" a="1"/>
  <c r="P75" i="1"/>
  <c r="P76" i="1" a="1"/>
  <c r="P76" i="1" s="1"/>
  <c r="P77" i="1" a="1"/>
  <c r="P77" i="1"/>
  <c r="P78" i="1" a="1"/>
  <c r="P78" i="1" s="1"/>
  <c r="P79" i="1" a="1"/>
  <c r="P79" i="1" s="1"/>
  <c r="P80" i="1" a="1"/>
  <c r="P80" i="1" s="1"/>
  <c r="P81" i="1" a="1"/>
  <c r="P81" i="1" s="1"/>
  <c r="P82" i="1" a="1"/>
  <c r="P82" i="1"/>
  <c r="P83" i="1" a="1"/>
  <c r="P83" i="1" s="1"/>
  <c r="P84" i="1" a="1"/>
  <c r="P84" i="1"/>
  <c r="P85" i="1" a="1"/>
  <c r="P85" i="1" s="1"/>
  <c r="P86" i="1" a="1"/>
  <c r="P86" i="1" s="1"/>
  <c r="P87" i="1" a="1"/>
  <c r="P87" i="1" s="1"/>
  <c r="P88" i="1" a="1"/>
  <c r="P88" i="1"/>
  <c r="P89" i="1" a="1"/>
  <c r="P89" i="1"/>
  <c r="P90" i="1" a="1"/>
  <c r="P90" i="1"/>
  <c r="P91" i="1" a="1"/>
  <c r="P91" i="1"/>
  <c r="P92" i="1" a="1"/>
  <c r="P92" i="1" s="1"/>
  <c r="P93" i="1" a="1"/>
  <c r="P93" i="1" s="1"/>
  <c r="P94" i="1" a="1"/>
  <c r="P94" i="1" s="1"/>
  <c r="P95" i="1" a="1"/>
  <c r="P95" i="1"/>
  <c r="P96" i="1" a="1"/>
  <c r="P96" i="1"/>
  <c r="P97" i="1" a="1"/>
  <c r="P97" i="1"/>
  <c r="P98" i="1" a="1"/>
  <c r="P98" i="1" s="1"/>
  <c r="P99" i="1" a="1"/>
  <c r="P99" i="1"/>
  <c r="P100" i="1" a="1"/>
  <c r="P100" i="1" s="1"/>
  <c r="P101" i="1" a="1"/>
  <c r="P101" i="1"/>
  <c r="P102" i="1" a="1"/>
  <c r="P102" i="1"/>
  <c r="P103" i="1" a="1"/>
  <c r="P103" i="1"/>
  <c r="P104" i="1" a="1"/>
  <c r="P104" i="1" s="1"/>
  <c r="P105" i="1" a="1"/>
  <c r="P105" i="1" s="1"/>
  <c r="P106" i="1" a="1"/>
  <c r="P106" i="1"/>
  <c r="P107" i="1" a="1"/>
  <c r="P107" i="1" s="1"/>
  <c r="P108" i="1" a="1"/>
  <c r="P108" i="1"/>
  <c r="P109" i="1" a="1"/>
  <c r="P109" i="1"/>
  <c r="P110" i="1" a="1"/>
  <c r="P110" i="1" s="1"/>
  <c r="P111" i="1" a="1"/>
  <c r="P111" i="1"/>
  <c r="P112" i="1" a="1"/>
  <c r="P112" i="1" s="1"/>
  <c r="P113" i="1" a="1"/>
  <c r="P113" i="1" s="1"/>
  <c r="P114" i="1" a="1"/>
  <c r="P114" i="1"/>
  <c r="P115" i="1" a="1"/>
  <c r="P115" i="1" s="1"/>
  <c r="P116" i="1" a="1"/>
  <c r="P116" i="1" s="1"/>
  <c r="P117" i="1" a="1"/>
  <c r="P117" i="1"/>
  <c r="P118" i="1" a="1"/>
  <c r="P118" i="1" s="1"/>
  <c r="P119" i="1" a="1"/>
  <c r="P119" i="1"/>
  <c r="P120" i="1" a="1"/>
  <c r="P120" i="1" s="1"/>
  <c r="P121" i="1" a="1"/>
  <c r="P121" i="1"/>
  <c r="P122" i="1" a="1"/>
  <c r="P122" i="1" s="1"/>
  <c r="P123" i="1" a="1"/>
  <c r="P123" i="1"/>
  <c r="P124" i="1" a="1"/>
  <c r="P124" i="1"/>
  <c r="P125" i="1" a="1"/>
  <c r="P125" i="1" s="1"/>
  <c r="P126" i="1" a="1"/>
  <c r="P126" i="1" s="1"/>
  <c r="P127" i="1" a="1"/>
  <c r="P127" i="1"/>
  <c r="P128" i="1" a="1"/>
  <c r="P128" i="1" s="1"/>
  <c r="P129" i="1" a="1"/>
  <c r="P129" i="1"/>
  <c r="P130" i="1" a="1"/>
  <c r="P130" i="1"/>
  <c r="P131" i="1" a="1"/>
  <c r="P131" i="1"/>
  <c r="P132" i="1" a="1"/>
  <c r="P132" i="1" s="1"/>
  <c r="P133" i="1" a="1"/>
  <c r="P133" i="1" s="1"/>
  <c r="P134" i="1" a="1"/>
  <c r="P134" i="1" s="1"/>
  <c r="P135" i="1" a="1"/>
  <c r="P135" i="1"/>
  <c r="P136" i="1" a="1"/>
  <c r="P136" i="1"/>
  <c r="P137" i="1" a="1"/>
  <c r="P137" i="1"/>
  <c r="P138" i="1" a="1"/>
  <c r="P138" i="1"/>
  <c r="P139" i="1" a="1"/>
  <c r="P139" i="1" s="1"/>
  <c r="P140" i="1" a="1"/>
  <c r="P140" i="1" s="1"/>
  <c r="P141" i="1" a="1"/>
  <c r="P141" i="1"/>
  <c r="P142" i="1" a="1"/>
  <c r="P142" i="1"/>
  <c r="P143" i="1" a="1"/>
  <c r="P143" i="1"/>
  <c r="P144" i="1" a="1"/>
  <c r="P144" i="1"/>
  <c r="P145" i="1" a="1"/>
  <c r="P145" i="1"/>
  <c r="P146" i="1" a="1"/>
  <c r="P146" i="1" s="1"/>
  <c r="P147" i="1" a="1"/>
  <c r="P147" i="1" s="1"/>
  <c r="P148" i="1" a="1"/>
  <c r="P148" i="1"/>
  <c r="P149" i="1" a="1"/>
  <c r="P149" i="1"/>
  <c r="P150" i="1" a="1"/>
  <c r="P150" i="1"/>
  <c r="P151" i="1" a="1"/>
  <c r="P151" i="1" s="1"/>
  <c r="P152" i="1" a="1"/>
  <c r="P152" i="1" s="1"/>
  <c r="P153" i="1" a="1"/>
  <c r="P153" i="1" s="1"/>
  <c r="P154" i="1" a="1"/>
  <c r="P154" i="1"/>
  <c r="P155" i="1" a="1"/>
  <c r="P155" i="1"/>
  <c r="P156" i="1" a="1"/>
  <c r="P156" i="1" s="1"/>
  <c r="P157" i="1" a="1"/>
  <c r="P157" i="1"/>
  <c r="P158" i="1" a="1"/>
  <c r="P158" i="1" s="1"/>
  <c r="P159" i="1" a="1"/>
  <c r="P159" i="1" s="1"/>
  <c r="P160" i="1" a="1"/>
  <c r="P160" i="1" s="1"/>
  <c r="P161" i="1" a="1"/>
  <c r="P161" i="1" s="1"/>
  <c r="P162" i="1" a="1"/>
  <c r="P162" i="1"/>
  <c r="P163" i="1" a="1"/>
  <c r="P163" i="1"/>
  <c r="P164" i="1" a="1"/>
  <c r="P164" i="1" s="1"/>
  <c r="P165" i="1" a="1"/>
  <c r="P165" i="1"/>
  <c r="P166" i="1" a="1"/>
  <c r="P166" i="1" s="1"/>
  <c r="P167" i="1" a="1"/>
  <c r="P167" i="1"/>
  <c r="P168" i="1" a="1"/>
  <c r="P168" i="1" s="1"/>
  <c r="P169" i="1" a="1"/>
  <c r="P169" i="1"/>
  <c r="P170" i="1" a="1"/>
  <c r="P170" i="1" s="1"/>
  <c r="P171" i="1" a="1"/>
  <c r="P171" i="1" s="1"/>
  <c r="P172" i="1" a="1"/>
  <c r="P172" i="1" s="1"/>
  <c r="P173" i="1" a="1"/>
  <c r="P173" i="1" s="1"/>
  <c r="P174" i="1" a="1"/>
  <c r="P174" i="1" s="1"/>
  <c r="P175" i="1" a="1"/>
  <c r="P175" i="1"/>
  <c r="P176" i="1" a="1"/>
  <c r="P176" i="1" s="1"/>
  <c r="P177" i="1" a="1"/>
  <c r="P177" i="1" s="1"/>
  <c r="P178" i="1" a="1"/>
  <c r="P178" i="1"/>
  <c r="P179" i="1" a="1"/>
  <c r="P179" i="1" s="1"/>
  <c r="P180" i="1" a="1"/>
  <c r="P180" i="1"/>
  <c r="P181" i="1" a="1"/>
  <c r="P181" i="1" s="1"/>
  <c r="P182" i="1" a="1"/>
  <c r="P182" i="1" s="1"/>
  <c r="P183" i="1" a="1"/>
  <c r="P183" i="1"/>
  <c r="P184" i="1" a="1"/>
  <c r="P184" i="1" s="1"/>
  <c r="P185" i="1" a="1"/>
  <c r="P185" i="1" s="1"/>
  <c r="P186" i="1" a="1"/>
  <c r="P186" i="1" s="1"/>
  <c r="P187" i="1" a="1"/>
  <c r="P187" i="1" s="1"/>
  <c r="P188" i="1" a="1"/>
  <c r="P188" i="1" s="1"/>
  <c r="P189" i="1" a="1"/>
  <c r="P189" i="1" s="1"/>
  <c r="P190" i="1" a="1"/>
  <c r="P190" i="1"/>
  <c r="P191" i="1" a="1"/>
  <c r="P191" i="1"/>
  <c r="P192" i="1" a="1"/>
  <c r="P192" i="1" s="1"/>
  <c r="P193" i="1" a="1"/>
  <c r="P193" i="1"/>
  <c r="P194" i="1" a="1"/>
  <c r="P194" i="1" s="1"/>
  <c r="P195" i="1" a="1"/>
  <c r="P195" i="1" s="1"/>
  <c r="P196" i="1" a="1"/>
  <c r="P196" i="1" s="1"/>
  <c r="P197" i="1" a="1"/>
  <c r="P197" i="1"/>
  <c r="P198" i="1" a="1"/>
  <c r="P198" i="1" s="1"/>
  <c r="P199" i="1" a="1"/>
  <c r="P199" i="1" s="1"/>
  <c r="P200" i="1" a="1"/>
  <c r="P200" i="1" s="1"/>
  <c r="P201" i="1" a="1"/>
  <c r="P201" i="1" s="1"/>
  <c r="P202" i="1" a="1"/>
  <c r="P202" i="1"/>
  <c r="P203" i="1" a="1"/>
  <c r="P203" i="1" s="1"/>
  <c r="P204" i="1" a="1"/>
  <c r="P204" i="1"/>
  <c r="P205" i="1" a="1"/>
  <c r="P205" i="1" s="1"/>
  <c r="P206" i="1" a="1"/>
  <c r="P206" i="1" s="1"/>
  <c r="P207" i="1" a="1"/>
  <c r="P207" i="1" s="1"/>
  <c r="P208" i="1" a="1"/>
  <c r="P208" i="1"/>
  <c r="P209" i="1" a="1"/>
  <c r="P209" i="1" s="1"/>
  <c r="P210" i="1" a="1"/>
  <c r="P210" i="1" s="1"/>
  <c r="P211" i="1" a="1"/>
  <c r="P211" i="1" s="1"/>
  <c r="P212" i="1" a="1"/>
  <c r="P212" i="1" s="1"/>
  <c r="P213" i="1" a="1"/>
  <c r="P213" i="1"/>
  <c r="P214" i="1" a="1"/>
  <c r="P214" i="1"/>
  <c r="P215" i="1" a="1"/>
  <c r="P215" i="1" s="1"/>
  <c r="P216" i="1" a="1"/>
  <c r="P216" i="1" s="1"/>
  <c r="P217" i="1" a="1"/>
  <c r="P217" i="1" s="1"/>
  <c r="P218" i="1" a="1"/>
  <c r="P218" i="1" s="1"/>
  <c r="P219" i="1" a="1"/>
  <c r="P219" i="1" s="1"/>
  <c r="P220" i="1" a="1"/>
  <c r="P220" i="1" s="1"/>
  <c r="P221" i="1" a="1"/>
  <c r="P221" i="1"/>
  <c r="P222" i="1" a="1"/>
  <c r="P222" i="1"/>
  <c r="P223" i="1" a="1"/>
  <c r="P223" i="1" s="1"/>
  <c r="P224" i="1" a="1"/>
  <c r="P224" i="1" s="1"/>
  <c r="P225" i="1" a="1"/>
  <c r="P225" i="1" s="1"/>
  <c r="P226" i="1" a="1"/>
  <c r="P226" i="1"/>
  <c r="P227" i="1" a="1"/>
  <c r="P227" i="1" s="1"/>
  <c r="P228" i="1" a="1"/>
  <c r="P228" i="1"/>
  <c r="P229" i="1" a="1"/>
  <c r="P229" i="1"/>
  <c r="P230" i="1" a="1"/>
  <c r="P230" i="1" s="1"/>
  <c r="P231" i="1" a="1"/>
  <c r="P231" i="1" s="1"/>
  <c r="P232" i="1" a="1"/>
  <c r="P232" i="1" s="1"/>
  <c r="P233" i="1" a="1"/>
  <c r="P233" i="1" s="1"/>
  <c r="P234" i="1" a="1"/>
  <c r="P234" i="1"/>
  <c r="P235" i="1" a="1"/>
  <c r="P235" i="1" s="1"/>
  <c r="P236" i="1" a="1"/>
  <c r="P236" i="1" s="1"/>
  <c r="P237" i="1" a="1"/>
  <c r="P237" i="1"/>
  <c r="P238" i="1" a="1"/>
  <c r="P238" i="1" s="1"/>
  <c r="P239" i="1" a="1"/>
  <c r="P239" i="1"/>
  <c r="P240" i="1" a="1"/>
  <c r="P240" i="1" s="1"/>
  <c r="P241" i="1" a="1"/>
  <c r="P241" i="1"/>
  <c r="P242" i="1" a="1"/>
  <c r="P242" i="1" s="1"/>
  <c r="P243" i="1" a="1"/>
  <c r="P243" i="1" s="1"/>
  <c r="P244" i="1" a="1"/>
  <c r="P244" i="1" s="1"/>
  <c r="P245" i="1" a="1"/>
  <c r="P245" i="1" s="1"/>
  <c r="P246" i="1" a="1"/>
  <c r="P246" i="1"/>
  <c r="P247" i="1" a="1"/>
  <c r="P247" i="1" s="1"/>
  <c r="P248" i="1" a="1"/>
  <c r="P248" i="1" s="1"/>
  <c r="P249" i="1" a="1"/>
  <c r="P249" i="1"/>
  <c r="P250" i="1" a="1"/>
  <c r="P250" i="1" s="1"/>
  <c r="P251" i="1" a="1"/>
  <c r="P251" i="1" s="1"/>
  <c r="P252" i="1" a="1"/>
  <c r="P252" i="1"/>
  <c r="P253" i="1" a="1"/>
  <c r="P253" i="1" s="1"/>
  <c r="P254" i="1" a="1"/>
  <c r="P254" i="1" s="1"/>
  <c r="P255" i="1" a="1"/>
  <c r="P255" i="1" s="1"/>
  <c r="P256" i="1" a="1"/>
  <c r="P256" i="1"/>
  <c r="P257" i="1" a="1"/>
  <c r="P257" i="1" s="1"/>
  <c r="P258" i="1" a="1"/>
  <c r="P258" i="1" s="1"/>
  <c r="P259" i="1" a="1"/>
  <c r="P259" i="1" s="1"/>
  <c r="P260" i="1" a="1"/>
  <c r="P260" i="1" s="1"/>
  <c r="P261" i="1" a="1"/>
  <c r="P261" i="1"/>
  <c r="P262" i="1" a="1"/>
  <c r="P262" i="1" s="1"/>
  <c r="P263" i="1" a="1"/>
  <c r="P263" i="1"/>
  <c r="P264" i="1" a="1"/>
  <c r="P264" i="1" s="1"/>
  <c r="P265" i="1" a="1"/>
  <c r="P265" i="1"/>
  <c r="P266" i="1" a="1"/>
  <c r="P266" i="1" s="1"/>
  <c r="P267" i="1" a="1"/>
  <c r="P267" i="1" s="1"/>
  <c r="P268" i="1" a="1"/>
  <c r="P268" i="1"/>
  <c r="P269" i="1" a="1"/>
  <c r="P269" i="1" s="1"/>
  <c r="P270" i="1" a="1"/>
  <c r="P270" i="1" s="1"/>
  <c r="P271" i="1" a="1"/>
  <c r="P271" i="1" s="1"/>
  <c r="P272" i="1" a="1"/>
  <c r="P272" i="1" s="1"/>
  <c r="P273" i="1" a="1"/>
  <c r="P273" i="1"/>
  <c r="P274" i="1" a="1"/>
  <c r="P274" i="1"/>
  <c r="P275" i="1" a="1"/>
  <c r="P275" i="1" s="1"/>
  <c r="P276" i="1" a="1"/>
  <c r="P276" i="1"/>
  <c r="P277" i="1" a="1"/>
  <c r="P277" i="1" s="1"/>
  <c r="P278" i="1" a="1"/>
  <c r="P278" i="1" s="1"/>
  <c r="P279" i="1" a="1"/>
  <c r="P279" i="1"/>
  <c r="P280" i="1" a="1"/>
  <c r="P280" i="1"/>
  <c r="P281" i="1" a="1"/>
  <c r="P281" i="1"/>
  <c r="P282" i="1" a="1"/>
  <c r="P282" i="1" s="1"/>
  <c r="P283" i="1" a="1"/>
  <c r="P283" i="1" s="1"/>
  <c r="P284" i="1" a="1"/>
  <c r="P284" i="1" s="1"/>
  <c r="P285" i="1" a="1"/>
  <c r="P285" i="1"/>
  <c r="P286" i="1" a="1"/>
  <c r="P286" i="1"/>
  <c r="P287" i="1" a="1"/>
  <c r="P287" i="1"/>
  <c r="P288" i="1" a="1"/>
  <c r="P288" i="1"/>
  <c r="P289" i="1" a="1"/>
  <c r="P289" i="1" s="1"/>
  <c r="P290" i="1" a="1"/>
  <c r="P290" i="1" s="1"/>
  <c r="P291" i="1" a="1"/>
  <c r="P291" i="1" s="1"/>
  <c r="P292" i="1" a="1"/>
  <c r="P292" i="1" s="1"/>
  <c r="P293" i="1" a="1"/>
  <c r="P293" i="1"/>
  <c r="P294" i="1" a="1"/>
  <c r="P294" i="1"/>
  <c r="P295" i="1" a="1"/>
  <c r="P295" i="1"/>
  <c r="P296" i="1" a="1"/>
  <c r="P296" i="1" s="1"/>
  <c r="P297" i="1" a="1"/>
  <c r="P297" i="1" s="1"/>
  <c r="P298" i="1" a="1"/>
  <c r="P298" i="1"/>
  <c r="P299" i="1" a="1"/>
  <c r="P299" i="1" s="1"/>
  <c r="P300" i="1" a="1"/>
  <c r="P300" i="1"/>
  <c r="P301" i="1" a="1"/>
  <c r="P301" i="1"/>
  <c r="P302" i="1" a="1"/>
  <c r="P302" i="1" s="1"/>
  <c r="P303" i="1" a="1"/>
  <c r="P303" i="1" s="1"/>
  <c r="P304" i="1" a="1"/>
  <c r="P304" i="1" s="1"/>
  <c r="P305" i="1" a="1"/>
  <c r="P305" i="1"/>
  <c r="P306" i="1" a="1"/>
  <c r="P306" i="1" s="1"/>
  <c r="P307" i="1" a="1"/>
  <c r="P307" i="1"/>
  <c r="P308" i="1" a="1"/>
  <c r="P308" i="1" s="1"/>
  <c r="P309" i="1" a="1"/>
  <c r="P309" i="1"/>
  <c r="P310" i="1" a="1"/>
  <c r="P310" i="1" s="1"/>
  <c r="P311" i="1" a="1"/>
  <c r="P311" i="1"/>
  <c r="P312" i="1" a="1"/>
  <c r="P312" i="1"/>
  <c r="P313" i="1" a="1"/>
  <c r="P313" i="1" s="1"/>
  <c r="P314" i="1" a="1"/>
  <c r="P314" i="1" s="1"/>
  <c r="P315" i="1" a="1"/>
  <c r="P315" i="1"/>
  <c r="P316" i="1" a="1"/>
  <c r="P316" i="1" s="1"/>
  <c r="P317" i="1" a="1"/>
  <c r="P317" i="1" s="1"/>
  <c r="P318" i="1" a="1"/>
  <c r="P318" i="1"/>
  <c r="P319" i="1" a="1"/>
  <c r="P319" i="1"/>
  <c r="P320" i="1" a="1"/>
  <c r="P320" i="1" s="1"/>
  <c r="P321" i="1" a="1"/>
  <c r="P321" i="1" s="1"/>
  <c r="P322" i="1" a="1"/>
  <c r="P322" i="1"/>
  <c r="P323" i="1" a="1"/>
  <c r="P323" i="1" s="1"/>
  <c r="P324" i="1" a="1"/>
  <c r="P324" i="1"/>
  <c r="P325" i="1" a="1"/>
  <c r="P325" i="1"/>
  <c r="P326" i="1" a="1"/>
  <c r="P326" i="1" s="1"/>
  <c r="P327" i="1" a="1"/>
  <c r="P327" i="1"/>
  <c r="P328" i="1" a="1"/>
  <c r="P328" i="1" s="1"/>
  <c r="P329" i="1" a="1"/>
  <c r="P329" i="1" s="1"/>
  <c r="P330" i="1" a="1"/>
  <c r="P330" i="1" s="1"/>
  <c r="P331" i="1" a="1"/>
  <c r="P331" i="1" s="1"/>
  <c r="P332" i="1" a="1"/>
  <c r="P332" i="1" s="1"/>
  <c r="P333" i="1" a="1"/>
  <c r="P333" i="1"/>
  <c r="P334" i="1" a="1"/>
  <c r="P334" i="1"/>
  <c r="P335" i="1" a="1"/>
  <c r="P335" i="1"/>
  <c r="P336" i="1" a="1"/>
  <c r="P336" i="1" s="1"/>
  <c r="P337" i="1" a="1"/>
  <c r="P337" i="1"/>
  <c r="P338" i="1" a="1"/>
  <c r="P338" i="1" s="1"/>
  <c r="P339" i="1" a="1"/>
  <c r="P339" i="1"/>
  <c r="P340" i="1" a="1"/>
  <c r="P340" i="1"/>
  <c r="P341" i="1" a="1"/>
  <c r="P341" i="1"/>
  <c r="P342" i="1" a="1"/>
  <c r="P342" i="1" s="1"/>
  <c r="P343" i="1" a="1"/>
  <c r="P343" i="1" s="1"/>
  <c r="P344" i="1" a="1"/>
  <c r="P344" i="1" s="1"/>
  <c r="P345" i="1" a="1"/>
  <c r="P345" i="1"/>
  <c r="P346" i="1" a="1"/>
  <c r="P346" i="1" s="1"/>
  <c r="P347" i="1" a="1"/>
  <c r="P347" i="1"/>
  <c r="P348" i="1" a="1"/>
  <c r="P348" i="1"/>
  <c r="P349" i="1" a="1"/>
  <c r="P349" i="1" s="1"/>
  <c r="P350" i="1" a="1"/>
  <c r="P350" i="1" s="1"/>
  <c r="P351" i="1" a="1"/>
  <c r="P351" i="1" s="1"/>
  <c r="P352" i="1" a="1"/>
  <c r="P352" i="1"/>
  <c r="P353" i="1" a="1"/>
  <c r="P353" i="1"/>
  <c r="P354" i="1" a="1"/>
  <c r="P354" i="1"/>
  <c r="P355" i="1" a="1"/>
  <c r="P355" i="1" s="1"/>
  <c r="P356" i="1" a="1"/>
  <c r="P356" i="1" s="1"/>
  <c r="P357" i="1" a="1"/>
  <c r="P357" i="1"/>
  <c r="P358" i="1" a="1"/>
  <c r="P358" i="1" s="1"/>
  <c r="P359" i="1" a="1"/>
  <c r="P359" i="1"/>
  <c r="P360" i="1" a="1"/>
  <c r="P360" i="1"/>
  <c r="P361" i="1" a="1"/>
  <c r="P361" i="1" s="1"/>
  <c r="P362" i="1" a="1"/>
  <c r="P362" i="1" s="1"/>
  <c r="P363" i="1" a="1"/>
  <c r="P363" i="1" s="1"/>
  <c r="P364" i="1" a="1"/>
  <c r="P364" i="1"/>
  <c r="P365" i="1" a="1"/>
  <c r="P365" i="1" s="1"/>
  <c r="P366" i="1" a="1"/>
  <c r="P366" i="1"/>
  <c r="P367" i="1" a="1"/>
  <c r="P367" i="1"/>
  <c r="P368" i="1" a="1"/>
  <c r="P368" i="1" s="1"/>
  <c r="P369" i="1" a="1"/>
  <c r="P369" i="1" s="1"/>
  <c r="P370" i="1" a="1"/>
  <c r="P370" i="1"/>
  <c r="P371" i="1" a="1"/>
  <c r="P371" i="1" s="1"/>
  <c r="P372" i="1" a="1"/>
  <c r="P372" i="1" s="1"/>
  <c r="P373" i="1" a="1"/>
  <c r="P373" i="1"/>
  <c r="P374" i="1" a="1"/>
  <c r="P374" i="1" s="1"/>
  <c r="P375" i="1" a="1"/>
  <c r="P375" i="1" s="1"/>
  <c r="P376" i="1" a="1"/>
  <c r="P376" i="1" s="1"/>
  <c r="P377" i="1" a="1"/>
  <c r="P377" i="1"/>
  <c r="P378" i="1" a="1"/>
  <c r="P378" i="1"/>
  <c r="P379" i="1" a="1"/>
  <c r="P379" i="1" s="1"/>
  <c r="P380" i="1" a="1"/>
  <c r="P380" i="1" s="1"/>
  <c r="P381" i="1" a="1"/>
  <c r="P381" i="1"/>
  <c r="P382" i="1" a="1"/>
  <c r="P382" i="1" s="1"/>
  <c r="P383" i="1" a="1"/>
  <c r="P383" i="1"/>
  <c r="P384" i="1" a="1"/>
  <c r="P384" i="1"/>
  <c r="P385" i="1" a="1"/>
  <c r="P385" i="1"/>
  <c r="P386" i="1" a="1"/>
  <c r="P386" i="1" s="1"/>
  <c r="P387" i="1" a="1"/>
  <c r="P387" i="1" s="1"/>
  <c r="P388" i="1" a="1"/>
  <c r="P388" i="1" s="1"/>
  <c r="P389" i="1" a="1"/>
  <c r="P389" i="1" s="1"/>
  <c r="P390" i="1" a="1"/>
  <c r="P390" i="1"/>
  <c r="P391" i="1" a="1"/>
  <c r="P391" i="1" s="1"/>
  <c r="P392" i="1" a="1"/>
  <c r="P392" i="1" s="1"/>
  <c r="P393" i="1" a="1"/>
  <c r="P393" i="1" s="1"/>
  <c r="P394" i="1" a="1"/>
  <c r="P394" i="1"/>
  <c r="P395" i="1" a="1"/>
  <c r="P395" i="1" s="1"/>
  <c r="P396" i="1" a="1"/>
  <c r="P396" i="1"/>
  <c r="P397" i="1" a="1"/>
  <c r="P397" i="1"/>
  <c r="P398" i="1" a="1"/>
  <c r="P398" i="1" s="1"/>
  <c r="P399" i="1" a="1"/>
  <c r="P399" i="1" s="1"/>
  <c r="P400" i="1" a="1"/>
  <c r="P400" i="1" s="1"/>
  <c r="P401" i="1" a="1"/>
  <c r="P401" i="1" s="1"/>
  <c r="P402" i="1" a="1"/>
  <c r="P402" i="1" s="1"/>
  <c r="P403" i="1" a="1"/>
  <c r="P403" i="1"/>
  <c r="P404" i="1" a="1"/>
  <c r="P404" i="1" s="1"/>
  <c r="P405" i="1" a="1"/>
  <c r="P405" i="1"/>
  <c r="P406" i="1" a="1"/>
  <c r="P406" i="1"/>
  <c r="P407" i="1" a="1"/>
  <c r="P407" i="1" s="1"/>
  <c r="P408" i="1" a="1"/>
  <c r="P408" i="1" s="1"/>
  <c r="P409" i="1" a="1"/>
  <c r="P409" i="1"/>
  <c r="P410" i="1" a="1"/>
  <c r="P410" i="1" s="1"/>
  <c r="P411" i="1" a="1"/>
  <c r="P411" i="1"/>
  <c r="P412" i="1" a="1"/>
  <c r="P412" i="1"/>
  <c r="P413" i="1" a="1"/>
  <c r="P413" i="1"/>
  <c r="P414" i="1" a="1"/>
  <c r="P414" i="1" s="1"/>
  <c r="P415" i="1" a="1"/>
  <c r="P415" i="1" s="1"/>
  <c r="P416" i="1" a="1"/>
  <c r="P416" i="1" s="1"/>
  <c r="P417" i="1" a="1"/>
  <c r="P417" i="1"/>
  <c r="P418" i="1" a="1"/>
  <c r="P418" i="1"/>
  <c r="P419" i="1" a="1"/>
  <c r="P419" i="1"/>
  <c r="P420" i="1" a="1"/>
  <c r="P420" i="1"/>
  <c r="P421" i="1" a="1"/>
  <c r="P421" i="1" s="1"/>
  <c r="P422" i="1" a="1"/>
  <c r="P422" i="1" s="1"/>
  <c r="P423" i="1" a="1"/>
  <c r="P423" i="1" s="1"/>
  <c r="P424" i="1" a="1"/>
  <c r="P424" i="1"/>
  <c r="P425" i="1" a="1"/>
  <c r="P425" i="1"/>
  <c r="P426" i="1" a="1"/>
  <c r="P426" i="1"/>
  <c r="P427" i="1" a="1"/>
  <c r="P427" i="1" s="1"/>
  <c r="P428" i="1" a="1"/>
  <c r="P428" i="1" s="1"/>
  <c r="P429" i="1" a="1"/>
  <c r="P429" i="1"/>
  <c r="P430" i="1" a="1"/>
  <c r="P430" i="1" s="1"/>
  <c r="P431" i="1" a="1"/>
  <c r="P431" i="1"/>
  <c r="P432" i="1" a="1"/>
  <c r="P432" i="1"/>
  <c r="P433" i="1" a="1"/>
  <c r="P433" i="1"/>
  <c r="P434" i="1" a="1"/>
  <c r="P434" i="1" s="1"/>
  <c r="P435" i="1" a="1"/>
  <c r="P435" i="1" s="1"/>
  <c r="P436" i="1" a="1"/>
  <c r="P436" i="1"/>
  <c r="P437" i="1" a="1"/>
  <c r="P437" i="1" s="1"/>
  <c r="P438" i="1" a="1"/>
  <c r="P438" i="1"/>
  <c r="P439" i="1" a="1"/>
  <c r="P439" i="1"/>
  <c r="P440" i="1" a="1"/>
  <c r="P440" i="1" s="1"/>
  <c r="P441" i="1" a="1"/>
  <c r="P441" i="1" s="1"/>
  <c r="P442" i="1" a="1"/>
  <c r="P442" i="1"/>
  <c r="P443" i="1" a="1"/>
  <c r="P443" i="1"/>
  <c r="P444" i="1" a="1"/>
  <c r="P444" i="1" s="1"/>
  <c r="P445" i="1" a="1"/>
  <c r="P445" i="1"/>
  <c r="P446" i="1" a="1"/>
  <c r="P446" i="1" s="1"/>
  <c r="P447" i="1" a="1"/>
  <c r="P447" i="1"/>
  <c r="P448" i="1" a="1"/>
  <c r="P448" i="1" s="1"/>
  <c r="P449" i="1" a="1"/>
  <c r="P449" i="1" s="1"/>
  <c r="P450" i="1" a="1"/>
  <c r="P450" i="1"/>
  <c r="P451" i="1" a="1"/>
  <c r="P451" i="1" s="1"/>
  <c r="P452" i="1" a="1"/>
  <c r="P452" i="1" s="1"/>
  <c r="P453" i="1" a="1"/>
  <c r="P453" i="1" s="1"/>
  <c r="P454" i="1" a="1"/>
  <c r="P454" i="1" s="1"/>
  <c r="P455" i="1" a="1"/>
  <c r="P455" i="1"/>
  <c r="P456" i="1" a="1"/>
  <c r="P456" i="1"/>
  <c r="P457" i="1" a="1"/>
  <c r="P457" i="1" s="1"/>
  <c r="P458" i="1" a="1"/>
  <c r="P458" i="1" s="1"/>
  <c r="P459" i="1" a="1"/>
  <c r="P459" i="1" s="1"/>
  <c r="P460" i="1" a="1"/>
  <c r="P460" i="1" s="1"/>
  <c r="P461" i="1" a="1"/>
  <c r="P461" i="1" s="1"/>
  <c r="P462" i="1" a="1"/>
  <c r="P462" i="1"/>
  <c r="P463" i="1" a="1"/>
  <c r="P463" i="1" s="1"/>
  <c r="P464" i="1" a="1"/>
  <c r="P464" i="1" s="1"/>
  <c r="P465" i="1" a="1"/>
  <c r="P465" i="1"/>
  <c r="P466" i="1" a="1"/>
  <c r="P466" i="1" s="1"/>
  <c r="P467" i="1" a="1"/>
  <c r="P467" i="1" s="1"/>
  <c r="P468" i="1" a="1"/>
  <c r="P468" i="1"/>
  <c r="P469" i="1" a="1"/>
  <c r="P469" i="1"/>
  <c r="P470" i="1" a="1"/>
  <c r="P470" i="1" s="1"/>
  <c r="P471" i="1" a="1"/>
  <c r="P471" i="1" s="1"/>
  <c r="P472" i="1" a="1"/>
  <c r="P472" i="1"/>
  <c r="P473" i="1" a="1"/>
  <c r="P473" i="1" s="1"/>
  <c r="P474" i="1" a="1"/>
  <c r="P474" i="1" s="1"/>
  <c r="P475" i="1" a="1"/>
  <c r="P475" i="1"/>
  <c r="P476" i="1" a="1"/>
  <c r="P476" i="1" s="1"/>
  <c r="P477" i="1" a="1"/>
  <c r="P477" i="1"/>
  <c r="P478" i="1" a="1"/>
  <c r="P478" i="1"/>
  <c r="P479" i="1" a="1"/>
  <c r="P479" i="1" s="1"/>
  <c r="P480" i="1" a="1"/>
  <c r="P480" i="1" s="1"/>
  <c r="P481" i="1" a="1"/>
  <c r="P481" i="1"/>
  <c r="P482" i="1" a="1"/>
  <c r="P482" i="1" s="1"/>
  <c r="P483" i="1" a="1"/>
  <c r="P483" i="1"/>
  <c r="P484" i="1" a="1"/>
  <c r="P484" i="1"/>
  <c r="P485" i="1" a="1"/>
  <c r="P485" i="1"/>
  <c r="P486" i="1" a="1"/>
  <c r="P486" i="1" s="1"/>
  <c r="P487" i="1" a="1"/>
  <c r="P487" i="1" s="1"/>
  <c r="P488" i="1" a="1"/>
  <c r="P488" i="1" s="1"/>
  <c r="P489" i="1" a="1"/>
  <c r="P489" i="1" s="1"/>
  <c r="P490" i="1" a="1"/>
  <c r="P490" i="1"/>
  <c r="P491" i="1" a="1"/>
  <c r="P491" i="1"/>
  <c r="P492" i="1" a="1"/>
  <c r="P492" i="1"/>
  <c r="P493" i="1" a="1"/>
  <c r="P493" i="1" s="1"/>
  <c r="P494" i="1" a="1"/>
  <c r="P494" i="1" s="1"/>
  <c r="P495" i="1" a="1"/>
  <c r="P495" i="1" s="1"/>
  <c r="P496" i="1" a="1"/>
  <c r="P496" i="1" s="1"/>
  <c r="P497" i="1" a="1"/>
  <c r="P497" i="1"/>
  <c r="P498" i="1" a="1"/>
  <c r="P498" i="1"/>
  <c r="P499" i="1" a="1"/>
  <c r="P499" i="1"/>
  <c r="P500" i="1" a="1"/>
  <c r="P500" i="1" s="1"/>
  <c r="P501" i="1" a="1"/>
  <c r="P501" i="1"/>
  <c r="P502" i="1" a="1"/>
  <c r="P502" i="1" s="1"/>
  <c r="P503" i="1" a="1"/>
  <c r="P503" i="1"/>
  <c r="P504" i="1" a="1"/>
  <c r="P504" i="1"/>
  <c r="P505" i="1" a="1"/>
  <c r="P505" i="1"/>
  <c r="P506" i="1" a="1"/>
  <c r="P506" i="1" s="1"/>
  <c r="P507" i="1" a="1"/>
  <c r="P507" i="1" s="1"/>
  <c r="P508" i="1" a="1"/>
  <c r="P508" i="1"/>
  <c r="P509" i="1" a="1"/>
  <c r="P509" i="1" s="1"/>
  <c r="P510" i="1" a="1"/>
  <c r="P510" i="1"/>
  <c r="P511" i="1" a="1"/>
  <c r="P511" i="1"/>
  <c r="P512" i="1" a="1"/>
  <c r="P512" i="1"/>
  <c r="P513" i="1" a="1"/>
  <c r="P513" i="1" s="1"/>
  <c r="P514" i="1" a="1"/>
  <c r="P514" i="1"/>
  <c r="P515" i="1" a="1"/>
  <c r="P515" i="1"/>
  <c r="P516" i="1" a="1"/>
  <c r="P516" i="1" s="1"/>
  <c r="P517" i="1" a="1"/>
  <c r="P517" i="1"/>
  <c r="P518" i="1" a="1"/>
  <c r="P518" i="1"/>
  <c r="P519" i="1" a="1"/>
  <c r="P519" i="1" s="1"/>
  <c r="P520" i="1" a="1"/>
  <c r="P520" i="1"/>
  <c r="P521" i="1" a="1"/>
  <c r="P521" i="1"/>
  <c r="P522" i="1" a="1"/>
  <c r="P522" i="1"/>
  <c r="P523" i="1" a="1"/>
  <c r="P523" i="1"/>
  <c r="P524" i="1" a="1"/>
  <c r="P524" i="1"/>
  <c r="P525" i="1" a="1"/>
  <c r="P525" i="1" s="1"/>
  <c r="P526" i="1" a="1"/>
  <c r="P526" i="1"/>
  <c r="P527" i="1" a="1"/>
  <c r="P527" i="1"/>
  <c r="P528" i="1" a="1"/>
  <c r="P528" i="1"/>
  <c r="P529" i="1" a="1"/>
  <c r="P529" i="1" s="1"/>
  <c r="P530" i="1" a="1"/>
  <c r="P530" i="1"/>
  <c r="P531" i="1" a="1"/>
  <c r="P531" i="1" s="1"/>
  <c r="P532" i="1" a="1"/>
  <c r="P532" i="1"/>
  <c r="P533" i="1" a="1"/>
  <c r="P533" i="1"/>
  <c r="P534" i="1" a="1"/>
  <c r="P534" i="1"/>
  <c r="P535" i="1" a="1"/>
  <c r="P535" i="1"/>
  <c r="P536" i="1" a="1"/>
  <c r="P536" i="1"/>
  <c r="P537" i="1" a="1"/>
  <c r="P537" i="1" s="1"/>
  <c r="P538" i="1" a="1"/>
  <c r="P538" i="1"/>
  <c r="P539" i="1" a="1"/>
  <c r="P539" i="1"/>
  <c r="P540" i="1" a="1"/>
  <c r="P540" i="1"/>
  <c r="P541" i="1" a="1"/>
  <c r="P541" i="1"/>
  <c r="P542" i="1" a="1"/>
  <c r="P542" i="1" s="1"/>
  <c r="P543" i="1" a="1"/>
  <c r="P543" i="1" s="1"/>
  <c r="P544" i="1" a="1"/>
  <c r="P544" i="1"/>
  <c r="P545" i="1" a="1"/>
  <c r="P545" i="1"/>
  <c r="P546" i="1" a="1"/>
  <c r="P546" i="1"/>
  <c r="P547" i="1" a="1"/>
  <c r="P547" i="1"/>
  <c r="P548" i="1" a="1"/>
  <c r="P548" i="1"/>
  <c r="P549" i="1" a="1"/>
  <c r="P549" i="1" s="1"/>
  <c r="P550" i="1" a="1"/>
  <c r="P550" i="1"/>
  <c r="P551" i="1" a="1"/>
  <c r="P551" i="1" s="1"/>
  <c r="P552" i="1" a="1"/>
  <c r="P552" i="1"/>
  <c r="P553" i="1" a="1"/>
  <c r="P553" i="1"/>
  <c r="P554" i="1" a="1"/>
  <c r="P554" i="1"/>
  <c r="P555" i="1" a="1"/>
  <c r="P555" i="1" s="1"/>
  <c r="P556" i="1" a="1"/>
  <c r="P556" i="1" s="1"/>
  <c r="P557" i="1" a="1"/>
  <c r="P557" i="1"/>
  <c r="P558" i="1" a="1"/>
  <c r="P558" i="1" s="1"/>
  <c r="P559" i="1" a="1"/>
  <c r="P559" i="1"/>
  <c r="P560" i="1" a="1"/>
  <c r="P560" i="1"/>
  <c r="P561" i="1" a="1"/>
  <c r="P561" i="1" s="1"/>
  <c r="P562" i="1" a="1"/>
  <c r="P562" i="1" s="1"/>
  <c r="P563" i="1" a="1"/>
  <c r="P563" i="1"/>
  <c r="P564" i="1" a="1"/>
  <c r="P564" i="1"/>
  <c r="P565" i="1" a="1"/>
  <c r="P565" i="1" s="1"/>
  <c r="P566" i="1" a="1"/>
  <c r="P566" i="1"/>
  <c r="P567" i="1" a="1"/>
  <c r="P567" i="1" s="1"/>
  <c r="P568" i="1" a="1"/>
  <c r="P568" i="1"/>
  <c r="P569" i="1" a="1"/>
  <c r="P569" i="1" s="1"/>
  <c r="P570" i="1" a="1"/>
  <c r="P570" i="1"/>
  <c r="P571" i="1" a="1"/>
  <c r="P571" i="1"/>
  <c r="P572" i="1" a="1"/>
  <c r="P572" i="1" s="1"/>
  <c r="P573" i="1" a="1"/>
  <c r="P573" i="1" s="1"/>
  <c r="P574" i="1" a="1"/>
  <c r="P574" i="1" s="1"/>
  <c r="P575" i="1" a="1"/>
  <c r="P575" i="1" s="1"/>
  <c r="P576" i="1" a="1"/>
  <c r="P576" i="1"/>
  <c r="P577" i="1" a="1"/>
  <c r="P577" i="1"/>
  <c r="P578" i="1" a="1"/>
  <c r="P578" i="1"/>
  <c r="P579" i="1" a="1"/>
  <c r="P579" i="1" s="1"/>
  <c r="P580" i="1" a="1"/>
  <c r="P580" i="1"/>
  <c r="P581" i="1" a="1"/>
  <c r="P581" i="1" s="1"/>
  <c r="P582" i="1" a="1"/>
  <c r="P582" i="1"/>
  <c r="P583" i="1" a="1"/>
  <c r="P583" i="1"/>
  <c r="P584" i="1" a="1"/>
  <c r="P584" i="1"/>
  <c r="P585" i="1" a="1"/>
  <c r="P585" i="1" s="1"/>
  <c r="P586" i="1" a="1"/>
  <c r="P586" i="1" s="1"/>
  <c r="P587" i="1" a="1"/>
  <c r="P587" i="1"/>
  <c r="P588" i="1" a="1"/>
  <c r="P588" i="1" s="1"/>
  <c r="P589" i="1" a="1"/>
  <c r="P589" i="1"/>
  <c r="P590" i="1" a="1"/>
  <c r="P590" i="1" s="1"/>
  <c r="P591" i="1" a="1"/>
  <c r="P591" i="1" s="1"/>
  <c r="P592" i="1" a="1"/>
  <c r="P592" i="1"/>
  <c r="P593" i="1" a="1"/>
  <c r="P593" i="1" s="1"/>
  <c r="P594" i="1" a="1"/>
  <c r="P594" i="1"/>
  <c r="P595" i="1" a="1"/>
  <c r="P595" i="1"/>
  <c r="P596" i="1" a="1"/>
  <c r="P596" i="1"/>
  <c r="P597" i="1" a="1"/>
  <c r="P597" i="1" s="1"/>
  <c r="P598" i="1" a="1"/>
  <c r="P598" i="1"/>
  <c r="P599" i="1" a="1"/>
  <c r="P599" i="1"/>
  <c r="P600" i="1" a="1"/>
  <c r="P600" i="1"/>
  <c r="P601" i="1" a="1"/>
  <c r="P601" i="1" s="1"/>
  <c r="P602" i="1" a="1"/>
  <c r="P602" i="1"/>
  <c r="P603" i="1" a="1"/>
  <c r="P603" i="1" s="1"/>
  <c r="P604" i="1" a="1"/>
  <c r="P604" i="1"/>
  <c r="P605" i="1" a="1"/>
  <c r="P605" i="1"/>
  <c r="P606" i="1" a="1"/>
  <c r="P606" i="1"/>
  <c r="P607" i="1" a="1"/>
  <c r="P607" i="1"/>
  <c r="P608" i="1" a="1"/>
  <c r="P608" i="1"/>
  <c r="P609" i="1" a="1"/>
  <c r="P609" i="1" s="1"/>
  <c r="P610" i="1" a="1"/>
  <c r="P610" i="1" s="1"/>
  <c r="P611" i="1" a="1"/>
  <c r="P611" i="1" s="1"/>
  <c r="P612" i="1" a="1"/>
  <c r="P612" i="1"/>
  <c r="P613" i="1" a="1"/>
  <c r="P613" i="1" s="1"/>
  <c r="P614" i="1" a="1"/>
  <c r="P614" i="1" s="1"/>
  <c r="P615" i="1" a="1"/>
  <c r="P615" i="1" s="1"/>
  <c r="P616" i="1" a="1"/>
  <c r="P616" i="1"/>
  <c r="P617" i="1" a="1"/>
  <c r="P617" i="1" s="1"/>
  <c r="P618" i="1" a="1"/>
  <c r="P618" i="1"/>
  <c r="P619" i="1" a="1"/>
  <c r="P619" i="1" s="1"/>
  <c r="P620" i="1" a="1"/>
  <c r="P620" i="1" s="1"/>
  <c r="P621" i="1" a="1"/>
  <c r="P621" i="1" s="1"/>
  <c r="P622" i="1" a="1"/>
  <c r="P622" i="1"/>
  <c r="P623" i="1" a="1"/>
  <c r="P623" i="1"/>
  <c r="P624" i="1" a="1"/>
  <c r="P624" i="1" s="1"/>
  <c r="P625" i="1" a="1"/>
  <c r="P625" i="1"/>
  <c r="P626" i="1" a="1"/>
  <c r="P626" i="1"/>
  <c r="P627" i="1" a="1"/>
  <c r="P627" i="1" s="1"/>
  <c r="P628" i="1" a="1"/>
  <c r="P628" i="1"/>
  <c r="P629" i="1" a="1"/>
  <c r="P629" i="1"/>
  <c r="P630" i="1" a="1"/>
  <c r="P630" i="1" s="1"/>
  <c r="P631" i="1" a="1"/>
  <c r="P631" i="1" s="1"/>
  <c r="P632" i="1" a="1"/>
  <c r="P632" i="1"/>
  <c r="P633" i="1" a="1"/>
  <c r="P633" i="1" s="1"/>
  <c r="P634" i="1" a="1"/>
  <c r="P634" i="1" s="1"/>
  <c r="P635" i="1" a="1"/>
  <c r="P635" i="1"/>
  <c r="P636" i="1" a="1"/>
  <c r="P636" i="1"/>
  <c r="P637" i="1" a="1"/>
  <c r="P637" i="1" s="1"/>
  <c r="P638" i="1" a="1"/>
  <c r="P638" i="1" s="1"/>
  <c r="P639" i="1" a="1"/>
  <c r="P639" i="1" s="1"/>
  <c r="P640" i="1" a="1"/>
  <c r="P640" i="1"/>
  <c r="P641" i="1" a="1"/>
  <c r="P641" i="1"/>
  <c r="P642" i="1" a="1"/>
  <c r="P642" i="1"/>
  <c r="P643" i="1" a="1"/>
  <c r="P643" i="1" s="1"/>
  <c r="P644" i="1" a="1"/>
  <c r="P644" i="1" s="1"/>
  <c r="P645" i="1" a="1"/>
  <c r="P645" i="1" s="1"/>
  <c r="P646" i="1" a="1"/>
  <c r="P646" i="1"/>
  <c r="P647" i="1" a="1"/>
  <c r="P647" i="1" s="1"/>
  <c r="P648" i="1" a="1"/>
  <c r="P648" i="1"/>
  <c r="P649" i="1" a="1"/>
  <c r="P649" i="1"/>
  <c r="P650" i="1" a="1"/>
  <c r="P650" i="1" s="1"/>
  <c r="P651" i="1" a="1"/>
  <c r="P651" i="1" s="1"/>
  <c r="P652" i="1" a="1"/>
  <c r="P652" i="1" s="1"/>
  <c r="P653" i="1" a="1"/>
  <c r="P653" i="1"/>
  <c r="P654" i="1" a="1"/>
  <c r="P654" i="1"/>
  <c r="P655" i="1" a="1"/>
  <c r="P655" i="1"/>
  <c r="P656" i="1" a="1"/>
  <c r="P656" i="1"/>
  <c r="P657" i="1" a="1"/>
  <c r="P657" i="1" s="1"/>
  <c r="P658" i="1" a="1"/>
  <c r="P658" i="1" s="1"/>
  <c r="P659" i="1" a="1"/>
  <c r="P659" i="1"/>
  <c r="P660" i="1" a="1"/>
  <c r="P660" i="1" s="1"/>
  <c r="P661" i="1" a="1"/>
  <c r="P661" i="1"/>
  <c r="P662" i="1" a="1"/>
  <c r="P662" i="1"/>
  <c r="P663" i="1" a="1"/>
  <c r="P663" i="1" s="1"/>
  <c r="P664" i="1" a="1"/>
  <c r="P664" i="1"/>
  <c r="P665" i="1" a="1"/>
  <c r="P665" i="1" s="1"/>
  <c r="P666" i="1" a="1"/>
  <c r="P666" i="1"/>
  <c r="P667" i="1" a="1"/>
  <c r="P667" i="1" s="1"/>
  <c r="P668" i="1" a="1"/>
  <c r="P668" i="1"/>
  <c r="P669" i="1" a="1"/>
  <c r="P669" i="1" s="1"/>
  <c r="P670" i="1" a="1"/>
  <c r="P670" i="1"/>
  <c r="P671" i="1" a="1"/>
  <c r="P671" i="1"/>
  <c r="P672" i="1" a="1"/>
  <c r="P672" i="1" s="1"/>
  <c r="P673" i="1" a="1"/>
  <c r="P673" i="1" s="1"/>
  <c r="P674" i="1" a="1"/>
  <c r="P674" i="1"/>
  <c r="P675" i="1" a="1"/>
  <c r="P675" i="1" s="1"/>
  <c r="P676" i="1" a="1"/>
  <c r="P676" i="1"/>
  <c r="P677" i="1" a="1"/>
  <c r="P677" i="1"/>
  <c r="P678" i="1" a="1"/>
  <c r="P678" i="1"/>
  <c r="P679" i="1" a="1"/>
  <c r="P679" i="1" s="1"/>
  <c r="P680" i="1" a="1"/>
  <c r="P680" i="1" s="1"/>
  <c r="P681" i="1" a="1"/>
  <c r="P681" i="1" s="1"/>
  <c r="P682" i="1" a="1"/>
  <c r="P682" i="1" s="1"/>
  <c r="P683" i="1" a="1"/>
  <c r="P683" i="1"/>
  <c r="P684" i="1" a="1"/>
  <c r="P684" i="1"/>
  <c r="P685" i="1" a="1"/>
  <c r="P685" i="1"/>
  <c r="P686" i="1" a="1"/>
  <c r="P686" i="1" s="1"/>
  <c r="P687" i="1" a="1"/>
  <c r="P687" i="1" s="1"/>
  <c r="P688" i="1" a="1"/>
  <c r="P688" i="1"/>
  <c r="P689" i="1" a="1"/>
  <c r="P689" i="1" s="1"/>
  <c r="P690" i="1" a="1"/>
  <c r="P690" i="1"/>
  <c r="P691" i="1" a="1"/>
  <c r="P691" i="1"/>
  <c r="P692" i="1" a="1"/>
  <c r="P692" i="1"/>
  <c r="P693" i="1" a="1"/>
  <c r="P693" i="1" s="1"/>
  <c r="P694" i="1" a="1"/>
  <c r="P694" i="1"/>
  <c r="P695" i="1" a="1"/>
  <c r="P695" i="1" s="1"/>
  <c r="P696" i="1" a="1"/>
  <c r="P696" i="1" s="1"/>
  <c r="P697" i="1" a="1"/>
  <c r="P697" i="1"/>
  <c r="P698" i="1" a="1"/>
  <c r="P698" i="1"/>
  <c r="P699" i="1" a="1"/>
  <c r="P699" i="1" s="1"/>
  <c r="P700" i="1" a="1"/>
  <c r="P700" i="1" s="1"/>
  <c r="P701" i="1" a="1"/>
  <c r="P701" i="1"/>
  <c r="P702" i="1" a="1"/>
  <c r="P702" i="1"/>
  <c r="P703" i="1" a="1"/>
  <c r="P703" i="1" s="1"/>
  <c r="P704" i="1" a="1"/>
  <c r="P704" i="1"/>
  <c r="P705" i="1" a="1"/>
  <c r="P705" i="1" s="1"/>
  <c r="P706" i="1" a="1"/>
  <c r="P706" i="1" s="1"/>
  <c r="P707" i="1" a="1"/>
  <c r="P707" i="1"/>
  <c r="P708" i="1" a="1"/>
  <c r="P708" i="1" s="1"/>
  <c r="P709" i="1" a="1"/>
  <c r="P709" i="1" s="1"/>
  <c r="P710" i="1" a="1"/>
  <c r="P710" i="1" s="1"/>
  <c r="P711" i="1" a="1"/>
  <c r="P711" i="1" s="1"/>
  <c r="P712" i="1" a="1"/>
  <c r="P712" i="1" s="1"/>
  <c r="P713" i="1" a="1"/>
  <c r="P713" i="1" s="1"/>
  <c r="P714" i="1" a="1"/>
  <c r="P714" i="1"/>
  <c r="P715" i="1" a="1"/>
  <c r="P715" i="1"/>
  <c r="P716" i="1" a="1"/>
  <c r="P716" i="1" s="1"/>
  <c r="P717" i="1" a="1"/>
  <c r="P717" i="1" s="1"/>
  <c r="P718" i="1" a="1"/>
  <c r="P718" i="1"/>
  <c r="P719" i="1" a="1"/>
  <c r="P719" i="1" s="1"/>
  <c r="P720" i="1" a="1"/>
  <c r="P720" i="1"/>
  <c r="P721" i="1" a="1"/>
  <c r="P721" i="1"/>
  <c r="P722" i="1" a="1"/>
  <c r="P722" i="1"/>
  <c r="P723" i="1" a="1"/>
  <c r="P723" i="1" s="1"/>
  <c r="P724" i="1" a="1"/>
  <c r="P724" i="1" s="1"/>
  <c r="P725" i="1" a="1"/>
  <c r="P725" i="1"/>
  <c r="P726" i="1" a="1"/>
  <c r="P726" i="1" s="1"/>
  <c r="P727" i="1" a="1"/>
  <c r="P727" i="1"/>
  <c r="P728" i="1" a="1"/>
  <c r="P728" i="1" s="1"/>
  <c r="P729" i="1" a="1"/>
  <c r="P729" i="1" s="1"/>
  <c r="P730" i="1" a="1"/>
  <c r="P730" i="1" s="1"/>
  <c r="P731" i="1" a="1"/>
  <c r="P731" i="1" s="1"/>
  <c r="P732" i="1" a="1"/>
  <c r="P732" i="1" s="1"/>
  <c r="P733" i="1" a="1"/>
  <c r="P733" i="1"/>
  <c r="P734" i="1" a="1"/>
  <c r="P734" i="1"/>
  <c r="P735" i="1" a="1"/>
  <c r="P735" i="1" s="1"/>
  <c r="P736" i="1" a="1"/>
  <c r="P736" i="1" s="1"/>
  <c r="P737" i="1" a="1"/>
  <c r="P737" i="1" s="1"/>
  <c r="P738" i="1" a="1"/>
  <c r="P738" i="1" s="1"/>
  <c r="P739" i="1" a="1"/>
  <c r="P739" i="1" s="1"/>
  <c r="P740" i="1" a="1"/>
  <c r="P740" i="1"/>
  <c r="P741" i="1" a="1"/>
  <c r="P741" i="1" s="1"/>
  <c r="P742" i="1" a="1"/>
  <c r="P742" i="1"/>
  <c r="P743" i="1" a="1"/>
  <c r="P743" i="1"/>
  <c r="P744" i="1" a="1"/>
  <c r="P744" i="1" s="1"/>
  <c r="P745" i="1" a="1"/>
  <c r="P745" i="1" s="1"/>
  <c r="P746" i="1" a="1"/>
  <c r="P746" i="1"/>
  <c r="P747" i="1" a="1"/>
  <c r="P747" i="1" s="1"/>
  <c r="P748" i="1" a="1"/>
  <c r="P748" i="1"/>
  <c r="P749" i="1" a="1"/>
  <c r="P749" i="1"/>
  <c r="P750" i="1" a="1"/>
  <c r="P750" i="1"/>
  <c r="P751" i="1" a="1"/>
  <c r="P751" i="1" s="1"/>
  <c r="P752" i="1" a="1"/>
  <c r="P752" i="1" s="1"/>
  <c r="P753" i="1" a="1"/>
  <c r="P753" i="1" s="1"/>
  <c r="P754" i="1" a="1"/>
  <c r="P754" i="1"/>
  <c r="P755" i="1" a="1"/>
  <c r="P755" i="1"/>
  <c r="P756" i="1" a="1"/>
  <c r="P756" i="1"/>
  <c r="P757" i="1" a="1"/>
  <c r="P757" i="1"/>
  <c r="P758" i="1" a="1"/>
  <c r="P758" i="1" s="1"/>
  <c r="P759" i="1" a="1"/>
  <c r="P759" i="1" s="1"/>
  <c r="P760" i="1" a="1"/>
  <c r="P760" i="1"/>
  <c r="P761" i="1" a="1"/>
  <c r="P761" i="1"/>
  <c r="P762" i="1" a="1"/>
  <c r="P762" i="1"/>
  <c r="P763" i="1" a="1"/>
  <c r="P763" i="1"/>
  <c r="P764" i="1" a="1"/>
  <c r="P764" i="1"/>
  <c r="P765" i="1" a="1"/>
  <c r="P765" i="1" s="1"/>
  <c r="P766" i="1" a="1"/>
  <c r="P766" i="1"/>
  <c r="P767" i="1" a="1"/>
  <c r="P767" i="1" s="1"/>
  <c r="P768" i="1" a="1"/>
  <c r="P768" i="1"/>
  <c r="P769" i="1" a="1"/>
  <c r="P769" i="1"/>
  <c r="P770" i="1" a="1"/>
  <c r="P770" i="1"/>
  <c r="P771" i="1" a="1"/>
  <c r="P771" i="1" s="1"/>
  <c r="P772" i="1" a="1"/>
  <c r="P772" i="1" s="1"/>
  <c r="P773" i="1" a="1"/>
  <c r="P773" i="1"/>
  <c r="P774" i="1" a="1"/>
  <c r="P774" i="1" s="1"/>
  <c r="P775" i="1" a="1"/>
  <c r="P775" i="1"/>
  <c r="P776" i="1" a="1"/>
  <c r="P776" i="1"/>
  <c r="P777" i="1" a="1"/>
  <c r="P777" i="1" s="1"/>
  <c r="P778" i="1" a="1"/>
  <c r="P778" i="1" s="1"/>
  <c r="P779" i="1" a="1"/>
  <c r="P779" i="1"/>
  <c r="P780" i="1" a="1"/>
  <c r="P780" i="1"/>
  <c r="P781" i="1" a="1"/>
  <c r="P781" i="1" s="1"/>
  <c r="P782" i="1" a="1"/>
  <c r="P782" i="1"/>
  <c r="P783" i="1" a="1"/>
  <c r="P783" i="1" s="1"/>
  <c r="P784" i="1" a="1"/>
  <c r="P784" i="1"/>
  <c r="P785" i="1" a="1"/>
  <c r="P785" i="1" s="1"/>
  <c r="P786" i="1" a="1"/>
  <c r="P786" i="1"/>
  <c r="P787" i="1" a="1"/>
  <c r="P787" i="1"/>
  <c r="P788" i="1" a="1"/>
  <c r="P788" i="1" s="1"/>
  <c r="P789" i="1" a="1"/>
  <c r="P789" i="1" s="1"/>
  <c r="P790" i="1" a="1"/>
  <c r="P790" i="1" s="1"/>
  <c r="P791" i="1" a="1"/>
  <c r="P791" i="1" s="1"/>
  <c r="P792" i="1" a="1"/>
  <c r="P792" i="1"/>
  <c r="P793" i="1" a="1"/>
  <c r="P793" i="1"/>
  <c r="P794" i="1" a="1"/>
  <c r="P794" i="1"/>
  <c r="P795" i="1" a="1"/>
  <c r="P795" i="1" s="1"/>
  <c r="P796" i="1" a="1"/>
  <c r="P796" i="1"/>
  <c r="P797" i="1" a="1"/>
  <c r="P797" i="1" s="1"/>
  <c r="P798" i="1" a="1"/>
  <c r="P798" i="1" s="1"/>
  <c r="P799" i="1" a="1"/>
  <c r="P799" i="1"/>
  <c r="P800" i="1" a="1"/>
  <c r="P800" i="1"/>
  <c r="P801" i="1" a="1"/>
  <c r="P801" i="1" s="1"/>
  <c r="P802" i="1" a="1"/>
  <c r="P802" i="1"/>
  <c r="P803" i="1" a="1"/>
  <c r="P803" i="1"/>
  <c r="P804" i="1" a="1"/>
  <c r="P804" i="1" s="1"/>
  <c r="P805" i="1" a="1"/>
  <c r="P805" i="1"/>
  <c r="P806" i="1" a="1"/>
  <c r="P806" i="1" s="1"/>
  <c r="P807" i="1" a="1"/>
  <c r="P807" i="1" s="1"/>
  <c r="P808" i="1" a="1"/>
  <c r="P808" i="1"/>
  <c r="P809" i="1" a="1"/>
  <c r="P809" i="1"/>
  <c r="P810" i="1" a="1"/>
  <c r="P810" i="1"/>
  <c r="P811" i="1" a="1"/>
  <c r="P811" i="1" s="1"/>
  <c r="P812" i="1" a="1"/>
  <c r="P812" i="1"/>
  <c r="P813" i="1" a="1"/>
  <c r="P813" i="1" s="1"/>
  <c r="P814" i="1" a="1"/>
  <c r="P814" i="1"/>
  <c r="P815" i="1" a="1"/>
  <c r="P815" i="1"/>
  <c r="P816" i="1" a="1"/>
  <c r="P816" i="1"/>
  <c r="P817" i="1" a="1"/>
  <c r="P817" i="1" s="1"/>
  <c r="P818" i="1" a="1"/>
  <c r="P818" i="1"/>
  <c r="P819" i="1" a="1"/>
  <c r="P819" i="1" s="1"/>
  <c r="P820" i="1" a="1"/>
  <c r="P820" i="1" s="1"/>
  <c r="P821" i="1" a="1"/>
  <c r="P821" i="1"/>
  <c r="P822" i="1" a="1"/>
  <c r="P822" i="1"/>
  <c r="P823" i="1" a="1"/>
  <c r="P823" i="1"/>
  <c r="P824" i="1" a="1"/>
  <c r="P824" i="1" s="1"/>
  <c r="P825" i="1" a="1"/>
  <c r="P825" i="1" s="1"/>
  <c r="P826" i="1" a="1"/>
  <c r="P826" i="1" s="1"/>
  <c r="P827" i="1" a="1"/>
  <c r="P827" i="1"/>
  <c r="P828" i="1" a="1"/>
  <c r="P828" i="1" s="1"/>
  <c r="P829" i="1" a="1"/>
  <c r="P829" i="1"/>
  <c r="P830" i="1" a="1"/>
  <c r="P830" i="1" s="1"/>
  <c r="P831" i="1" a="1"/>
  <c r="P831" i="1" s="1"/>
  <c r="P832" i="1" a="1"/>
  <c r="P832" i="1"/>
  <c r="P833" i="1" a="1"/>
  <c r="P833" i="1" s="1"/>
  <c r="P834" i="1" a="1"/>
  <c r="P834" i="1"/>
  <c r="P835" i="1" a="1"/>
  <c r="P835" i="1" s="1"/>
  <c r="P836" i="1" a="1"/>
  <c r="P836" i="1"/>
  <c r="P837" i="1" a="1"/>
  <c r="P837" i="1" s="1"/>
  <c r="P838" i="1" a="1"/>
  <c r="P838" i="1"/>
  <c r="P839" i="1" a="1"/>
  <c r="P839" i="1"/>
  <c r="P840" i="1" a="1"/>
  <c r="P840" i="1"/>
  <c r="P841" i="1" a="1"/>
  <c r="P841" i="1"/>
  <c r="P842" i="1" a="1"/>
  <c r="P842" i="1" s="1"/>
  <c r="P843" i="1" a="1"/>
  <c r="P843" i="1" s="1"/>
  <c r="P844" i="1" a="1"/>
  <c r="P844" i="1" s="1"/>
  <c r="P845" i="1" a="1"/>
  <c r="P845" i="1"/>
  <c r="P846" i="1" a="1"/>
  <c r="P846" i="1"/>
  <c r="P847" i="1" a="1"/>
  <c r="P847" i="1"/>
  <c r="P848" i="1" a="1"/>
  <c r="P848" i="1"/>
  <c r="P849" i="1" a="1"/>
  <c r="P849" i="1" s="1"/>
  <c r="P850" i="1" a="1"/>
  <c r="P850" i="1" s="1"/>
  <c r="P851" i="1" a="1"/>
  <c r="P851" i="1"/>
  <c r="P852" i="1" a="1"/>
  <c r="P852" i="1" s="1"/>
  <c r="P853" i="1" a="1"/>
  <c r="P853" i="1"/>
  <c r="P854" i="1" a="1"/>
  <c r="P854" i="1" s="1"/>
  <c r="P855" i="1" a="1"/>
  <c r="P855" i="1" s="1"/>
  <c r="P856" i="1" a="1"/>
  <c r="P856" i="1"/>
  <c r="P857" i="1" a="1"/>
  <c r="P857" i="1" s="1"/>
  <c r="P858" i="1" a="1"/>
  <c r="P858" i="1"/>
  <c r="P859" i="1" a="1"/>
  <c r="P859" i="1" s="1"/>
  <c r="P860" i="1" a="1"/>
  <c r="P860" i="1"/>
  <c r="P861" i="1" a="1"/>
  <c r="P861" i="1" s="1"/>
  <c r="P862" i="1" a="1"/>
  <c r="P862" i="1" s="1"/>
  <c r="P863" i="1" a="1"/>
  <c r="P863" i="1" s="1"/>
  <c r="P864" i="1" a="1"/>
  <c r="P864" i="1"/>
  <c r="P865" i="1" a="1"/>
  <c r="P865" i="1"/>
  <c r="P866" i="1" a="1"/>
  <c r="P866" i="1" s="1"/>
  <c r="P867" i="1" a="1"/>
  <c r="P867" i="1"/>
  <c r="P868" i="1" a="1"/>
  <c r="P868" i="1" s="1"/>
  <c r="P869" i="1" a="1"/>
  <c r="P869" i="1" s="1"/>
  <c r="P870" i="1" a="1"/>
  <c r="P870" i="1"/>
  <c r="P871" i="1" a="1"/>
  <c r="P871" i="1"/>
  <c r="P872" i="1" a="1"/>
  <c r="P872" i="1"/>
  <c r="P873" i="1" a="1"/>
  <c r="P873" i="1"/>
  <c r="P874" i="1" a="1"/>
  <c r="P874" i="1"/>
  <c r="P875" i="1" a="1"/>
  <c r="P875" i="1" s="1"/>
  <c r="P876" i="1" a="1"/>
  <c r="P876" i="1"/>
  <c r="P877" i="1" a="1"/>
  <c r="P877" i="1"/>
  <c r="P878" i="1" a="1"/>
  <c r="P878" i="1"/>
  <c r="P879" i="1" a="1"/>
  <c r="P879" i="1" s="1"/>
  <c r="P880" i="1" a="1"/>
  <c r="P880" i="1"/>
  <c r="P881" i="1" a="1"/>
  <c r="P881" i="1" s="1"/>
  <c r="P882" i="1" a="1"/>
  <c r="P882" i="1"/>
  <c r="P883" i="1" a="1"/>
  <c r="P883" i="1" s="1"/>
  <c r="P884" i="1" a="1"/>
  <c r="P884" i="1"/>
  <c r="P885" i="1" a="1"/>
  <c r="P885" i="1"/>
  <c r="P886" i="1" a="1"/>
  <c r="P886" i="1"/>
  <c r="P887" i="1" a="1"/>
  <c r="P887" i="1" s="1"/>
  <c r="P888" i="1" a="1"/>
  <c r="P888" i="1"/>
  <c r="P889" i="1" a="1"/>
  <c r="P889" i="1" s="1"/>
  <c r="P890" i="1" a="1"/>
  <c r="P890" i="1"/>
  <c r="P891" i="1" a="1"/>
  <c r="P891" i="1"/>
  <c r="P892" i="1" a="1"/>
  <c r="P892" i="1" s="1"/>
  <c r="P893" i="1" a="1"/>
  <c r="P893" i="1" s="1"/>
  <c r="P894" i="1" a="1"/>
  <c r="P894" i="1"/>
  <c r="P895" i="1" a="1"/>
  <c r="P895" i="1" s="1"/>
  <c r="P896" i="1" a="1"/>
  <c r="P896" i="1" s="1"/>
  <c r="P897" i="1" a="1"/>
  <c r="P897" i="1"/>
  <c r="P898" i="1" a="1"/>
  <c r="P898" i="1"/>
  <c r="P899" i="1" a="1"/>
  <c r="P899" i="1" s="1"/>
  <c r="P900" i="1" a="1"/>
  <c r="P900" i="1"/>
  <c r="P901" i="1" a="1"/>
  <c r="P901" i="1"/>
  <c r="P902" i="1" a="1"/>
  <c r="P902" i="1" s="1"/>
  <c r="P903" i="1" a="1"/>
  <c r="P903" i="1" s="1"/>
  <c r="P904" i="1" a="1"/>
  <c r="P904" i="1"/>
  <c r="P905" i="1" a="1"/>
  <c r="P905" i="1" s="1"/>
  <c r="P906" i="1" a="1"/>
  <c r="P906" i="1"/>
  <c r="P907" i="1" a="1"/>
  <c r="P907" i="1"/>
  <c r="P908" i="1" a="1"/>
  <c r="P908" i="1"/>
  <c r="P909" i="1" a="1"/>
  <c r="P909" i="1" s="1"/>
  <c r="P910" i="1" a="1"/>
  <c r="P910" i="1"/>
  <c r="P911" i="1" a="1"/>
  <c r="P911" i="1" s="1"/>
  <c r="P912" i="1" a="1"/>
  <c r="P912" i="1"/>
  <c r="P913" i="1" a="1"/>
  <c r="P913" i="1"/>
  <c r="P914" i="1" a="1"/>
  <c r="P914" i="1"/>
  <c r="P915" i="1" a="1"/>
  <c r="P915" i="1" s="1"/>
  <c r="P916" i="1" a="1"/>
  <c r="P916" i="1" s="1"/>
  <c r="P917" i="1" a="1"/>
  <c r="P917" i="1" s="1"/>
  <c r="P918" i="1" a="1"/>
  <c r="P918" i="1"/>
  <c r="P919" i="1" a="1"/>
  <c r="P919" i="1"/>
  <c r="P920" i="1" a="1"/>
  <c r="P920" i="1"/>
  <c r="P921" i="1" a="1"/>
  <c r="P921" i="1"/>
  <c r="P922" i="1" a="1"/>
  <c r="P922" i="1" s="1"/>
  <c r="P923" i="1" a="1"/>
  <c r="P923" i="1" s="1"/>
  <c r="P924" i="1" a="1"/>
  <c r="P924" i="1"/>
  <c r="P925" i="1" a="1"/>
  <c r="P925" i="1" s="1"/>
  <c r="P926" i="1" a="1"/>
  <c r="P926" i="1"/>
  <c r="P927" i="1" a="1"/>
  <c r="P927" i="1"/>
  <c r="P928" i="1" a="1"/>
  <c r="P928" i="1"/>
  <c r="P929" i="1" a="1"/>
  <c r="P929" i="1" s="1"/>
  <c r="P930" i="1" a="1"/>
  <c r="P930" i="1"/>
  <c r="P931" i="1" a="1"/>
  <c r="P931" i="1"/>
  <c r="P932" i="1" a="1"/>
  <c r="P932" i="1"/>
  <c r="P933" i="1" a="1"/>
  <c r="P933" i="1"/>
  <c r="P934" i="1" a="1"/>
  <c r="P934" i="1"/>
  <c r="P935" i="1" a="1"/>
  <c r="P935" i="1" s="1"/>
  <c r="P936" i="1" a="1"/>
  <c r="P936" i="1"/>
  <c r="P937" i="1" a="1"/>
  <c r="P937" i="1"/>
  <c r="P938" i="1" a="1"/>
  <c r="P938" i="1" s="1"/>
  <c r="P939" i="1" a="1"/>
  <c r="P939" i="1"/>
  <c r="P940" i="1" a="1"/>
  <c r="P940" i="1"/>
  <c r="P941" i="1" a="1"/>
  <c r="P941" i="1" s="1"/>
  <c r="P942" i="1" a="1"/>
  <c r="P942" i="1" s="1"/>
  <c r="P943" i="1" a="1"/>
  <c r="P943" i="1" s="1"/>
  <c r="P944" i="1" a="1"/>
  <c r="P944" i="1" s="1"/>
  <c r="P945" i="1" a="1"/>
  <c r="P945" i="1" s="1"/>
  <c r="P946" i="1" a="1"/>
  <c r="P946" i="1"/>
  <c r="P947" i="1" a="1"/>
  <c r="P947" i="1" s="1"/>
  <c r="P948" i="1" a="1"/>
  <c r="P948" i="1" s="1"/>
  <c r="P949" i="1" a="1"/>
  <c r="P949" i="1" s="1"/>
  <c r="P950" i="1" a="1"/>
  <c r="P950" i="1"/>
  <c r="P951" i="1" a="1"/>
  <c r="P951" i="1" s="1"/>
  <c r="P952" i="1" a="1"/>
  <c r="P952" i="1" s="1"/>
  <c r="P953" i="1" a="1"/>
  <c r="P953" i="1" s="1"/>
  <c r="P954" i="1" a="1"/>
  <c r="P954" i="1" s="1"/>
  <c r="P955" i="1" a="1"/>
  <c r="P955" i="1"/>
  <c r="P956" i="1" a="1"/>
  <c r="P956" i="1"/>
  <c r="P957" i="1" a="1"/>
  <c r="P957" i="1" s="1"/>
  <c r="P958" i="1" a="1"/>
  <c r="P958" i="1" s="1"/>
  <c r="P959" i="1" a="1"/>
  <c r="P959" i="1" s="1"/>
  <c r="P960" i="1" a="1"/>
  <c r="P960" i="1" s="1"/>
  <c r="P961" i="1" a="1"/>
  <c r="P961" i="1"/>
  <c r="P962" i="1" a="1"/>
  <c r="P962" i="1"/>
  <c r="P963" i="1" a="1"/>
  <c r="P963" i="1"/>
  <c r="P964" i="1" a="1"/>
  <c r="P964" i="1" s="1"/>
  <c r="P965" i="1" a="1"/>
  <c r="P965" i="1" s="1"/>
  <c r="P966" i="1" a="1"/>
  <c r="P966" i="1" s="1"/>
  <c r="P967" i="1" a="1"/>
  <c r="P967" i="1" s="1"/>
  <c r="P968" i="1" a="1"/>
  <c r="P968" i="1"/>
  <c r="P969" i="1" a="1"/>
  <c r="P969" i="1"/>
  <c r="P970" i="1" a="1"/>
  <c r="P970" i="1"/>
  <c r="P971" i="1" a="1"/>
  <c r="P971" i="1" s="1"/>
  <c r="P972" i="1" a="1"/>
  <c r="P972" i="1" s="1"/>
  <c r="P973" i="1" a="1"/>
  <c r="P973" i="1" s="1"/>
  <c r="P974" i="1" a="1"/>
  <c r="P974" i="1" s="1"/>
  <c r="P975" i="1" a="1"/>
  <c r="P975" i="1"/>
  <c r="P976" i="1" a="1"/>
  <c r="P976" i="1"/>
  <c r="P977" i="1" a="1"/>
  <c r="P977" i="1" s="1"/>
  <c r="P978" i="1" a="1"/>
  <c r="P978" i="1" s="1"/>
  <c r="P979" i="1" a="1"/>
  <c r="P979" i="1"/>
  <c r="P980" i="1" a="1"/>
  <c r="P980" i="1" s="1"/>
  <c r="P981" i="1" a="1"/>
  <c r="P981" i="1" s="1"/>
  <c r="P982" i="1" a="1"/>
  <c r="P982" i="1"/>
  <c r="P983" i="1" a="1"/>
  <c r="P983" i="1" s="1"/>
  <c r="P984" i="1" a="1"/>
  <c r="P984" i="1" s="1"/>
  <c r="P985" i="1" a="1"/>
  <c r="P985" i="1"/>
  <c r="P986" i="1" a="1"/>
  <c r="P986" i="1"/>
  <c r="P987" i="1" a="1"/>
  <c r="P987" i="1"/>
  <c r="P988" i="1" a="1"/>
  <c r="P988" i="1" s="1"/>
  <c r="P989" i="1" a="1"/>
  <c r="P989" i="1" s="1"/>
  <c r="P990" i="1" a="1"/>
  <c r="P990" i="1" s="1"/>
  <c r="P991" i="1" a="1"/>
  <c r="P991" i="1" s="1"/>
  <c r="P992" i="1" a="1"/>
  <c r="P992" i="1"/>
  <c r="P993" i="1" a="1"/>
  <c r="P993" i="1"/>
  <c r="P994" i="1" a="1"/>
  <c r="P994" i="1"/>
  <c r="P995" i="1" a="1"/>
  <c r="P995" i="1" s="1"/>
  <c r="P996" i="1" a="1"/>
  <c r="P996" i="1" s="1"/>
  <c r="P997" i="1" a="1"/>
  <c r="P997" i="1"/>
  <c r="P998" i="1" a="1"/>
  <c r="P998" i="1" s="1"/>
  <c r="P999" i="1" a="1"/>
  <c r="P999" i="1"/>
  <c r="P1000" i="1" a="1"/>
  <c r="P1000" i="1"/>
  <c r="P1001" i="1" a="1"/>
  <c r="P1001" i="1" s="1"/>
  <c r="P1002" i="1" a="1"/>
  <c r="P1002" i="1" s="1"/>
  <c r="P1003" i="1" a="1"/>
  <c r="P1003" i="1" s="1"/>
  <c r="P1004" i="1" a="1"/>
  <c r="P1004" i="1"/>
  <c r="P1005" i="1" a="1"/>
  <c r="P1005" i="1" s="1"/>
  <c r="P1006" i="1" a="1"/>
  <c r="P1006" i="1"/>
  <c r="P1007" i="1" a="1"/>
  <c r="P1007" i="1" s="1"/>
  <c r="P1008" i="1" a="1"/>
  <c r="P1008" i="1"/>
  <c r="P1009" i="1" a="1"/>
  <c r="P1009" i="1"/>
  <c r="P1010" i="1" a="1"/>
  <c r="P1010" i="1"/>
  <c r="P1011" i="1" a="1"/>
  <c r="P1011" i="1" s="1"/>
  <c r="P1012" i="1" a="1"/>
  <c r="P1012" i="1" s="1"/>
  <c r="P1013" i="1" a="1"/>
  <c r="P1013" i="1" s="1"/>
  <c r="P1014" i="1" a="1"/>
  <c r="P1014" i="1"/>
  <c r="P1015" i="1" a="1"/>
  <c r="P1015" i="1"/>
  <c r="P1016" i="1" a="1"/>
  <c r="P1016" i="1" s="1"/>
  <c r="P1017" i="1" a="1"/>
  <c r="P1017" i="1"/>
  <c r="P1018" i="1" a="1"/>
  <c r="P1018" i="1" s="1"/>
  <c r="P1019" i="1" a="1"/>
  <c r="P1019" i="1" s="1"/>
  <c r="P1020" i="1" a="1"/>
  <c r="P1020" i="1"/>
  <c r="P1021" i="1" a="1"/>
  <c r="P1021" i="1" s="1"/>
  <c r="P1022" i="1" a="1"/>
  <c r="P1022" i="1"/>
  <c r="P1023" i="1" a="1"/>
  <c r="P1023" i="1"/>
  <c r="P1024" i="1" a="1"/>
  <c r="P1024" i="1"/>
  <c r="P1025" i="1" a="1"/>
  <c r="P1025" i="1" s="1"/>
  <c r="P1026" i="1" a="1"/>
  <c r="P1026" i="1" s="1"/>
  <c r="P1027" i="1" a="1"/>
  <c r="P1027" i="1"/>
  <c r="P1028" i="1" a="1"/>
  <c r="P1028" i="1" s="1"/>
  <c r="P1029" i="1" a="1"/>
  <c r="P1029" i="1" s="1"/>
  <c r="P1030" i="1" a="1"/>
  <c r="P1030" i="1"/>
  <c r="P1031" i="1" a="1"/>
  <c r="P1031" i="1" s="1"/>
  <c r="P1032" i="1" a="1"/>
  <c r="P1032" i="1" s="1"/>
  <c r="P1033" i="1" a="1"/>
  <c r="P1033" i="1" s="1"/>
  <c r="P1034" i="1" a="1"/>
  <c r="P1034" i="1"/>
  <c r="P1035" i="1" a="1"/>
  <c r="P1035" i="1"/>
  <c r="P1036" i="1" a="1"/>
  <c r="P1036" i="1"/>
  <c r="P1037" i="1" a="1"/>
  <c r="P1037" i="1" s="1"/>
  <c r="P1038" i="1" a="1"/>
  <c r="P1038" i="1"/>
  <c r="P1039" i="1" a="1"/>
  <c r="P1039" i="1" s="1"/>
  <c r="P1040" i="1" a="1"/>
  <c r="P1040" i="1"/>
  <c r="P1041" i="1" a="1"/>
  <c r="P1041" i="1"/>
  <c r="P1042" i="1" a="1"/>
  <c r="P1042" i="1" s="1"/>
  <c r="P1043" i="1" a="1"/>
  <c r="P1043" i="1" s="1"/>
  <c r="P1044" i="1" a="1"/>
  <c r="P1044" i="1" s="1"/>
  <c r="P1045" i="1" a="1"/>
  <c r="P1045" i="1"/>
  <c r="P1046" i="1" a="1"/>
  <c r="P1046" i="1" s="1"/>
  <c r="P1047" i="1" a="1"/>
  <c r="P1047" i="1"/>
  <c r="P1048" i="1" a="1"/>
  <c r="P1048" i="1"/>
  <c r="P1049" i="1" a="1"/>
  <c r="P1049" i="1" s="1"/>
  <c r="P1050" i="1" a="1"/>
  <c r="P1050" i="1"/>
  <c r="P1051" i="1" a="1"/>
  <c r="P1051" i="1" s="1"/>
  <c r="P1052" i="1" a="1"/>
  <c r="P1052" i="1" s="1"/>
  <c r="P1053" i="1" a="1"/>
  <c r="P1053" i="1" s="1"/>
  <c r="P1054" i="1" a="1"/>
  <c r="P1054" i="1"/>
  <c r="P1055" i="1" a="1"/>
  <c r="P1055" i="1" s="1"/>
  <c r="P1056" i="1" a="1"/>
  <c r="P1056" i="1"/>
  <c r="P1057" i="1" a="1"/>
  <c r="P1057" i="1"/>
  <c r="P1058" i="1" a="1"/>
  <c r="P1058" i="1" s="1"/>
  <c r="P1059" i="1" a="1"/>
  <c r="P1059" i="1" s="1"/>
  <c r="P1060" i="1" a="1"/>
  <c r="P1060" i="1"/>
  <c r="P1061" i="1" a="1"/>
  <c r="P1061" i="1" s="1"/>
  <c r="P1062" i="1" a="1"/>
  <c r="P1062" i="1" s="1"/>
  <c r="P1063" i="1" a="1"/>
  <c r="P1063" i="1"/>
  <c r="P1064" i="1" a="1"/>
  <c r="P1064" i="1"/>
  <c r="P1065" i="1" a="1"/>
  <c r="P1065" i="1"/>
  <c r="P1066" i="1" a="1"/>
  <c r="P1066" i="1" s="1"/>
  <c r="P1067" i="1" a="1"/>
  <c r="P1067" i="1" s="1"/>
  <c r="P1068" i="1" a="1"/>
  <c r="P1068" i="1"/>
  <c r="P1069" i="1" a="1"/>
  <c r="P1069" i="1"/>
  <c r="P1070" i="1" a="1"/>
  <c r="P1070" i="1"/>
  <c r="P1071" i="1" a="1"/>
  <c r="P1071" i="1"/>
  <c r="P1072" i="1" a="1"/>
  <c r="P1072" i="1" s="1"/>
  <c r="P1073" i="1" a="1"/>
  <c r="P1073" i="1" s="1"/>
  <c r="P1074" i="1" a="1"/>
  <c r="P1074" i="1"/>
  <c r="P1075" i="1" a="1"/>
  <c r="P1075" i="1" s="1"/>
  <c r="P1076" i="1" a="1"/>
  <c r="P1076" i="1"/>
  <c r="P1077" i="1" a="1"/>
  <c r="P1077" i="1"/>
  <c r="P1078" i="1" a="1"/>
  <c r="P1078" i="1"/>
  <c r="P1079" i="1" a="1"/>
  <c r="P1079" i="1" s="1"/>
  <c r="P1080" i="1" a="1"/>
  <c r="P1080" i="1" s="1"/>
  <c r="P1081" i="1" a="1"/>
  <c r="P1081" i="1"/>
  <c r="P1082" i="1" a="1"/>
  <c r="P1082" i="1"/>
  <c r="P1083" i="1" a="1"/>
  <c r="P1083" i="1"/>
  <c r="P1084" i="1" a="1"/>
  <c r="P1084" i="1"/>
  <c r="P1085" i="1" a="1"/>
  <c r="P1085" i="1" s="1"/>
  <c r="P1086" i="1" a="1"/>
  <c r="P1086" i="1" s="1"/>
  <c r="P1087" i="1" a="1"/>
  <c r="P1087" i="1" s="1"/>
  <c r="P1088" i="1" a="1"/>
  <c r="P1088" i="1" s="1"/>
  <c r="P1089" i="1" a="1"/>
  <c r="P1089" i="1"/>
  <c r="P1090" i="1" a="1"/>
  <c r="P1090" i="1"/>
  <c r="P1091" i="1" a="1"/>
  <c r="P1091" i="1"/>
  <c r="P1092" i="1" a="1"/>
  <c r="P1092" i="1"/>
  <c r="P1093" i="1" a="1"/>
  <c r="P1093" i="1" s="1"/>
  <c r="P1094" i="1" a="1"/>
  <c r="P1094" i="1" s="1"/>
  <c r="P1095" i="1" a="1"/>
  <c r="P1095" i="1"/>
  <c r="P1096" i="1" a="1"/>
  <c r="P1096" i="1" s="1"/>
  <c r="P1097" i="1" a="1"/>
  <c r="P1097" i="1"/>
  <c r="P1098" i="1" a="1"/>
  <c r="P1098" i="1"/>
  <c r="P1099" i="1" a="1"/>
  <c r="P1099" i="1" s="1"/>
  <c r="P1100" i="1" a="1"/>
  <c r="P1100" i="1" s="1"/>
  <c r="P1101" i="1" a="1"/>
  <c r="P1101" i="1"/>
  <c r="P1102" i="1" a="1"/>
  <c r="P1102" i="1"/>
  <c r="P1103" i="1" a="1"/>
  <c r="P1103" i="1" s="1"/>
  <c r="P1104" i="1" a="1"/>
  <c r="P1104" i="1"/>
  <c r="P1105" i="1" a="1"/>
  <c r="P1105" i="1"/>
  <c r="P1106" i="1" a="1"/>
  <c r="P1106" i="1" s="1"/>
  <c r="P1107" i="1" a="1"/>
  <c r="P1107" i="1"/>
  <c r="P1108" i="1" a="1"/>
  <c r="P1108" i="1"/>
  <c r="P1109" i="1" a="1"/>
  <c r="P1109" i="1"/>
  <c r="P1110" i="1" a="1"/>
  <c r="P1110" i="1" s="1"/>
  <c r="P1111" i="1" a="1"/>
  <c r="P1111" i="1"/>
  <c r="P1112" i="1" a="1"/>
  <c r="P1112" i="1" s="1"/>
  <c r="P1113" i="1" a="1"/>
  <c r="P1113" i="1"/>
  <c r="P1114" i="1" a="1"/>
  <c r="P1114" i="1"/>
  <c r="P1115" i="1" a="1"/>
  <c r="P1115" i="1"/>
  <c r="P1116" i="1" a="1"/>
  <c r="P1116" i="1" s="1"/>
  <c r="P1117" i="1" a="1"/>
  <c r="P1117" i="1"/>
  <c r="P1118" i="1" a="1"/>
  <c r="P1118" i="1" s="1"/>
  <c r="P1119" i="1" a="1"/>
  <c r="P1119" i="1"/>
  <c r="P1120" i="1" a="1"/>
  <c r="P1120" i="1" s="1"/>
  <c r="P1121" i="1" a="1"/>
  <c r="P1121" i="1"/>
  <c r="P1122" i="1" a="1"/>
  <c r="P1122" i="1"/>
  <c r="P1123" i="1" a="1"/>
  <c r="P1123" i="1" s="1"/>
  <c r="P1124" i="1" a="1"/>
  <c r="P1124" i="1" s="1"/>
  <c r="P1125" i="1" a="1"/>
  <c r="P1125" i="1"/>
  <c r="P1126" i="1" a="1"/>
  <c r="P1126" i="1" s="1"/>
  <c r="P1127" i="1" a="1"/>
  <c r="P1127" i="1"/>
  <c r="P1128" i="1" a="1"/>
  <c r="P1128" i="1"/>
  <c r="P1129" i="1" a="1"/>
  <c r="P1129" i="1"/>
  <c r="P1130" i="1" a="1"/>
  <c r="P1130" i="1" s="1"/>
  <c r="P1131" i="1" a="1"/>
  <c r="P1131" i="1"/>
  <c r="P1132" i="1" a="1"/>
  <c r="P1132" i="1" s="1"/>
  <c r="P1133" i="1" a="1"/>
  <c r="P1133" i="1" s="1"/>
  <c r="P1134" i="1" a="1"/>
  <c r="P1134" i="1"/>
  <c r="P1135" i="1" a="1"/>
  <c r="P1135" i="1"/>
  <c r="P1136" i="1" a="1"/>
  <c r="P1136" i="1" s="1"/>
  <c r="P1137" i="1" a="1"/>
  <c r="P1137" i="1"/>
  <c r="P1138" i="1" a="1"/>
  <c r="P1138" i="1" s="1"/>
  <c r="P1139" i="1" a="1"/>
  <c r="P1139" i="1" s="1"/>
  <c r="P1140" i="1" a="1"/>
  <c r="P1140" i="1"/>
  <c r="P1141" i="1" a="1"/>
  <c r="P1141" i="1"/>
  <c r="P1142" i="1" a="1"/>
  <c r="P1142" i="1" s="1"/>
  <c r="P1143" i="1" a="1"/>
  <c r="P1143" i="1"/>
  <c r="P1144" i="1" a="1"/>
  <c r="P1144" i="1"/>
  <c r="P1145" i="1" a="1"/>
  <c r="P1145" i="1" s="1"/>
  <c r="P1146" i="1" a="1"/>
  <c r="P1146" i="1" s="1"/>
  <c r="P1147" i="1" a="1"/>
  <c r="P1147" i="1"/>
  <c r="P1148" i="1" a="1"/>
  <c r="P1148" i="1" s="1"/>
  <c r="P1149" i="1" a="1"/>
  <c r="P1149" i="1"/>
  <c r="P1150" i="1" a="1"/>
  <c r="P1150" i="1"/>
  <c r="P1151" i="1" a="1"/>
  <c r="P1151" i="1"/>
  <c r="P1152" i="1" a="1"/>
  <c r="P1152" i="1" s="1"/>
  <c r="P1153" i="1" a="1"/>
  <c r="P1153" i="1"/>
  <c r="P1154" i="1" a="1"/>
  <c r="P1154" i="1" s="1"/>
  <c r="P1155" i="1" a="1"/>
  <c r="P1155" i="1"/>
  <c r="P1156" i="1" a="1"/>
  <c r="P1156" i="1"/>
  <c r="P1157" i="1" a="1"/>
  <c r="P1157" i="1"/>
  <c r="P1158" i="1" a="1"/>
  <c r="P1158" i="1" s="1"/>
  <c r="P1159" i="1" a="1"/>
  <c r="P1159" i="1" s="1"/>
  <c r="P1160" i="1" a="1"/>
  <c r="P1160" i="1" s="1"/>
  <c r="P1161" i="1" a="1"/>
  <c r="P1161" i="1"/>
  <c r="P1162" i="1" a="1"/>
  <c r="P1162" i="1"/>
  <c r="P1163" i="1" a="1"/>
  <c r="P1163" i="1"/>
  <c r="P1164" i="1" a="1"/>
  <c r="P1164" i="1"/>
  <c r="P1165" i="1" a="1"/>
  <c r="P1165" i="1" s="1"/>
  <c r="P1166" i="1" a="1"/>
  <c r="P1166" i="1" s="1"/>
  <c r="P1167" i="1" a="1"/>
  <c r="P1167" i="1"/>
  <c r="P1168" i="1" a="1"/>
  <c r="P1168" i="1" s="1"/>
  <c r="P1169" i="1" a="1"/>
  <c r="P1169" i="1"/>
  <c r="P1170" i="1" a="1"/>
  <c r="P1170" i="1"/>
  <c r="P1171" i="1" a="1"/>
  <c r="P1171" i="1" s="1"/>
  <c r="P1172" i="1" a="1"/>
  <c r="P1172" i="1" s="1"/>
  <c r="P1173" i="1" a="1"/>
  <c r="P1173" i="1"/>
  <c r="P1174" i="1" a="1"/>
  <c r="P1174" i="1"/>
  <c r="P1175" i="1" a="1"/>
  <c r="P1175" i="1" s="1"/>
  <c r="P1176" i="1" a="1"/>
  <c r="P1176" i="1"/>
  <c r="P1177" i="1" a="1"/>
  <c r="P1177" i="1"/>
  <c r="P1178" i="1" a="1"/>
  <c r="P1178" i="1" s="1"/>
  <c r="P1179" i="1" a="1"/>
  <c r="P1179" i="1"/>
  <c r="P1180" i="1" a="1"/>
  <c r="P1180" i="1"/>
  <c r="P1181" i="1" a="1"/>
  <c r="P1181" i="1"/>
  <c r="P1182" i="1" a="1"/>
  <c r="P1182" i="1" s="1"/>
  <c r="P1183" i="1" a="1"/>
  <c r="P1183" i="1"/>
  <c r="P1184" i="1" a="1"/>
  <c r="P1184" i="1" s="1"/>
  <c r="P1185" i="1" a="1"/>
  <c r="P1185" i="1"/>
  <c r="P1186" i="1" a="1"/>
  <c r="P1186" i="1"/>
  <c r="P1187" i="1" a="1"/>
  <c r="P1187" i="1"/>
  <c r="P1188" i="1" a="1"/>
  <c r="P1188" i="1" s="1"/>
  <c r="P1189" i="1" a="1"/>
  <c r="P1189" i="1"/>
  <c r="P1190" i="1" a="1"/>
  <c r="P1190" i="1" s="1"/>
  <c r="P1191" i="1" a="1"/>
  <c r="P1191" i="1"/>
  <c r="P1192" i="1" a="1"/>
  <c r="P1192" i="1" s="1"/>
  <c r="P1193" i="1" a="1"/>
  <c r="P1193" i="1"/>
  <c r="P1194" i="1" a="1"/>
  <c r="P1194" i="1"/>
  <c r="P1195" i="1" a="1"/>
  <c r="P1195" i="1" s="1"/>
  <c r="P1196" i="1" a="1"/>
  <c r="P1196" i="1" s="1"/>
  <c r="P1197" i="1" a="1"/>
  <c r="P1197" i="1"/>
  <c r="P1198" i="1" a="1"/>
  <c r="P1198" i="1" s="1"/>
  <c r="P1199" i="1" a="1"/>
  <c r="P1199" i="1"/>
  <c r="P1200" i="1" a="1"/>
  <c r="P1200" i="1"/>
  <c r="P1201" i="1" a="1"/>
  <c r="P1201" i="1"/>
  <c r="P1202" i="1" a="1"/>
  <c r="P1202" i="1" s="1"/>
  <c r="P1203" i="1" a="1"/>
  <c r="P1203" i="1"/>
  <c r="P1204" i="1" a="1"/>
  <c r="P1204" i="1" s="1"/>
  <c r="P1205" i="1" a="1"/>
  <c r="P1205" i="1" s="1"/>
  <c r="P1206" i="1" a="1"/>
  <c r="P1206" i="1"/>
  <c r="P1207" i="1" a="1"/>
  <c r="P1207" i="1"/>
  <c r="P1208" i="1" a="1"/>
  <c r="P1208" i="1" s="1"/>
  <c r="P1209" i="1" a="1"/>
  <c r="P1209" i="1"/>
  <c r="P1210" i="1" a="1"/>
  <c r="P1210" i="1" s="1"/>
  <c r="P1211" i="1" a="1"/>
  <c r="P1211" i="1" s="1"/>
  <c r="P1212" i="1" a="1"/>
  <c r="P1212" i="1"/>
  <c r="P1213" i="1" a="1"/>
  <c r="P1213" i="1"/>
  <c r="P1214" i="1" a="1"/>
  <c r="P1214" i="1" s="1"/>
  <c r="P1215" i="1" a="1"/>
  <c r="P1215" i="1"/>
  <c r="P1216" i="1" a="1"/>
  <c r="P1216" i="1"/>
  <c r="P1217" i="1" a="1"/>
  <c r="P1217" i="1" s="1"/>
  <c r="P1218" i="1" a="1"/>
  <c r="P1218" i="1" s="1"/>
  <c r="P1219" i="1" a="1"/>
  <c r="P1219" i="1"/>
  <c r="P1220" i="1" a="1"/>
  <c r="P1220" i="1" s="1"/>
  <c r="P1221" i="1" a="1"/>
  <c r="P1221" i="1"/>
  <c r="P1222" i="1" a="1"/>
  <c r="P1222" i="1"/>
  <c r="P1223" i="1" a="1"/>
  <c r="P1223" i="1"/>
  <c r="P1224" i="1" a="1"/>
  <c r="P1224" i="1" s="1"/>
  <c r="P1225" i="1" a="1"/>
  <c r="P1225" i="1"/>
  <c r="P1226" i="1" a="1"/>
  <c r="P1226" i="1" s="1"/>
  <c r="P1227" i="1" a="1"/>
  <c r="P1227" i="1"/>
  <c r="P1228" i="1" a="1"/>
  <c r="P1228" i="1"/>
  <c r="P1229" i="1" a="1"/>
  <c r="P1229" i="1"/>
  <c r="P1230" i="1" a="1"/>
  <c r="P1230" i="1" s="1"/>
  <c r="P1231" i="1" a="1"/>
  <c r="P1231" i="1" s="1"/>
  <c r="P1232" i="1" a="1"/>
  <c r="P1232" i="1" s="1"/>
  <c r="P1233" i="1" a="1"/>
  <c r="P1233" i="1" s="1"/>
  <c r="P1234" i="1" a="1"/>
  <c r="P1234" i="1"/>
  <c r="P1235" i="1" a="1"/>
  <c r="P1235" i="1"/>
  <c r="P1236" i="1" a="1"/>
  <c r="P1236" i="1"/>
  <c r="P1237" i="1" a="1"/>
  <c r="P1237" i="1" s="1"/>
  <c r="P1238" i="1" a="1"/>
  <c r="P1238" i="1" s="1"/>
  <c r="P1239" i="1" a="1"/>
  <c r="P1239" i="1"/>
  <c r="P1240" i="1" a="1"/>
  <c r="P1240" i="1" s="1"/>
  <c r="P1241" i="1" a="1"/>
  <c r="P1241" i="1"/>
  <c r="P1242" i="1" a="1"/>
  <c r="P1242" i="1"/>
  <c r="P1243" i="1" a="1"/>
  <c r="P1243" i="1" s="1"/>
  <c r="P1244" i="1" a="1"/>
  <c r="P1244" i="1" s="1"/>
  <c r="P1245" i="1" a="1"/>
  <c r="P1245" i="1"/>
  <c r="P1246" i="1" a="1"/>
  <c r="P1246" i="1"/>
  <c r="P1247" i="1" a="1"/>
  <c r="P1247" i="1" s="1"/>
  <c r="P1248" i="1" a="1"/>
  <c r="P1248" i="1"/>
  <c r="P1249" i="1" a="1"/>
  <c r="P1249" i="1"/>
  <c r="P1250" i="1" a="1"/>
  <c r="P1250" i="1" s="1"/>
  <c r="P1251" i="1" a="1"/>
  <c r="P1251" i="1" s="1"/>
  <c r="P1252" i="1" a="1"/>
  <c r="P1252" i="1"/>
  <c r="P1253" i="1" a="1"/>
  <c r="P1253" i="1"/>
  <c r="P1254" i="1" a="1"/>
  <c r="P1254" i="1" s="1"/>
  <c r="P1255" i="1" a="1"/>
  <c r="P1255" i="1"/>
  <c r="P1256" i="1" a="1"/>
  <c r="P1256" i="1" s="1"/>
  <c r="P1257" i="1" a="1"/>
  <c r="P1257" i="1" s="1"/>
  <c r="P1258" i="1" a="1"/>
  <c r="P1258" i="1"/>
  <c r="P1259" i="1" a="1"/>
  <c r="P1259" i="1"/>
  <c r="P1260" i="1" a="1"/>
  <c r="P1260" i="1"/>
  <c r="P1261" i="1" a="1"/>
  <c r="P1261" i="1" s="1"/>
  <c r="P1262" i="1" a="1"/>
  <c r="P1262" i="1" s="1"/>
  <c r="P1263" i="1" a="1"/>
  <c r="P1263" i="1" s="1"/>
  <c r="P1264" i="1" a="1"/>
  <c r="P1264" i="1" s="1"/>
  <c r="P1265" i="1" a="1"/>
  <c r="P1265" i="1"/>
  <c r="P1266" i="1" a="1"/>
  <c r="P1266" i="1"/>
  <c r="P1267" i="1" a="1"/>
  <c r="P1267" i="1"/>
  <c r="P1268" i="1" a="1"/>
  <c r="P1268" i="1" s="1"/>
  <c r="P1269" i="1" a="1"/>
  <c r="P1269" i="1" s="1"/>
  <c r="P1270" i="1" a="1"/>
  <c r="P1270" i="1" s="1"/>
  <c r="P1271" i="1" a="1"/>
  <c r="P1271" i="1"/>
  <c r="P1272" i="1" a="1"/>
  <c r="P1272" i="1"/>
  <c r="P1273" i="1" a="1"/>
  <c r="P1273" i="1"/>
  <c r="P1274" i="1" a="1"/>
  <c r="P1274" i="1" s="1"/>
  <c r="P1275" i="1" a="1"/>
  <c r="P1275" i="1"/>
  <c r="P1276" i="1" a="1"/>
  <c r="P1276" i="1" s="1"/>
  <c r="P1277" i="1" a="1"/>
  <c r="P1277" i="1" s="1"/>
  <c r="P1278" i="1" a="1"/>
  <c r="P1278" i="1"/>
  <c r="P1279" i="1" a="1"/>
  <c r="P1279" i="1"/>
  <c r="P1280" i="1" a="1"/>
  <c r="P1280" i="1" s="1"/>
  <c r="P1281" i="1" a="1"/>
  <c r="P1281" i="1"/>
  <c r="P1282" i="1" a="1"/>
  <c r="P1282" i="1"/>
  <c r="P1283" i="1" a="1"/>
  <c r="P1283" i="1" s="1"/>
  <c r="P1284" i="1" a="1"/>
  <c r="P1284" i="1"/>
  <c r="P1285" i="1" a="1"/>
  <c r="P1285" i="1"/>
  <c r="P1286" i="1" a="1"/>
  <c r="P1286" i="1" s="1"/>
  <c r="P1287" i="1" a="1"/>
  <c r="P1287" i="1"/>
  <c r="P1288" i="1" a="1"/>
  <c r="P1288" i="1"/>
  <c r="P1289" i="1" a="1"/>
  <c r="P1289" i="1" s="1"/>
  <c r="P1290" i="1" a="1"/>
  <c r="P1290" i="1" s="1"/>
  <c r="P1291" i="1" a="1"/>
  <c r="P1291" i="1"/>
  <c r="P1292" i="1" a="1"/>
  <c r="P1292" i="1" s="1"/>
  <c r="P1293" i="1" a="1"/>
  <c r="P1293" i="1"/>
  <c r="P1294" i="1" a="1"/>
  <c r="P1294" i="1"/>
  <c r="P1295" i="1" a="1"/>
  <c r="P1295" i="1"/>
  <c r="P1296" i="1" a="1"/>
  <c r="P1296" i="1" s="1"/>
  <c r="P1297" i="1" a="1"/>
  <c r="P1297" i="1"/>
  <c r="P1298" i="1" a="1"/>
  <c r="P1298" i="1" s="1"/>
  <c r="P1299" i="1" a="1"/>
  <c r="P1299" i="1" s="1"/>
  <c r="P1300" i="1" a="1"/>
  <c r="P1300" i="1"/>
  <c r="P1301" i="1" a="1"/>
  <c r="P1301" i="1"/>
  <c r="P1302" i="1" a="1"/>
  <c r="P1302" i="1" s="1"/>
  <c r="P1303" i="1" a="1"/>
  <c r="P1303" i="1" s="1"/>
  <c r="P1304" i="1" a="1"/>
  <c r="P1304" i="1" s="1"/>
  <c r="P1305" i="1" a="1"/>
  <c r="P1305" i="1"/>
  <c r="P1306" i="1" a="1"/>
  <c r="P1306" i="1"/>
  <c r="P1307" i="1" a="1"/>
  <c r="P1307" i="1" s="1"/>
  <c r="P1308" i="1" a="1"/>
  <c r="P1308" i="1"/>
  <c r="P1309" i="1" a="1"/>
  <c r="P1309" i="1" s="1"/>
  <c r="P1310" i="1" a="1"/>
  <c r="P1310" i="1" s="1"/>
  <c r="P1311" i="1" a="1"/>
  <c r="P1311" i="1"/>
  <c r="P1312" i="1" a="1"/>
  <c r="P1312" i="1"/>
  <c r="P1313" i="1" a="1"/>
  <c r="P1313" i="1"/>
  <c r="P1314" i="1" a="1"/>
  <c r="P1314" i="1" s="1"/>
  <c r="P1315" i="1" a="1"/>
  <c r="P1315" i="1" s="1"/>
  <c r="P1316" i="1" a="1"/>
  <c r="P1316" i="1" s="1"/>
  <c r="P1317" i="1" a="1"/>
  <c r="P1317" i="1"/>
  <c r="P1318" i="1" a="1"/>
  <c r="P1318" i="1"/>
  <c r="P1319" i="1" a="1"/>
  <c r="P1319" i="1"/>
  <c r="P1320" i="1" a="1"/>
  <c r="P1320" i="1"/>
  <c r="P1321" i="1" a="1"/>
  <c r="P1321" i="1" s="1"/>
  <c r="P1322" i="1" a="1"/>
  <c r="P1322" i="1" s="1"/>
  <c r="P1323" i="1" a="1"/>
  <c r="P1323" i="1" s="1"/>
  <c r="P1324" i="1" a="1"/>
  <c r="P1324" i="1"/>
  <c r="P1325" i="1" a="1"/>
  <c r="P1325" i="1"/>
  <c r="P1326" i="1" a="1"/>
  <c r="P1326" i="1"/>
  <c r="P1327" i="1" a="1"/>
  <c r="P1327" i="1"/>
  <c r="P1328" i="1" a="1"/>
  <c r="P1328" i="1" s="1"/>
  <c r="P1329" i="1" a="1"/>
  <c r="P1329" i="1" s="1"/>
  <c r="P1330" i="1" a="1"/>
  <c r="P1330" i="1"/>
  <c r="P1331" i="1" a="1"/>
  <c r="P1331" i="1"/>
  <c r="P1332" i="1" a="1"/>
  <c r="P1332" i="1"/>
  <c r="P1333" i="1" a="1"/>
  <c r="P1333" i="1"/>
  <c r="P1334" i="1" a="1"/>
  <c r="P1334" i="1" s="1"/>
  <c r="P1335" i="1" a="1"/>
  <c r="P1335" i="1" s="1"/>
  <c r="P1336" i="1" a="1"/>
  <c r="P1336" i="1" s="1"/>
  <c r="P1337" i="1" a="1"/>
  <c r="P1337" i="1"/>
  <c r="P1338" i="1" a="1"/>
  <c r="P1338" i="1"/>
  <c r="P1339" i="1" a="1"/>
  <c r="P1339" i="1"/>
  <c r="P1340" i="1" a="1"/>
  <c r="P1340" i="1" s="1"/>
  <c r="P1341" i="1" a="1"/>
  <c r="P1341" i="1"/>
  <c r="P1342" i="1" a="1"/>
  <c r="P1342" i="1" s="1"/>
  <c r="P1343" i="1" a="1"/>
  <c r="P1343" i="1"/>
  <c r="P1344" i="1" a="1"/>
  <c r="P1344" i="1"/>
  <c r="P1345" i="1" a="1"/>
  <c r="P1345" i="1"/>
  <c r="P1346" i="1" a="1"/>
  <c r="P1346" i="1" s="1"/>
  <c r="P1347" i="1" a="1"/>
  <c r="P1347" i="1"/>
  <c r="P1348" i="1" a="1"/>
  <c r="P1348" i="1" s="1"/>
  <c r="P1349" i="1" a="1"/>
  <c r="P1349" i="1" s="1"/>
  <c r="P1350" i="1" a="1"/>
  <c r="P1350" i="1"/>
  <c r="P1351" i="1" a="1"/>
  <c r="P1351" i="1" s="1"/>
  <c r="P1352" i="1" a="1"/>
  <c r="P1352" i="1" s="1"/>
  <c r="P1353" i="1" a="1"/>
  <c r="P1353" i="1"/>
  <c r="P1354" i="1" a="1"/>
  <c r="P1354" i="1"/>
  <c r="P1355" i="1" a="1"/>
  <c r="P1355" i="1" s="1"/>
  <c r="P1356" i="1" a="1"/>
  <c r="P1356" i="1"/>
  <c r="P1357" i="1" a="1"/>
  <c r="P1357" i="1"/>
  <c r="P1358" i="1" a="1"/>
  <c r="P1358" i="1" s="1"/>
  <c r="P1359" i="1" a="1"/>
  <c r="P1359" i="1"/>
  <c r="P1360" i="1" a="1"/>
  <c r="P1360" i="1"/>
  <c r="P1361" i="1" a="1"/>
  <c r="P1361" i="1" s="1"/>
  <c r="P1362" i="1" a="1"/>
  <c r="P1362" i="1" s="1"/>
  <c r="P1363" i="1" a="1"/>
  <c r="P1363" i="1"/>
  <c r="P1364" i="1" a="1"/>
  <c r="P1364" i="1" s="1"/>
  <c r="P1365" i="1" a="1"/>
  <c r="P1365" i="1"/>
  <c r="P1366" i="1" a="1"/>
  <c r="P1366" i="1" s="1"/>
  <c r="P1367" i="1" a="1"/>
  <c r="P1367" i="1"/>
  <c r="P1368" i="1" a="1"/>
  <c r="P1368" i="1" s="1"/>
  <c r="P1369" i="1" a="1"/>
  <c r="P1369" i="1"/>
  <c r="P1370" i="1" a="1"/>
  <c r="P1370" i="1" s="1"/>
  <c r="P1371" i="1" a="1"/>
  <c r="P1371" i="1"/>
  <c r="P1372" i="1" a="1"/>
  <c r="P1372" i="1"/>
  <c r="P1373" i="1" a="1"/>
  <c r="P1373" i="1" s="1"/>
  <c r="P1374" i="1" a="1"/>
  <c r="P1374" i="1"/>
  <c r="P1375" i="1" a="1"/>
  <c r="P1375" i="1" s="1"/>
  <c r="P1376" i="1" a="1"/>
  <c r="P1376" i="1" s="1"/>
  <c r="P1377" i="1" a="1"/>
  <c r="P1377" i="1"/>
  <c r="P1378" i="1" a="1"/>
  <c r="P1378" i="1"/>
  <c r="P1379" i="1" a="1"/>
  <c r="P1379" i="1"/>
  <c r="P1380" i="1" a="1"/>
  <c r="P1380" i="1" s="1"/>
  <c r="P1381" i="1" a="1"/>
  <c r="P1381" i="1" s="1"/>
  <c r="P1382" i="1" a="1"/>
  <c r="P1382" i="1" s="1"/>
  <c r="P1383" i="1" a="1"/>
  <c r="P1383" i="1"/>
  <c r="P1384" i="1" a="1"/>
  <c r="P1384" i="1"/>
  <c r="P1385" i="1" a="1"/>
  <c r="P1385" i="1"/>
  <c r="P1386" i="1" a="1"/>
  <c r="P1386" i="1"/>
  <c r="P1387" i="1" a="1"/>
  <c r="P1387" i="1" s="1"/>
  <c r="P1388" i="1" a="1"/>
  <c r="P1388" i="1" s="1"/>
  <c r="P1389" i="1" a="1"/>
  <c r="P1389" i="1"/>
  <c r="P1390" i="1" a="1"/>
  <c r="P1390" i="1"/>
  <c r="P1391" i="1" a="1"/>
  <c r="P1391" i="1"/>
  <c r="P1392" i="1" a="1"/>
  <c r="P1392" i="1"/>
  <c r="P1393" i="1" a="1"/>
  <c r="P1393" i="1" s="1"/>
  <c r="P1394" i="1" a="1"/>
  <c r="P1394" i="1" s="1"/>
  <c r="P1395" i="1" a="1"/>
  <c r="P1395" i="1" s="1"/>
  <c r="P1396" i="1" a="1"/>
  <c r="P1396" i="1"/>
  <c r="P1397" i="1" a="1"/>
  <c r="P1397" i="1"/>
  <c r="P1398" i="1" a="1"/>
  <c r="P1398" i="1"/>
  <c r="P1399" i="1" a="1"/>
  <c r="P1399" i="1"/>
  <c r="P1400" i="1" a="1"/>
  <c r="P1400" i="1" s="1"/>
  <c r="P1401" i="1" a="1"/>
  <c r="P1401" i="1" s="1"/>
  <c r="P1402" i="1" a="1"/>
  <c r="P1402" i="1"/>
  <c r="P1403" i="1" a="1"/>
  <c r="P1403" i="1"/>
  <c r="P1404" i="1" a="1"/>
  <c r="P1404" i="1"/>
  <c r="P1405" i="1" a="1"/>
  <c r="P1405" i="1"/>
  <c r="P1406" i="1" a="1"/>
  <c r="P1406" i="1" s="1"/>
  <c r="P1407" i="1" a="1"/>
  <c r="P1407" i="1"/>
  <c r="P1408" i="1" a="1"/>
  <c r="P1408" i="1" s="1"/>
  <c r="P1409" i="1" a="1"/>
  <c r="P1409" i="1"/>
  <c r="P1410" i="1" a="1"/>
  <c r="P1410" i="1"/>
  <c r="P1411" i="1" a="1"/>
  <c r="P1411" i="1"/>
  <c r="P1412" i="1" a="1"/>
  <c r="P1412" i="1" s="1"/>
  <c r="P1413" i="1" a="1"/>
  <c r="P1413" i="1"/>
  <c r="P1414" i="1" a="1"/>
  <c r="P1414" i="1" s="1"/>
  <c r="P1415" i="1" a="1"/>
  <c r="P1415" i="1"/>
  <c r="P1416" i="1" a="1"/>
  <c r="P1416" i="1"/>
  <c r="P1417" i="1" a="1"/>
  <c r="P1417" i="1"/>
  <c r="P1418" i="1" a="1"/>
  <c r="P1418" i="1" s="1"/>
  <c r="P1419" i="1" a="1"/>
  <c r="P1419" i="1"/>
  <c r="P1420" i="1" a="1"/>
  <c r="P1420" i="1"/>
  <c r="P1421" i="1" a="1"/>
  <c r="P1421" i="1" s="1"/>
  <c r="P1422" i="1" a="1"/>
  <c r="P1422" i="1" s="1"/>
  <c r="P1423" i="1" a="1"/>
  <c r="P1423" i="1"/>
  <c r="P1424" i="1" a="1"/>
  <c r="P1424" i="1" s="1"/>
  <c r="P1425" i="1" a="1"/>
  <c r="P1425" i="1"/>
  <c r="P1426" i="1" a="1"/>
  <c r="P1426" i="1"/>
  <c r="P1427" i="1" a="1"/>
  <c r="P1427" i="1" s="1"/>
  <c r="P1428" i="1" a="1"/>
  <c r="P1428" i="1"/>
  <c r="P1429" i="1" a="1"/>
  <c r="P1429" i="1" s="1"/>
  <c r="P1430" i="1" a="1"/>
  <c r="P1430" i="1" s="1"/>
  <c r="P1431" i="1" a="1"/>
  <c r="P1431" i="1"/>
  <c r="P1432" i="1" a="1"/>
  <c r="P1432" i="1"/>
  <c r="P1433" i="1" a="1"/>
  <c r="P1433" i="1"/>
  <c r="P1434" i="1" a="1"/>
  <c r="P1434" i="1" s="1"/>
  <c r="P1435" i="1" a="1"/>
  <c r="P1435" i="1"/>
  <c r="P1436" i="1" a="1"/>
  <c r="P1436" i="1" s="1"/>
  <c r="P1437" i="1" a="1"/>
  <c r="P1437" i="1" s="1"/>
  <c r="P1438" i="1" a="1"/>
  <c r="P1438" i="1"/>
  <c r="P1439" i="1" a="1"/>
  <c r="P1439" i="1"/>
  <c r="P1440" i="1" a="1"/>
  <c r="P1440" i="1" s="1"/>
  <c r="P1441" i="1" a="1"/>
  <c r="P1441" i="1"/>
  <c r="P1442" i="1" a="1"/>
  <c r="P1442" i="1" s="1"/>
  <c r="P1443" i="1" a="1"/>
  <c r="P1443" i="1"/>
  <c r="P1444" i="1" a="1"/>
  <c r="P1444" i="1" s="1"/>
  <c r="P1445" i="1" a="1"/>
  <c r="P1445" i="1"/>
  <c r="P1446" i="1" a="1"/>
  <c r="P1446" i="1"/>
  <c r="P1447" i="1" a="1"/>
  <c r="P1447" i="1" s="1"/>
  <c r="P1448" i="1" a="1"/>
  <c r="P1448" i="1" s="1"/>
  <c r="P1449" i="1" a="1"/>
  <c r="P1449" i="1"/>
  <c r="P1450" i="1" a="1"/>
  <c r="P1450" i="1"/>
  <c r="P1451" i="1" a="1"/>
  <c r="P1451" i="1" s="1"/>
  <c r="P1452" i="1" a="1"/>
  <c r="P1452" i="1"/>
  <c r="P1453" i="1" a="1"/>
  <c r="P1453" i="1" s="1"/>
  <c r="P1454" i="1" a="1"/>
  <c r="P1454" i="1" s="1"/>
  <c r="P1455" i="1" a="1"/>
  <c r="P1455" i="1"/>
  <c r="P1456" i="1" a="1"/>
  <c r="P1456" i="1"/>
  <c r="P1457" i="1" a="1"/>
  <c r="P1457" i="1"/>
  <c r="P1458" i="1" a="1"/>
  <c r="P1458" i="1" s="1"/>
  <c r="P1459" i="1" a="1"/>
  <c r="P1459" i="1"/>
  <c r="P1460" i="1" a="1"/>
  <c r="P1460" i="1" s="1"/>
  <c r="P1461" i="1" a="1"/>
  <c r="P1461" i="1"/>
  <c r="P1462" i="1" a="1"/>
  <c r="P1462" i="1"/>
  <c r="P1463" i="1" a="1"/>
  <c r="P1463" i="1"/>
  <c r="P1464" i="1" a="1"/>
  <c r="P1464" i="1" s="1"/>
  <c r="P1465" i="1" a="1"/>
  <c r="P1465" i="1"/>
  <c r="P1466" i="1" a="1"/>
  <c r="P1466" i="1" s="1"/>
  <c r="P1467" i="1" a="1"/>
  <c r="P1467" i="1" s="1"/>
  <c r="P1468" i="1" a="1"/>
  <c r="P1468" i="1"/>
  <c r="P1469" i="1" a="1"/>
  <c r="P1469" i="1"/>
  <c r="P1470" i="1" a="1"/>
  <c r="P1470" i="1"/>
  <c r="P1471" i="1" a="1"/>
  <c r="P1471" i="1" s="1"/>
  <c r="P1472" i="1" a="1"/>
  <c r="P1472" i="1" s="1"/>
  <c r="P1473" i="1" a="1"/>
  <c r="P1473" i="1" s="1"/>
  <c r="P1474" i="1" a="1"/>
  <c r="P1474" i="1"/>
  <c r="P1475" i="1" a="1"/>
  <c r="P1475" i="1"/>
  <c r="P1476" i="1" a="1"/>
  <c r="P1476" i="1"/>
  <c r="P1477" i="1" a="1"/>
  <c r="P1477" i="1"/>
  <c r="P1478" i="1" a="1"/>
  <c r="P1478" i="1" s="1"/>
  <c r="P1479" i="1" a="1"/>
  <c r="P1479" i="1" s="1"/>
  <c r="P1480" i="1" a="1"/>
  <c r="P1480" i="1" s="1"/>
  <c r="P1481" i="1" a="1"/>
  <c r="P1481" i="1"/>
  <c r="P1482" i="1" a="1"/>
  <c r="P1482" i="1"/>
  <c r="P1483" i="1" a="1"/>
  <c r="P1483" i="1"/>
  <c r="P1484" i="1" a="1"/>
  <c r="P1484" i="1" s="1"/>
  <c r="P1485" i="1" a="1"/>
  <c r="P1485" i="1"/>
  <c r="P1486" i="1" a="1"/>
  <c r="P1486" i="1" s="1"/>
  <c r="P1487" i="1" a="1"/>
  <c r="P1487" i="1"/>
  <c r="P1488" i="1" a="1"/>
  <c r="P1488" i="1"/>
  <c r="P1489" i="1" a="1"/>
  <c r="P1489" i="1"/>
  <c r="P1490" i="1" a="1"/>
  <c r="P1490" i="1" s="1"/>
  <c r="P1491" i="1" a="1"/>
  <c r="P1491" i="1"/>
  <c r="P1492" i="1" a="1"/>
  <c r="P1492" i="1"/>
  <c r="P1493" i="1" a="1"/>
  <c r="P1493" i="1" s="1"/>
  <c r="P1494" i="1" a="1"/>
  <c r="P1494" i="1"/>
  <c r="P1495" i="1" a="1"/>
  <c r="P1495" i="1"/>
  <c r="P1496" i="1" a="1"/>
  <c r="P1496" i="1" s="1"/>
  <c r="P1497" i="1" a="1"/>
  <c r="P1497" i="1"/>
  <c r="P1498" i="1" a="1"/>
  <c r="P1498" i="1"/>
  <c r="P1499" i="1" a="1"/>
  <c r="P1499" i="1" s="1"/>
  <c r="P1500" i="1" a="1"/>
  <c r="P1500" i="1"/>
  <c r="P1501" i="1" a="1"/>
  <c r="P1501" i="1"/>
  <c r="P1502" i="1" a="1"/>
  <c r="P1502" i="1" s="1"/>
  <c r="P1503" i="1" a="1"/>
  <c r="P1503" i="1"/>
  <c r="P1504" i="1" a="1"/>
  <c r="P1504" i="1"/>
  <c r="P1505" i="1" a="1"/>
  <c r="P1505" i="1"/>
  <c r="P1506" i="1" a="1"/>
  <c r="P1506" i="1" s="1"/>
  <c r="P1507" i="1" a="1"/>
  <c r="P1507" i="1" s="1"/>
  <c r="P1508" i="1" a="1"/>
  <c r="P1508" i="1" s="1"/>
  <c r="P1509" i="1" a="1"/>
  <c r="P1509" i="1"/>
  <c r="P1510" i="1" a="1"/>
  <c r="P1510" i="1"/>
  <c r="P1511" i="1" a="1"/>
  <c r="P1511" i="1"/>
  <c r="P1512" i="1" a="1"/>
  <c r="P1512" i="1" s="1"/>
  <c r="P1513" i="1" a="1"/>
  <c r="P1513" i="1"/>
  <c r="P1514" i="1" a="1"/>
  <c r="P1514" i="1" s="1"/>
  <c r="P1515" i="1" a="1"/>
  <c r="P1515" i="1" s="1"/>
  <c r="P1516" i="1" a="1"/>
  <c r="P1516" i="1"/>
  <c r="P1517" i="1" a="1"/>
  <c r="P1517" i="1"/>
  <c r="P1518" i="1" a="1"/>
  <c r="P1518" i="1"/>
  <c r="P1519" i="1" a="1"/>
  <c r="P1519" i="1" s="1"/>
  <c r="P1520" i="1" a="1"/>
  <c r="P1520" i="1" s="1"/>
  <c r="P1521" i="1" a="1"/>
  <c r="P1521" i="1"/>
  <c r="P1522" i="1" a="1"/>
  <c r="P1522" i="1" s="1"/>
  <c r="P1523" i="1" a="1"/>
  <c r="P1523" i="1"/>
  <c r="P1524" i="1" a="1"/>
  <c r="P1524" i="1"/>
  <c r="P1525" i="1" a="1"/>
  <c r="P1525" i="1" s="1"/>
  <c r="P1526" i="1" a="1"/>
  <c r="P1526" i="1" s="1"/>
  <c r="P1527" i="1" a="1"/>
  <c r="P1527" i="1"/>
  <c r="P1528" i="1" a="1"/>
  <c r="P1528" i="1"/>
  <c r="P1529" i="1" a="1"/>
  <c r="P1529" i="1" s="1"/>
  <c r="P1530" i="1" a="1"/>
  <c r="P1530" i="1"/>
  <c r="P1531" i="1" a="1"/>
  <c r="P1531" i="1"/>
  <c r="P1532" i="1" a="1"/>
  <c r="P1532" i="1" s="1"/>
  <c r="P1533" i="1" a="1"/>
  <c r="P1533" i="1"/>
  <c r="P1534" i="1" a="1"/>
  <c r="P1534" i="1"/>
  <c r="P1535" i="1" a="1"/>
  <c r="P1535" i="1" s="1"/>
  <c r="P1536" i="1" a="1"/>
  <c r="P1536" i="1"/>
  <c r="P1537" i="1" a="1"/>
  <c r="P1537" i="1"/>
  <c r="P1538" i="1" a="1"/>
  <c r="P1538" i="1" s="1"/>
  <c r="P1539" i="1" a="1"/>
  <c r="P1539" i="1" s="1"/>
  <c r="P1540" i="1" a="1"/>
  <c r="P1540" i="1"/>
  <c r="P1541" i="1" a="1"/>
  <c r="P1541" i="1"/>
  <c r="P1542" i="1" a="1"/>
  <c r="P1542" i="1" s="1"/>
  <c r="P1543" i="1" a="1"/>
  <c r="P1543" i="1"/>
  <c r="P1544" i="1" a="1"/>
  <c r="P1544" i="1" s="1"/>
  <c r="P1545" i="1" a="1"/>
  <c r="P1545" i="1" s="1"/>
  <c r="P1546" i="1" a="1"/>
  <c r="P1546" i="1"/>
  <c r="P1547" i="1" a="1"/>
  <c r="P1547" i="1"/>
  <c r="P1548" i="1" a="1"/>
  <c r="P1548" i="1"/>
  <c r="P1549" i="1" a="1"/>
  <c r="P1549" i="1" s="1"/>
  <c r="P1550" i="1" a="1"/>
  <c r="P1550" i="1" s="1"/>
  <c r="P1551" i="1" a="1"/>
  <c r="P1551" i="1"/>
  <c r="P1552" i="1" a="1"/>
  <c r="P1552" i="1" s="1"/>
  <c r="P1553" i="1" a="1"/>
  <c r="P1553" i="1"/>
  <c r="P1554" i="1" a="1"/>
  <c r="P1554" i="1"/>
  <c r="P1555" i="1" a="1"/>
  <c r="P1555" i="1"/>
  <c r="P1556" i="1" a="1"/>
  <c r="P1556" i="1" s="1"/>
  <c r="P1557" i="1" a="1"/>
  <c r="P1557" i="1" s="1"/>
  <c r="P1558" i="1" a="1"/>
  <c r="P1558" i="1" s="1"/>
  <c r="P1559" i="1" a="1"/>
  <c r="P1559" i="1"/>
  <c r="P1560" i="1" a="1"/>
  <c r="P1560" i="1"/>
  <c r="P1561" i="1" a="1"/>
  <c r="P1561" i="1"/>
  <c r="P1562" i="1" a="1"/>
  <c r="P1562" i="1" s="1"/>
  <c r="P1563" i="1" a="1"/>
  <c r="P1563" i="1"/>
  <c r="P1564" i="1" a="1"/>
  <c r="P1564" i="1" s="1"/>
  <c r="P1565" i="1" a="1"/>
  <c r="P1565" i="1" s="1"/>
  <c r="P1566" i="1" a="1"/>
  <c r="P1566" i="1"/>
  <c r="P1567" i="1" a="1"/>
  <c r="P1567" i="1"/>
  <c r="P1568" i="1" a="1"/>
  <c r="P1568" i="1" s="1"/>
  <c r="P1569" i="1" a="1"/>
  <c r="P1569" i="1"/>
  <c r="P1570" i="1" a="1"/>
  <c r="P1570" i="1"/>
  <c r="P1571" i="1" a="1"/>
  <c r="P1571" i="1" s="1"/>
  <c r="P1572" i="1" a="1"/>
  <c r="P1572" i="1"/>
  <c r="P1573" i="1" a="1"/>
  <c r="P1573" i="1"/>
  <c r="P1574" i="1" a="1"/>
  <c r="P1574" i="1" s="1"/>
  <c r="P1575" i="1" a="1"/>
  <c r="P1575" i="1"/>
  <c r="P1576" i="1" a="1"/>
  <c r="P1576" i="1"/>
  <c r="P1577" i="1" a="1"/>
  <c r="P1577" i="1"/>
  <c r="P1578" i="1" a="1"/>
  <c r="P1578" i="1" s="1"/>
  <c r="P1579" i="1" a="1"/>
  <c r="P1579" i="1"/>
  <c r="P1580" i="1" a="1"/>
  <c r="P1580" i="1" s="1"/>
  <c r="P1581" i="1" a="1"/>
  <c r="P1581" i="1"/>
  <c r="P1582" i="1" a="1"/>
  <c r="P1582" i="1"/>
  <c r="P1583" i="1" a="1"/>
  <c r="P1583" i="1"/>
  <c r="P1584" i="1" a="1"/>
  <c r="P1584" i="1" s="1"/>
  <c r="P1585" i="1" a="1"/>
  <c r="P1585" i="1"/>
  <c r="P1586" i="1" a="1"/>
  <c r="P1586" i="1" s="1"/>
  <c r="P1587" i="1" a="1"/>
  <c r="P1587" i="1"/>
  <c r="P1588" i="1" a="1"/>
  <c r="P1588" i="1"/>
  <c r="P1589" i="1" a="1"/>
  <c r="P1589" i="1"/>
  <c r="P1590" i="1" a="1"/>
  <c r="P1590" i="1"/>
  <c r="P1591" i="1" a="1"/>
  <c r="P1591" i="1" s="1"/>
  <c r="P1592" i="1" a="1"/>
  <c r="P1592" i="1" s="1"/>
  <c r="P1593" i="1" a="1"/>
  <c r="P1593" i="1" s="1"/>
  <c r="P1594" i="1" a="1"/>
  <c r="P1594" i="1"/>
  <c r="P1595" i="1" a="1"/>
  <c r="P1595" i="1"/>
  <c r="P1596" i="1" a="1"/>
  <c r="P1596" i="1"/>
  <c r="P1597" i="1" a="1"/>
  <c r="P1597" i="1" s="1"/>
  <c r="P1598" i="1" a="1"/>
  <c r="P1598" i="1" s="1"/>
  <c r="P1599" i="1" a="1"/>
  <c r="P1599" i="1"/>
  <c r="P1600" i="1" a="1"/>
  <c r="P1600" i="1" s="1"/>
  <c r="P1601" i="1" a="1"/>
  <c r="P1601" i="1"/>
  <c r="P1602" i="1" a="1"/>
  <c r="P1602" i="1"/>
  <c r="P1603" i="1" a="1"/>
  <c r="P1603" i="1"/>
  <c r="P1604" i="1" a="1"/>
  <c r="P1604" i="1" s="1"/>
  <c r="P1605" i="1" a="1"/>
  <c r="P1605" i="1"/>
  <c r="P1606" i="1" a="1"/>
  <c r="P1606" i="1" s="1"/>
  <c r="P1607" i="1" a="1"/>
  <c r="P1607" i="1"/>
  <c r="P1608" i="1" a="1"/>
  <c r="P1608" i="1"/>
  <c r="P1609" i="1" a="1"/>
  <c r="P1609" i="1"/>
  <c r="P1610" i="1" a="1"/>
  <c r="P1610" i="1" s="1"/>
  <c r="P1611" i="1" a="1"/>
  <c r="P1611" i="1" s="1"/>
  <c r="P1612" i="1" a="1"/>
  <c r="P1612" i="1"/>
  <c r="P1613" i="1" a="1"/>
  <c r="P1613" i="1" s="1"/>
  <c r="P1614" i="1" a="1"/>
  <c r="P1614" i="1"/>
  <c r="P1615" i="1" a="1"/>
  <c r="P1615" i="1"/>
  <c r="P1616" i="1" a="1"/>
  <c r="P1616" i="1" s="1"/>
  <c r="P1617" i="1" a="1"/>
  <c r="P1617" i="1" s="1"/>
  <c r="P1618" i="1" a="1"/>
  <c r="P1618" i="1"/>
  <c r="P1619" i="1" a="1"/>
  <c r="P1619" i="1"/>
  <c r="P1620" i="1" a="1"/>
  <c r="P1620" i="1" s="1"/>
  <c r="P1621" i="1" a="1"/>
  <c r="P1621" i="1"/>
  <c r="P1622" i="1" a="1"/>
  <c r="P1622" i="1" s="1"/>
  <c r="P1623" i="1" a="1"/>
  <c r="P1623" i="1"/>
  <c r="P1624" i="1" a="1"/>
  <c r="P1624" i="1" s="1"/>
  <c r="P1625" i="1" a="1"/>
  <c r="P1625" i="1"/>
  <c r="P1626" i="1" a="1"/>
  <c r="P1626" i="1"/>
  <c r="P1627" i="1" a="1"/>
  <c r="P1627" i="1" s="1"/>
  <c r="P1628" i="1" a="1"/>
  <c r="P1628" i="1" s="1"/>
  <c r="P1629" i="1" a="1"/>
  <c r="P1629" i="1"/>
  <c r="P1630" i="1" a="1"/>
  <c r="P1630" i="1" s="1"/>
  <c r="P1631" i="1" a="1"/>
  <c r="P1631" i="1"/>
  <c r="P1632" i="1" a="1"/>
  <c r="P1632" i="1"/>
  <c r="P1633" i="1" a="1"/>
  <c r="P1633" i="1"/>
  <c r="P1634" i="1" a="1"/>
  <c r="P1634" i="1" s="1"/>
  <c r="P1635" i="1" a="1"/>
  <c r="P1635" i="1" s="1"/>
  <c r="P1636" i="1" a="1"/>
  <c r="P1636" i="1"/>
  <c r="P1637" i="1" a="1"/>
  <c r="P1637" i="1" s="1"/>
  <c r="P1638" i="1" a="1"/>
  <c r="P1638" i="1"/>
  <c r="P1639" i="1" a="1"/>
  <c r="P1639" i="1"/>
  <c r="P1640" i="1" a="1"/>
  <c r="P1640" i="1" s="1"/>
  <c r="P1641" i="1" a="1"/>
  <c r="P1641" i="1"/>
  <c r="P1642" i="1" a="1"/>
  <c r="P1642" i="1" s="1"/>
  <c r="P1643" i="1" a="1"/>
  <c r="P1643" i="1" s="1"/>
  <c r="P1644" i="1" a="1"/>
  <c r="P1644" i="1"/>
  <c r="P1645" i="1" a="1"/>
  <c r="P1645" i="1"/>
  <c r="P1646" i="1" a="1"/>
  <c r="P1646" i="1" s="1"/>
  <c r="P1647" i="1" a="1"/>
  <c r="P1647" i="1"/>
  <c r="P1648" i="1" a="1"/>
  <c r="P1648" i="1"/>
  <c r="P1649" i="1" a="1"/>
  <c r="P1649" i="1" s="1"/>
  <c r="P1650" i="1" a="1"/>
  <c r="P1650" i="1" s="1"/>
  <c r="P1651" i="1" a="1"/>
  <c r="P1651" i="1"/>
  <c r="P1652" i="1" a="1"/>
  <c r="P1652" i="1" s="1"/>
  <c r="P1653" i="1" a="1"/>
  <c r="P1653" i="1"/>
  <c r="P1654" i="1" a="1"/>
  <c r="P1654" i="1"/>
  <c r="P1655" i="1" a="1"/>
  <c r="P1655" i="1"/>
  <c r="P1656" i="1" a="1"/>
  <c r="P1656" i="1" s="1"/>
  <c r="P1657" i="1" a="1"/>
  <c r="P1657" i="1"/>
  <c r="P1658" i="1" a="1"/>
  <c r="P1658" i="1" s="1"/>
  <c r="P1659" i="1" a="1"/>
  <c r="P1659" i="1"/>
  <c r="P1660" i="1" a="1"/>
  <c r="P1660" i="1"/>
  <c r="P1661" i="1" a="1"/>
  <c r="P1661" i="1"/>
  <c r="P1662" i="1" a="1"/>
  <c r="P1662" i="1"/>
  <c r="P1663" i="1" a="1"/>
  <c r="P1663" i="1" s="1"/>
  <c r="P1664" i="1" a="1"/>
  <c r="P1664" i="1" s="1"/>
  <c r="P1665" i="1" a="1"/>
  <c r="P1665" i="1"/>
  <c r="P1666" i="1" a="1"/>
  <c r="P1666" i="1"/>
  <c r="P1667" i="1" a="1"/>
  <c r="P1667" i="1"/>
  <c r="P1668" i="1" a="1"/>
  <c r="P1668" i="1"/>
  <c r="P1669" i="1" a="1"/>
  <c r="P1669" i="1" s="1"/>
  <c r="P1670" i="1" a="1"/>
  <c r="P1670" i="1" s="1"/>
  <c r="P1671" i="1" a="1"/>
  <c r="P1671" i="1" s="1"/>
  <c r="P1672" i="1" a="1"/>
  <c r="P1672" i="1"/>
  <c r="P1673" i="1" a="1"/>
  <c r="P1673" i="1"/>
  <c r="P1674" i="1" a="1"/>
  <c r="P1674" i="1"/>
  <c r="P1675" i="1" a="1"/>
  <c r="P1675" i="1"/>
  <c r="P1676" i="1" a="1"/>
  <c r="P1676" i="1" s="1"/>
  <c r="P1677" i="1" a="1"/>
  <c r="P1677" i="1"/>
  <c r="P1678" i="1" a="1"/>
  <c r="P1678" i="1"/>
  <c r="P1679" i="1" a="1"/>
  <c r="P1679" i="1"/>
  <c r="P1680" i="1" a="1"/>
  <c r="P1680" i="1"/>
  <c r="P1681" i="1" a="1"/>
  <c r="P1681" i="1"/>
  <c r="P1682" i="1" a="1"/>
  <c r="P1682" i="1" s="1"/>
  <c r="P1683" i="1" a="1"/>
  <c r="P1683" i="1" s="1"/>
  <c r="P1684" i="1" a="1"/>
  <c r="P1684" i="1" s="1"/>
  <c r="P1685" i="1" a="1"/>
  <c r="P1685" i="1"/>
  <c r="P1686" i="1" a="1"/>
  <c r="P1686" i="1"/>
  <c r="P1687" i="1" a="1"/>
  <c r="P1687" i="1"/>
  <c r="P1688" i="1" a="1"/>
  <c r="P1688" i="1" s="1"/>
  <c r="P1689" i="1" a="1"/>
  <c r="P1689" i="1" s="1"/>
  <c r="P1690" i="1" a="1"/>
  <c r="P1690" i="1"/>
  <c r="P1691" i="1" a="1"/>
  <c r="P1691" i="1" s="1"/>
  <c r="P1692" i="1" a="1"/>
  <c r="P1692" i="1"/>
  <c r="P1693" i="1" a="1"/>
  <c r="P1693" i="1"/>
  <c r="P1694" i="1" a="1"/>
  <c r="P1694" i="1" s="1"/>
  <c r="P1695" i="1" a="1"/>
  <c r="P1695" i="1"/>
  <c r="P1696" i="1" a="1"/>
  <c r="P1696" i="1" s="1"/>
  <c r="P1697" i="1" a="1"/>
  <c r="P1697" i="1"/>
  <c r="P1698" i="1" a="1"/>
  <c r="P1698" i="1" s="1"/>
  <c r="P1699" i="1" a="1"/>
  <c r="P1699" i="1"/>
  <c r="P1700" i="1" a="1"/>
  <c r="P1700" i="1" s="1"/>
  <c r="P1701" i="1" a="1"/>
  <c r="P1701" i="1"/>
  <c r="P1702" i="1" a="1"/>
  <c r="P1702" i="1" s="1"/>
  <c r="P1703" i="1" a="1"/>
  <c r="P1703" i="1"/>
  <c r="P1704" i="1" a="1"/>
  <c r="P1704" i="1"/>
  <c r="P1705" i="1" a="1"/>
  <c r="P1705" i="1" s="1"/>
  <c r="P1706" i="1" a="1"/>
  <c r="P1706" i="1" s="1"/>
  <c r="P1707" i="1" a="1"/>
  <c r="P1707" i="1"/>
  <c r="P1708" i="1" a="1"/>
  <c r="P1708" i="1"/>
  <c r="P1709" i="1" a="1"/>
  <c r="P1709" i="1" s="1"/>
  <c r="P1710" i="1" a="1"/>
  <c r="P1710" i="1"/>
  <c r="P1711" i="1" a="1"/>
  <c r="P1711" i="1"/>
  <c r="P1712" i="1" a="1"/>
  <c r="P1712" i="1" s="1"/>
  <c r="P1713" i="1" a="1"/>
  <c r="P1713" i="1" s="1"/>
  <c r="P1714" i="1" a="1"/>
  <c r="P1714" i="1"/>
  <c r="P1715" i="1" a="1"/>
  <c r="P1715" i="1" s="1"/>
  <c r="P1716" i="1" a="1"/>
  <c r="P1716" i="1"/>
  <c r="P1717" i="1" a="1"/>
  <c r="P1717" i="1"/>
  <c r="P1718" i="1" a="1"/>
  <c r="P1718" i="1" s="1"/>
  <c r="P1719" i="1" a="1"/>
  <c r="P1719" i="1"/>
  <c r="P1720" i="1" a="1"/>
  <c r="P1720" i="1" s="1"/>
  <c r="P1721" i="1" a="1"/>
  <c r="P1721" i="1"/>
  <c r="P1722" i="1" a="1"/>
  <c r="P1722" i="1" s="1"/>
  <c r="P1723" i="1" a="1"/>
  <c r="P1723" i="1"/>
  <c r="P1724" i="1" a="1"/>
  <c r="P1724" i="1" s="1"/>
  <c r="P1725" i="1" a="1"/>
  <c r="P1725" i="1"/>
  <c r="P1726" i="1" a="1"/>
  <c r="P1726" i="1"/>
  <c r="P1727" i="1" a="1"/>
  <c r="P1727" i="1" s="1"/>
  <c r="P1728" i="1" a="1"/>
  <c r="P1728" i="1" s="1"/>
  <c r="P1729" i="1" a="1"/>
  <c r="P1729" i="1"/>
  <c r="P1730" i="1" a="1"/>
  <c r="P1730" i="1" s="1"/>
  <c r="P1731" i="1" a="1"/>
  <c r="P1731" i="1"/>
  <c r="P1732" i="1" a="1"/>
  <c r="P1732" i="1"/>
  <c r="P1733" i="1" a="1"/>
  <c r="P1733" i="1"/>
  <c r="P1734" i="1" a="1"/>
  <c r="P1734" i="1" s="1"/>
  <c r="P1735" i="1" a="1"/>
  <c r="P1735" i="1" s="1"/>
  <c r="P1736" i="1" a="1"/>
  <c r="P1736" i="1" s="1"/>
  <c r="P1737" i="1" a="1"/>
  <c r="P1737" i="1"/>
  <c r="P1738" i="1" a="1"/>
  <c r="P1738" i="1"/>
  <c r="P1739" i="1" a="1"/>
  <c r="P1739" i="1"/>
  <c r="P1740" i="1" a="1"/>
  <c r="P1740" i="1"/>
  <c r="P1741" i="1" a="1"/>
  <c r="P1741" i="1" s="1"/>
  <c r="P1742" i="1" a="1"/>
  <c r="P1742" i="1" s="1"/>
  <c r="P1743" i="1" a="1"/>
  <c r="P1743" i="1"/>
  <c r="P1744" i="1" a="1"/>
  <c r="P1744" i="1"/>
  <c r="P1745" i="1" a="1"/>
  <c r="P1745" i="1"/>
  <c r="P1746" i="1" a="1"/>
  <c r="P1746" i="1"/>
  <c r="P1747" i="1" a="1"/>
  <c r="P1747" i="1"/>
  <c r="P1748" i="1" a="1"/>
  <c r="P1748" i="1" s="1"/>
  <c r="P1749" i="1" a="1"/>
  <c r="P1749" i="1"/>
  <c r="P1750" i="1" a="1"/>
  <c r="P1750" i="1"/>
  <c r="P1751" i="1" a="1"/>
  <c r="P1751" i="1"/>
  <c r="P1752" i="1" a="1"/>
  <c r="P1752" i="1"/>
  <c r="P1753" i="1" a="1"/>
  <c r="P1753" i="1"/>
  <c r="P1754" i="1" a="1"/>
  <c r="P1754" i="1" s="1"/>
  <c r="P1755" i="1" a="1"/>
  <c r="P1755" i="1" s="1"/>
  <c r="P1756" i="1" a="1"/>
  <c r="P1756" i="1"/>
  <c r="P1757" i="1" a="1"/>
  <c r="P1757" i="1"/>
  <c r="P1758" i="1" a="1"/>
  <c r="P1758" i="1"/>
  <c r="P1759" i="1" a="1"/>
  <c r="P1759" i="1"/>
  <c r="P1760" i="1" a="1"/>
  <c r="P1760" i="1" s="1"/>
  <c r="P1761" i="1" a="1"/>
  <c r="P1761" i="1" s="1"/>
  <c r="P1762" i="1" a="1"/>
  <c r="P1762" i="1"/>
  <c r="P1763" i="1" a="1"/>
  <c r="P1763" i="1"/>
  <c r="P1764" i="1" a="1"/>
  <c r="P1764" i="1"/>
  <c r="P1765" i="1" a="1"/>
  <c r="P1765" i="1"/>
  <c r="P1766" i="1" a="1"/>
  <c r="P1766" i="1" s="1"/>
  <c r="P1767" i="1" a="1"/>
  <c r="P1767" i="1"/>
  <c r="P1768" i="1" a="1"/>
  <c r="P1768" i="1" s="1"/>
  <c r="P1769" i="1" a="1"/>
  <c r="P1769" i="1" s="1"/>
  <c r="P1770" i="1" a="1"/>
  <c r="P1770" i="1"/>
  <c r="P1771" i="1" a="1"/>
  <c r="P1771" i="1"/>
  <c r="P1772" i="1" a="1"/>
  <c r="P1772" i="1"/>
  <c r="P1773" i="1" a="1"/>
  <c r="P1773" i="1"/>
  <c r="P1774" i="1" a="1"/>
  <c r="P1774" i="1" s="1"/>
  <c r="P1775" i="1" a="1"/>
  <c r="P1775" i="1"/>
  <c r="P1776" i="1" a="1"/>
  <c r="P1776" i="1" s="1"/>
  <c r="P1777" i="1" a="1"/>
  <c r="P1777" i="1"/>
  <c r="P1778" i="1" a="1"/>
  <c r="P1778" i="1"/>
  <c r="P1779" i="1" a="1"/>
  <c r="P1779" i="1"/>
  <c r="P1780" i="1" a="1"/>
  <c r="P1780" i="1" s="1"/>
  <c r="P1781" i="1" a="1"/>
  <c r="P1781" i="1"/>
  <c r="P1782" i="1" a="1"/>
  <c r="P1782" i="1" s="1"/>
  <c r="P1783" i="1" a="1"/>
  <c r="P1783" i="1"/>
  <c r="P1784" i="1" a="1"/>
  <c r="P1784" i="1"/>
  <c r="P1785" i="1" a="1"/>
  <c r="P1785" i="1"/>
  <c r="P1786" i="1" a="1"/>
  <c r="P1786" i="1" s="1"/>
  <c r="P1787" i="1" a="1"/>
  <c r="P1787" i="1"/>
  <c r="P1788" i="1" a="1"/>
  <c r="P1788" i="1"/>
  <c r="P1789" i="1" a="1"/>
  <c r="P1789" i="1" s="1"/>
  <c r="P1790" i="1" a="1"/>
  <c r="P1790" i="1"/>
  <c r="P1791" i="1" a="1"/>
  <c r="P1791" i="1"/>
  <c r="P1792" i="1" a="1"/>
  <c r="P1792" i="1" s="1"/>
  <c r="P1793" i="1" a="1"/>
  <c r="P1793" i="1"/>
  <c r="P1794" i="1" a="1"/>
  <c r="P1794" i="1"/>
  <c r="P1795" i="1" a="1"/>
  <c r="P1795" i="1" s="1"/>
  <c r="P1796" i="1" a="1"/>
  <c r="P1796" i="1"/>
  <c r="P1797" i="1" a="1"/>
  <c r="P1797" i="1"/>
  <c r="P1798" i="1" a="1"/>
  <c r="P1798" i="1" s="1"/>
  <c r="P1799" i="1" a="1"/>
  <c r="P1799" i="1"/>
  <c r="P1800" i="1" a="1"/>
  <c r="P1800" i="1"/>
  <c r="P1801" i="1" a="1"/>
  <c r="P1801" i="1"/>
  <c r="P1802" i="1" a="1"/>
  <c r="P1802" i="1" s="1"/>
  <c r="P1803" i="1" a="1"/>
  <c r="P1803" i="1"/>
  <c r="P1804" i="1" a="1"/>
  <c r="P1804" i="1" s="1"/>
  <c r="P1805" i="1" a="1"/>
  <c r="P1805" i="1"/>
  <c r="P1806" i="1" a="1"/>
  <c r="P1806" i="1"/>
  <c r="P1807" i="1" a="1"/>
  <c r="P1807" i="1"/>
  <c r="P1808" i="1" a="1"/>
  <c r="P1808" i="1" s="1"/>
  <c r="P1809" i="1" a="1"/>
  <c r="P1809" i="1"/>
  <c r="P1810" i="1" a="1"/>
  <c r="P1810" i="1" s="1"/>
  <c r="P1811" i="1" a="1"/>
  <c r="P1811" i="1"/>
  <c r="P1812" i="1" a="1"/>
  <c r="P1812" i="1"/>
  <c r="P1813" i="1" a="1"/>
  <c r="P1813" i="1"/>
  <c r="P1814" i="1" a="1"/>
  <c r="P1814" i="1"/>
  <c r="P1815" i="1" a="1"/>
  <c r="P1815" i="1" s="1"/>
  <c r="P1816" i="1" a="1"/>
  <c r="P1816" i="1" s="1"/>
  <c r="P1817" i="1" a="1"/>
  <c r="P1817" i="1"/>
  <c r="P1818" i="1" a="1"/>
  <c r="P1818" i="1"/>
  <c r="P1819" i="1" a="1"/>
  <c r="P1819" i="1"/>
  <c r="P1820" i="1" a="1"/>
  <c r="P1820" i="1"/>
  <c r="P1821" i="1" a="1"/>
  <c r="P1821" i="1" s="1"/>
  <c r="P1822" i="1" a="1"/>
  <c r="P1822" i="1" s="1"/>
  <c r="P1823" i="1" a="1"/>
  <c r="P1823" i="1"/>
  <c r="P1824" i="1" a="1"/>
  <c r="P1824" i="1"/>
  <c r="P1825" i="1" a="1"/>
  <c r="P1825" i="1"/>
  <c r="P1826" i="1" a="1"/>
  <c r="P1826" i="1"/>
  <c r="P1827" i="1" a="1"/>
  <c r="P1827" i="1"/>
  <c r="P1828" i="1" a="1"/>
  <c r="P1828" i="1" s="1"/>
  <c r="P1829" i="1" a="1"/>
  <c r="P1829" i="1"/>
  <c r="P1830" i="1" a="1"/>
  <c r="P1830" i="1"/>
  <c r="P1831" i="1" a="1"/>
  <c r="P1831" i="1"/>
  <c r="P1832" i="1" a="1"/>
  <c r="P1832" i="1"/>
  <c r="P1833" i="1" a="1"/>
  <c r="P1833" i="1"/>
  <c r="P1834" i="1" a="1"/>
  <c r="P1834" i="1" s="1"/>
  <c r="P1835" i="1" a="1"/>
  <c r="P1835" i="1" s="1"/>
  <c r="P1836" i="1" a="1"/>
  <c r="P1836" i="1"/>
  <c r="P1837" i="1" a="1"/>
  <c r="P1837" i="1"/>
  <c r="P1838" i="1" a="1"/>
  <c r="P1838" i="1"/>
  <c r="P1839" i="1" a="1"/>
  <c r="P1839" i="1"/>
  <c r="P1840" i="1" a="1"/>
  <c r="P1840" i="1" s="1"/>
  <c r="P1841" i="1" a="1"/>
  <c r="P1841" i="1" s="1"/>
  <c r="P1842" i="1" a="1"/>
  <c r="P1842" i="1"/>
  <c r="P1843" i="1" a="1"/>
  <c r="P1843" i="1"/>
  <c r="P1844" i="1" a="1"/>
  <c r="P1844" i="1"/>
  <c r="P1845" i="1" a="1"/>
  <c r="P1845" i="1"/>
  <c r="P1846" i="1" a="1"/>
  <c r="P1846" i="1" s="1"/>
  <c r="P1847" i="1" a="1"/>
  <c r="P1847" i="1"/>
  <c r="P1848" i="1" a="1"/>
  <c r="P1848" i="1" s="1"/>
  <c r="P1849" i="1" a="1"/>
  <c r="P1849" i="1"/>
  <c r="P1850" i="1" a="1"/>
  <c r="P1850" i="1"/>
  <c r="P1851" i="1" a="1"/>
  <c r="P1851" i="1"/>
  <c r="P1852" i="1" a="1"/>
  <c r="P1852" i="1" s="1"/>
  <c r="P1853" i="1" a="1"/>
  <c r="P1853" i="1"/>
  <c r="P1854" i="1" a="1"/>
  <c r="P1854" i="1" s="1"/>
  <c r="P1855" i="1" a="1"/>
  <c r="P1855" i="1"/>
  <c r="P1856" i="1" a="1"/>
  <c r="P1856" i="1"/>
  <c r="P1857" i="1" a="1"/>
  <c r="P1857" i="1"/>
  <c r="P1858" i="1" a="1"/>
  <c r="P1858" i="1" s="1"/>
  <c r="P1859" i="1" a="1"/>
  <c r="P1859" i="1"/>
  <c r="P1860" i="1" a="1"/>
  <c r="P1860" i="1"/>
  <c r="P1861" i="1" a="1"/>
  <c r="P1861" i="1" s="1"/>
  <c r="P1862" i="1" a="1"/>
  <c r="P1862" i="1"/>
  <c r="P1863" i="1" a="1"/>
  <c r="P1863" i="1"/>
  <c r="P1864" i="1" a="1"/>
  <c r="P1864" i="1" s="1"/>
  <c r="P1865" i="1" a="1"/>
  <c r="P1865" i="1"/>
  <c r="P1866" i="1" a="1"/>
  <c r="P1866" i="1"/>
  <c r="P1867" i="1" a="1"/>
  <c r="P1867" i="1" s="1"/>
  <c r="P1868" i="1" a="1"/>
  <c r="P1868" i="1"/>
  <c r="P1869" i="1" a="1"/>
  <c r="P1869" i="1"/>
  <c r="P1870" i="1" a="1"/>
  <c r="P1870" i="1" s="1"/>
  <c r="P1871" i="1" a="1"/>
  <c r="P1871" i="1"/>
  <c r="P1872" i="1" a="1"/>
  <c r="P1872" i="1"/>
  <c r="P1873" i="1" a="1"/>
  <c r="P1873" i="1"/>
  <c r="P1874" i="1" a="1"/>
  <c r="P1874" i="1" s="1"/>
  <c r="P1875" i="1" a="1"/>
  <c r="P1875" i="1"/>
  <c r="P1876" i="1" a="1"/>
  <c r="P1876" i="1" s="1"/>
  <c r="P1877" i="1" a="1"/>
  <c r="P1877" i="1"/>
  <c r="P1878" i="1" a="1"/>
  <c r="P1878" i="1"/>
  <c r="P1879" i="1" a="1"/>
  <c r="P1879" i="1"/>
  <c r="P1880" i="1" a="1"/>
  <c r="P1880" i="1" s="1"/>
  <c r="P1881" i="1" a="1"/>
  <c r="P1881" i="1"/>
  <c r="P1882" i="1" a="1"/>
  <c r="P1882" i="1" s="1"/>
  <c r="P1883" i="1" a="1"/>
  <c r="P1883" i="1"/>
  <c r="P1884" i="1" a="1"/>
  <c r="P1884" i="1"/>
  <c r="P1885" i="1" a="1"/>
  <c r="P1885" i="1"/>
  <c r="P1886" i="1" a="1"/>
  <c r="P1886" i="1"/>
  <c r="P1887" i="1" a="1"/>
  <c r="P1887" i="1" s="1"/>
  <c r="P1888" i="1" a="1"/>
  <c r="P1888" i="1" s="1"/>
  <c r="P1889" i="1" a="1"/>
  <c r="P1889" i="1"/>
  <c r="P1890" i="1" a="1"/>
  <c r="P1890" i="1"/>
  <c r="P1891" i="1" a="1"/>
  <c r="P1891" i="1"/>
  <c r="P1892" i="1" a="1"/>
  <c r="P1892" i="1"/>
  <c r="P1893" i="1" a="1"/>
  <c r="P1893" i="1" s="1"/>
  <c r="P1894" i="1" a="1"/>
  <c r="P1894" i="1" s="1"/>
  <c r="P1895" i="1" a="1"/>
  <c r="P1895" i="1"/>
  <c r="P1896" i="1" a="1"/>
  <c r="P1896" i="1"/>
  <c r="P1897" i="1" a="1"/>
  <c r="P1897" i="1"/>
  <c r="P1898" i="1" a="1"/>
  <c r="P1898" i="1"/>
  <c r="P1899" i="1" a="1"/>
  <c r="P1899" i="1"/>
  <c r="P1900" i="1" a="1"/>
  <c r="P1900" i="1" s="1"/>
  <c r="P1901" i="1" a="1"/>
  <c r="P1901" i="1"/>
  <c r="P1902" i="1" a="1"/>
  <c r="P1902" i="1"/>
  <c r="P1903" i="1" a="1"/>
  <c r="P1903" i="1"/>
  <c r="P1904" i="1" a="1"/>
  <c r="P1904" i="1"/>
  <c r="P1905" i="1" a="1"/>
  <c r="P1905" i="1"/>
  <c r="P1906" i="1" a="1"/>
  <c r="P1906" i="1" s="1"/>
  <c r="P1907" i="1" a="1"/>
  <c r="P1907" i="1" s="1"/>
  <c r="P1908" i="1" a="1"/>
  <c r="P1908" i="1"/>
  <c r="P1909" i="1" a="1"/>
  <c r="P1909" i="1"/>
  <c r="P1910" i="1" a="1"/>
  <c r="P1910" i="1"/>
  <c r="P1911" i="1" a="1"/>
  <c r="P1911" i="1"/>
  <c r="P1912" i="1" a="1"/>
  <c r="P1912" i="1" s="1"/>
  <c r="P1913" i="1" a="1"/>
  <c r="P1913" i="1" s="1"/>
  <c r="P1914" i="1" a="1"/>
  <c r="P1914" i="1"/>
  <c r="P1915" i="1" a="1"/>
  <c r="P1915" i="1"/>
  <c r="P1916" i="1" a="1"/>
  <c r="P1916" i="1"/>
  <c r="P1917" i="1" a="1"/>
  <c r="P1917" i="1"/>
  <c r="P1918" i="1" a="1"/>
  <c r="P1918" i="1" s="1"/>
  <c r="P1919" i="1" a="1"/>
  <c r="P1919" i="1"/>
  <c r="P1920" i="1" a="1"/>
  <c r="P1920" i="1" s="1"/>
  <c r="P1921" i="1" a="1"/>
  <c r="P1921" i="1"/>
  <c r="P1922" i="1" a="1"/>
  <c r="P1922" i="1"/>
  <c r="P1923" i="1" a="1"/>
  <c r="P1923" i="1"/>
  <c r="P1924" i="1" a="1"/>
  <c r="P1924" i="1" s="1"/>
  <c r="P1925" i="1" a="1"/>
  <c r="P1925" i="1"/>
  <c r="P1926" i="1" a="1"/>
  <c r="P1926" i="1" s="1"/>
  <c r="P1927" i="1" a="1"/>
  <c r="P1927" i="1"/>
  <c r="P1928" i="1" a="1"/>
  <c r="P1928" i="1"/>
  <c r="P1929" i="1" a="1"/>
  <c r="P1929" i="1"/>
  <c r="P1930" i="1" a="1"/>
  <c r="P1930" i="1" s="1"/>
  <c r="P1931" i="1" a="1"/>
  <c r="P1931" i="1"/>
  <c r="P1932" i="1" a="1"/>
  <c r="P1932" i="1"/>
  <c r="P1933" i="1" a="1"/>
  <c r="P1933" i="1" s="1"/>
  <c r="P1934" i="1" a="1"/>
  <c r="P1934" i="1"/>
  <c r="P1935" i="1" a="1"/>
  <c r="P1935" i="1"/>
  <c r="P1936" i="1" a="1"/>
  <c r="P1936" i="1" s="1"/>
  <c r="P1937" i="1" a="1"/>
  <c r="P1937" i="1"/>
  <c r="P1938" i="1" a="1"/>
  <c r="P1938" i="1"/>
  <c r="P1939" i="1" a="1"/>
  <c r="P1939" i="1" s="1"/>
  <c r="P1940" i="1" a="1"/>
  <c r="P1940" i="1"/>
  <c r="P1941" i="1" a="1"/>
  <c r="P1941" i="1"/>
  <c r="P1942" i="1" a="1"/>
  <c r="P1942" i="1" s="1"/>
  <c r="P1943" i="1" a="1"/>
  <c r="P1943" i="1"/>
  <c r="P1944" i="1" a="1"/>
  <c r="P1944" i="1"/>
  <c r="P1945" i="1" a="1"/>
  <c r="P1945" i="1"/>
  <c r="P1946" i="1" a="1"/>
  <c r="P1946" i="1" s="1"/>
  <c r="P1947" i="1" a="1"/>
  <c r="P1947" i="1"/>
  <c r="P1948" i="1" a="1"/>
  <c r="P1948" i="1" s="1"/>
  <c r="P1949" i="1" a="1"/>
  <c r="P1949" i="1"/>
  <c r="P1950" i="1" a="1"/>
  <c r="P1950" i="1"/>
  <c r="P1951" i="1" a="1"/>
  <c r="P1951" i="1"/>
  <c r="P1952" i="1" a="1"/>
  <c r="P1952" i="1" s="1"/>
  <c r="P1953" i="1" a="1"/>
  <c r="P1953" i="1"/>
  <c r="P1954" i="1" a="1"/>
  <c r="P1954" i="1" s="1"/>
  <c r="P1955" i="1" a="1"/>
  <c r="P1955" i="1"/>
  <c r="P1956" i="1" a="1"/>
  <c r="P1956" i="1"/>
  <c r="P1957" i="1" a="1"/>
  <c r="P1957" i="1"/>
  <c r="P1958" i="1" a="1"/>
  <c r="P1958" i="1"/>
  <c r="P1959" i="1" a="1"/>
  <c r="P1959" i="1" s="1"/>
  <c r="P1960" i="1" a="1"/>
  <c r="P1960" i="1" s="1"/>
  <c r="P1961" i="1" a="1"/>
  <c r="P1961" i="1"/>
  <c r="P1962" i="1" a="1"/>
  <c r="P1962" i="1"/>
  <c r="P1963" i="1" a="1"/>
  <c r="P1963" i="1"/>
  <c r="P1964" i="1" a="1"/>
  <c r="P1964" i="1"/>
  <c r="P1965" i="1" a="1"/>
  <c r="P1965" i="1" s="1"/>
  <c r="P1966" i="1" a="1"/>
  <c r="P1966" i="1" s="1"/>
  <c r="P1967" i="1" a="1"/>
  <c r="P1967" i="1"/>
  <c r="P1968" i="1" a="1"/>
  <c r="P1968" i="1"/>
  <c r="P1969" i="1" a="1"/>
  <c r="P1969" i="1"/>
  <c r="P1970" i="1" a="1"/>
  <c r="P1970" i="1"/>
  <c r="P1971" i="1" a="1"/>
  <c r="P1971" i="1"/>
  <c r="P1972" i="1" a="1"/>
  <c r="P1972" i="1" s="1"/>
  <c r="P1973" i="1" a="1"/>
  <c r="P1973" i="1"/>
  <c r="P1974" i="1" a="1"/>
  <c r="P1974" i="1"/>
  <c r="P1975" i="1" a="1"/>
  <c r="P1975" i="1"/>
  <c r="P1976" i="1" a="1"/>
  <c r="P1976" i="1"/>
  <c r="P1977" i="1" a="1"/>
  <c r="P1977" i="1"/>
  <c r="P1978" i="1" a="1"/>
  <c r="P1978" i="1" s="1"/>
  <c r="P1979" i="1" a="1"/>
  <c r="P1979" i="1" s="1"/>
  <c r="P1980" i="1" a="1"/>
  <c r="P1980" i="1"/>
  <c r="P1981" i="1" a="1"/>
  <c r="P1981" i="1"/>
  <c r="P1982" i="1" a="1"/>
  <c r="P1982" i="1"/>
  <c r="P1983" i="1" a="1"/>
  <c r="P1983" i="1"/>
  <c r="P1984" i="1" a="1"/>
  <c r="P1984" i="1" s="1"/>
  <c r="P1985" i="1" a="1"/>
  <c r="P1985" i="1" s="1"/>
  <c r="P1986" i="1" a="1"/>
  <c r="P1986" i="1"/>
  <c r="P1987" i="1" a="1"/>
  <c r="P1987" i="1"/>
  <c r="P1988" i="1" a="1"/>
  <c r="P1988" i="1"/>
  <c r="P1989" i="1" a="1"/>
  <c r="P1989" i="1"/>
  <c r="P1990" i="1" a="1"/>
  <c r="P1990" i="1" s="1"/>
  <c r="P1991" i="1" a="1"/>
  <c r="P1991" i="1"/>
  <c r="P1992" i="1" a="1"/>
  <c r="P1992" i="1" s="1"/>
  <c r="P1993" i="1" a="1"/>
  <c r="P1993" i="1"/>
  <c r="P1994" i="1" a="1"/>
  <c r="P1994" i="1"/>
  <c r="P1995" i="1" a="1"/>
  <c r="P1995" i="1"/>
  <c r="P1996" i="1" a="1"/>
  <c r="P1996" i="1" s="1"/>
  <c r="P1997" i="1" a="1"/>
  <c r="P1997" i="1"/>
  <c r="P1998" i="1" a="1"/>
  <c r="P1998" i="1" s="1"/>
  <c r="P1999" i="1" a="1"/>
  <c r="P1999" i="1"/>
  <c r="P2000" i="1" a="1"/>
  <c r="P2000" i="1"/>
  <c r="P2001" i="1" a="1"/>
  <c r="P2001" i="1"/>
  <c r="P2002" i="1" a="1"/>
  <c r="P2002" i="1" s="1"/>
  <c r="P2003" i="1" a="1"/>
  <c r="P2003" i="1"/>
  <c r="P2004" i="1" a="1"/>
  <c r="P2004" i="1"/>
  <c r="P2005" i="1" a="1"/>
  <c r="P2005" i="1" s="1"/>
  <c r="P2006" i="1" a="1"/>
  <c r="P2006" i="1"/>
  <c r="P2007" i="1" a="1"/>
  <c r="P2007" i="1"/>
  <c r="P2008" i="1" a="1"/>
  <c r="P2008" i="1" s="1"/>
  <c r="P2009" i="1" a="1"/>
  <c r="P2009" i="1"/>
  <c r="P2010" i="1" a="1"/>
  <c r="P2010" i="1"/>
  <c r="P2011" i="1" a="1"/>
  <c r="P2011" i="1" s="1"/>
  <c r="P2012" i="1" a="1"/>
  <c r="P2012" i="1"/>
  <c r="P2013" i="1" a="1"/>
  <c r="P2013" i="1"/>
  <c r="P2014" i="1" a="1"/>
  <c r="P2014" i="1" s="1"/>
  <c r="P2015" i="1" a="1"/>
  <c r="P2015" i="1"/>
  <c r="P2016" i="1" a="1"/>
  <c r="P2016" i="1"/>
  <c r="P2017" i="1" a="1"/>
  <c r="P2017" i="1"/>
  <c r="P2018" i="1" a="1"/>
  <c r="P2018" i="1" s="1"/>
  <c r="P2019" i="1" a="1"/>
  <c r="P2019" i="1"/>
  <c r="P2020" i="1" a="1"/>
  <c r="P2020" i="1" s="1"/>
  <c r="P2021" i="1" a="1"/>
  <c r="P2021" i="1"/>
  <c r="P2022" i="1" a="1"/>
  <c r="P2022" i="1"/>
  <c r="P2023" i="1" a="1"/>
  <c r="P2023" i="1"/>
  <c r="P2024" i="1" a="1"/>
  <c r="P2024" i="1" s="1"/>
  <c r="P2025" i="1" a="1"/>
  <c r="P2025" i="1"/>
  <c r="P2026" i="1" a="1"/>
  <c r="P2026" i="1" s="1"/>
  <c r="P2027" i="1" a="1"/>
  <c r="P2027" i="1"/>
  <c r="P2028" i="1" a="1"/>
  <c r="P2028" i="1"/>
  <c r="P2029" i="1" a="1"/>
  <c r="P2029" i="1"/>
  <c r="P2030" i="1" a="1"/>
  <c r="P2030" i="1"/>
  <c r="P2031" i="1" a="1"/>
  <c r="P2031" i="1" s="1"/>
  <c r="P2032" i="1" a="1"/>
  <c r="P2032" i="1" s="1"/>
  <c r="P2033" i="1" a="1"/>
  <c r="P2033" i="1"/>
  <c r="P2034" i="1" a="1"/>
  <c r="P2034" i="1"/>
  <c r="P2035" i="1" a="1"/>
  <c r="P2035" i="1"/>
  <c r="P2036" i="1" a="1"/>
  <c r="P2036" i="1"/>
  <c r="P2037" i="1" a="1"/>
  <c r="P2037" i="1" s="1"/>
  <c r="P2038" i="1" a="1"/>
  <c r="P2038" i="1" s="1"/>
  <c r="P2039" i="1" a="1"/>
  <c r="P2039" i="1"/>
  <c r="P2040" i="1" a="1"/>
  <c r="P2040" i="1"/>
  <c r="P2041" i="1" a="1"/>
  <c r="P2041" i="1"/>
  <c r="P2042" i="1" a="1"/>
  <c r="P2042" i="1"/>
  <c r="P2043" i="1" a="1"/>
  <c r="P2043" i="1"/>
  <c r="P2044" i="1" a="1"/>
  <c r="P2044" i="1" s="1"/>
  <c r="P2045" i="1" a="1"/>
  <c r="P2045" i="1"/>
  <c r="P2046" i="1" a="1"/>
  <c r="P2046" i="1"/>
  <c r="P2047" i="1" a="1"/>
  <c r="P2047" i="1"/>
  <c r="P2048" i="1" a="1"/>
  <c r="P2048" i="1"/>
  <c r="P2049" i="1" a="1"/>
  <c r="P2049" i="1"/>
  <c r="P2050" i="1" a="1"/>
  <c r="P2050" i="1" s="1"/>
  <c r="P2051" i="1" a="1"/>
  <c r="P2051" i="1" s="1"/>
  <c r="P2052" i="1" a="1"/>
  <c r="P2052" i="1"/>
  <c r="P2053" i="1" a="1"/>
  <c r="P2053" i="1"/>
  <c r="P2054" i="1" a="1"/>
  <c r="P2054" i="1"/>
  <c r="P2055" i="1" a="1"/>
  <c r="P2055" i="1"/>
  <c r="P2056" i="1" a="1"/>
  <c r="P2056" i="1" s="1"/>
  <c r="P2057" i="1" a="1"/>
  <c r="P2057" i="1" s="1"/>
  <c r="P2058" i="1" a="1"/>
  <c r="P2058" i="1"/>
  <c r="P2059" i="1" a="1"/>
  <c r="P2059" i="1"/>
  <c r="P2060" i="1" a="1"/>
  <c r="P2060" i="1"/>
  <c r="P2061" i="1" a="1"/>
  <c r="P2061" i="1" s="1"/>
  <c r="P2062" i="1" a="1"/>
  <c r="P2062" i="1" s="1"/>
  <c r="P2063" i="1" a="1"/>
  <c r="P2063" i="1"/>
  <c r="P2064" i="1" a="1"/>
  <c r="P2064" i="1" s="1"/>
  <c r="P2065" i="1" a="1"/>
  <c r="P2065" i="1"/>
  <c r="P2066" i="1" a="1"/>
  <c r="P2066" i="1"/>
  <c r="P2067" i="1" a="1"/>
  <c r="P2067" i="1"/>
  <c r="P2068" i="1" a="1"/>
  <c r="P2068" i="1" s="1"/>
  <c r="P2069" i="1" a="1"/>
  <c r="P2069" i="1"/>
  <c r="P2070" i="1" a="1"/>
  <c r="P2070" i="1" s="1"/>
  <c r="P2071" i="1" a="1"/>
  <c r="P2071" i="1"/>
  <c r="P2072" i="1" a="1"/>
  <c r="P2072" i="1"/>
  <c r="P2073" i="1" a="1"/>
  <c r="P2073" i="1"/>
  <c r="P2074" i="1" a="1"/>
  <c r="P2074" i="1" s="1"/>
  <c r="P2075" i="1" a="1"/>
  <c r="P2075" i="1"/>
  <c r="P2076" i="1" a="1"/>
  <c r="P2076" i="1"/>
  <c r="P2077" i="1" a="1"/>
  <c r="P2077" i="1" s="1"/>
  <c r="P2078" i="1" a="1"/>
  <c r="P2078" i="1"/>
  <c r="P2079" i="1" a="1"/>
  <c r="P2079" i="1"/>
  <c r="P2080" i="1" a="1"/>
  <c r="P2080" i="1" s="1"/>
  <c r="P2081" i="1" a="1"/>
  <c r="P2081" i="1"/>
  <c r="P2082" i="1" a="1"/>
  <c r="P2082" i="1"/>
  <c r="P2083" i="1" a="1"/>
  <c r="P2083" i="1" s="1"/>
  <c r="P2084" i="1" a="1"/>
  <c r="P2084" i="1"/>
  <c r="P2085" i="1" a="1"/>
  <c r="P2085" i="1"/>
  <c r="P2086" i="1" a="1"/>
  <c r="P2086" i="1" s="1"/>
  <c r="P2087" i="1" a="1"/>
  <c r="P2087" i="1"/>
  <c r="P2088" i="1" a="1"/>
  <c r="P2088" i="1"/>
  <c r="P2089" i="1" a="1"/>
  <c r="P2089" i="1"/>
  <c r="P2090" i="1" a="1"/>
  <c r="P2090" i="1" s="1"/>
  <c r="P2091" i="1" a="1"/>
  <c r="P2091" i="1"/>
  <c r="P2092" i="1" a="1"/>
  <c r="P2092" i="1" s="1"/>
  <c r="P2093" i="1" a="1"/>
  <c r="P2093" i="1"/>
  <c r="P2094" i="1" a="1"/>
  <c r="P2094" i="1"/>
  <c r="P2095" i="1" a="1"/>
  <c r="P2095" i="1"/>
  <c r="P2096" i="1" a="1"/>
  <c r="P2096" i="1" s="1"/>
  <c r="P2097" i="1" a="1"/>
  <c r="P2097" i="1"/>
  <c r="P2098" i="1" a="1"/>
  <c r="P2098" i="1" s="1"/>
  <c r="P2099" i="1" a="1"/>
  <c r="P2099" i="1"/>
  <c r="P2100" i="1" a="1"/>
  <c r="P2100" i="1"/>
  <c r="P2101" i="1" a="1"/>
  <c r="P2101" i="1"/>
  <c r="P2102" i="1" a="1"/>
  <c r="P2102" i="1"/>
  <c r="P2103" i="1" a="1"/>
  <c r="P2103" i="1" s="1"/>
  <c r="P2104" i="1" a="1"/>
  <c r="P2104" i="1" s="1"/>
  <c r="P2105" i="1" a="1"/>
  <c r="P2105" i="1"/>
  <c r="P2106" i="1" a="1"/>
  <c r="P2106" i="1"/>
  <c r="P2107" i="1" a="1"/>
  <c r="P2107" i="1"/>
  <c r="P2108" i="1" a="1"/>
  <c r="P2108" i="1"/>
  <c r="P2109" i="1" a="1"/>
  <c r="P2109" i="1" s="1"/>
  <c r="P2110" i="1" a="1"/>
  <c r="P2110" i="1" s="1"/>
  <c r="P2111" i="1" a="1"/>
  <c r="P2111" i="1"/>
  <c r="P2112" i="1" a="1"/>
  <c r="P2112" i="1"/>
  <c r="P2113" i="1" a="1"/>
  <c r="P2113" i="1"/>
  <c r="P2114" i="1" a="1"/>
  <c r="P2114" i="1"/>
  <c r="P2115" i="1" a="1"/>
  <c r="P2115" i="1"/>
  <c r="P2116" i="1" a="1"/>
  <c r="P2116" i="1" s="1"/>
  <c r="P2117" i="1" a="1"/>
  <c r="P2117" i="1"/>
  <c r="P2118" i="1" a="1"/>
  <c r="P2118" i="1"/>
  <c r="P2119" i="1" a="1"/>
  <c r="P2119" i="1"/>
  <c r="P2120" i="1" a="1"/>
  <c r="P2120" i="1"/>
  <c r="P2121" i="1" a="1"/>
  <c r="P2121" i="1"/>
  <c r="P2122" i="1" a="1"/>
  <c r="P2122" i="1" s="1"/>
  <c r="P2123" i="1" a="1"/>
  <c r="P2123" i="1" s="1"/>
  <c r="P2124" i="1" a="1"/>
  <c r="P2124" i="1"/>
  <c r="P2125" i="1" a="1"/>
  <c r="P2125" i="1"/>
  <c r="P2126" i="1" a="1"/>
  <c r="P2126" i="1"/>
  <c r="P2127" i="1" a="1"/>
  <c r="P2127" i="1"/>
  <c r="P2128" i="1" a="1"/>
  <c r="P2128" i="1" s="1"/>
  <c r="P2129" i="1" a="1"/>
  <c r="P2129" i="1" s="1"/>
  <c r="P2130" i="1" a="1"/>
  <c r="P2130" i="1"/>
  <c r="P2131" i="1" a="1"/>
  <c r="P2131" i="1"/>
  <c r="P2132" i="1" a="1"/>
  <c r="P2132" i="1"/>
  <c r="P2133" i="1" a="1"/>
  <c r="P2133" i="1"/>
  <c r="P2134" i="1" a="1"/>
  <c r="P2134" i="1" s="1"/>
  <c r="P2135" i="1" a="1"/>
  <c r="P2135" i="1"/>
  <c r="P2136" i="1" a="1"/>
  <c r="P2136" i="1" s="1"/>
  <c r="P2137" i="1" a="1"/>
  <c r="P2137" i="1"/>
  <c r="P2138" i="1" a="1"/>
  <c r="P2138" i="1"/>
  <c r="P2139" i="1" a="1"/>
  <c r="P2139" i="1"/>
  <c r="P2140" i="1" a="1"/>
  <c r="P2140" i="1" s="1"/>
  <c r="P2141" i="1" a="1"/>
  <c r="P2141" i="1"/>
  <c r="P2142" i="1" a="1"/>
  <c r="P2142" i="1" s="1"/>
  <c r="P2143" i="1" a="1"/>
  <c r="P2143" i="1"/>
  <c r="P2144" i="1" a="1"/>
  <c r="P2144" i="1"/>
  <c r="P2145" i="1" a="1"/>
  <c r="P2145" i="1"/>
  <c r="P2146" i="1" a="1"/>
  <c r="P2146" i="1" s="1"/>
  <c r="P2147" i="1" a="1"/>
  <c r="P2147" i="1"/>
  <c r="P2148" i="1" a="1"/>
  <c r="P2148" i="1"/>
  <c r="P2149" i="1" a="1"/>
  <c r="P2149" i="1" s="1"/>
  <c r="P2150" i="1" a="1"/>
  <c r="P2150" i="1"/>
  <c r="P2151" i="1" a="1"/>
  <c r="P2151" i="1"/>
  <c r="P2152" i="1" a="1"/>
  <c r="P2152" i="1" s="1"/>
  <c r="P2153" i="1" a="1"/>
  <c r="P2153" i="1"/>
  <c r="P2154" i="1" a="1"/>
  <c r="P2154" i="1"/>
  <c r="P2155" i="1" a="1"/>
  <c r="P2155" i="1" s="1"/>
  <c r="P2156" i="1" a="1"/>
  <c r="P2156" i="1"/>
  <c r="P2157" i="1" a="1"/>
  <c r="P2157" i="1"/>
  <c r="P2158" i="1" a="1"/>
  <c r="P2158" i="1" s="1"/>
  <c r="P2159" i="1" a="1"/>
  <c r="P2159" i="1"/>
  <c r="P2160" i="1" a="1"/>
  <c r="P2160" i="1"/>
  <c r="P2161" i="1" a="1"/>
  <c r="P2161" i="1"/>
  <c r="P2162" i="1" a="1"/>
  <c r="P2162" i="1" s="1"/>
  <c r="P2163" i="1" a="1"/>
  <c r="P2163" i="1"/>
  <c r="P2164" i="1" a="1"/>
  <c r="P2164" i="1" s="1"/>
  <c r="P2165" i="1" a="1"/>
  <c r="P2165" i="1"/>
  <c r="P2166" i="1" a="1"/>
  <c r="P2166" i="1"/>
  <c r="P2167" i="1" a="1"/>
  <c r="P2167" i="1"/>
  <c r="P2168" i="1" a="1"/>
  <c r="P2168" i="1" s="1"/>
  <c r="P2169" i="1" a="1"/>
  <c r="P2169" i="1"/>
  <c r="P2170" i="1" a="1"/>
  <c r="P2170" i="1" s="1"/>
  <c r="P2171" i="1" a="1"/>
  <c r="P2171" i="1"/>
  <c r="P2172" i="1" a="1"/>
  <c r="P2172" i="1"/>
  <c r="P2173" i="1" a="1"/>
  <c r="P2173" i="1"/>
  <c r="P2174" i="1" a="1"/>
  <c r="P2174" i="1"/>
  <c r="P2175" i="1" a="1"/>
  <c r="P2175" i="1" s="1"/>
  <c r="P2176" i="1" a="1"/>
  <c r="P2176" i="1" s="1"/>
  <c r="P2177" i="1" a="1"/>
  <c r="P2177" i="1"/>
  <c r="P2178" i="1" a="1"/>
  <c r="P2178" i="1"/>
  <c r="P2179" i="1" a="1"/>
  <c r="P2179" i="1"/>
  <c r="P2180" i="1" a="1"/>
  <c r="P2180" i="1"/>
  <c r="P2181" i="1" a="1"/>
  <c r="P2181" i="1" s="1"/>
  <c r="P2182" i="1" a="1"/>
  <c r="P2182" i="1" s="1"/>
  <c r="P2183" i="1" a="1"/>
  <c r="P2183" i="1"/>
  <c r="P2184" i="1" a="1"/>
  <c r="P2184" i="1"/>
  <c r="P2185" i="1" a="1"/>
  <c r="P2185" i="1"/>
  <c r="P2186" i="1" a="1"/>
  <c r="P2186" i="1"/>
  <c r="P2187" i="1" a="1"/>
  <c r="P2187" i="1"/>
  <c r="P2188" i="1" a="1"/>
  <c r="P2188" i="1" s="1"/>
  <c r="P2189" i="1" a="1"/>
  <c r="P2189" i="1"/>
  <c r="P2190" i="1" a="1"/>
  <c r="P2190" i="1"/>
  <c r="P2191" i="1" a="1"/>
  <c r="P2191" i="1"/>
  <c r="P2192" i="1" a="1"/>
  <c r="P2192" i="1"/>
  <c r="P2193" i="1" a="1"/>
  <c r="P2193" i="1"/>
  <c r="P2194" i="1" a="1"/>
  <c r="P2194" i="1" s="1"/>
  <c r="P2195" i="1" a="1"/>
  <c r="P2195" i="1" s="1"/>
  <c r="P2196" i="1" a="1"/>
  <c r="P2196" i="1"/>
  <c r="P2197" i="1" a="1"/>
  <c r="P2197" i="1"/>
  <c r="P2198" i="1" a="1"/>
  <c r="P2198" i="1"/>
  <c r="P2199" i="1" a="1"/>
  <c r="P2199" i="1"/>
  <c r="P2200" i="1" a="1"/>
  <c r="P2200" i="1" s="1"/>
  <c r="P2201" i="1" a="1"/>
  <c r="P2201" i="1" s="1"/>
  <c r="P2202" i="1" a="1"/>
  <c r="P2202" i="1"/>
  <c r="P2203" i="1" a="1"/>
  <c r="P2203" i="1"/>
  <c r="P2204" i="1" a="1"/>
  <c r="P2204" i="1"/>
  <c r="P2205" i="1" a="1"/>
  <c r="P2205" i="1"/>
  <c r="P2206" i="1" a="1"/>
  <c r="P2206" i="1" s="1"/>
  <c r="P2207" i="1" a="1"/>
  <c r="P2207" i="1"/>
  <c r="P2208" i="1" a="1"/>
  <c r="P2208" i="1" s="1"/>
  <c r="P2209" i="1" a="1"/>
  <c r="P2209" i="1"/>
  <c r="P2210" i="1" a="1"/>
  <c r="P2210" i="1"/>
  <c r="P2211" i="1" a="1"/>
  <c r="P2211" i="1"/>
  <c r="P2212" i="1" a="1"/>
  <c r="P2212" i="1" s="1"/>
  <c r="P2213" i="1" a="1"/>
  <c r="P2213" i="1"/>
  <c r="P2214" i="1" a="1"/>
  <c r="P2214" i="1" s="1"/>
  <c r="P2215" i="1" a="1"/>
  <c r="P2215" i="1"/>
  <c r="P2216" i="1" a="1"/>
  <c r="P2216" i="1"/>
  <c r="P2217" i="1" a="1"/>
  <c r="P2217" i="1"/>
  <c r="P2218" i="1" a="1"/>
  <c r="P2218" i="1" s="1"/>
  <c r="P2219" i="1" a="1"/>
  <c r="P2219" i="1"/>
  <c r="P2220" i="1" a="1"/>
  <c r="P2220" i="1"/>
  <c r="P2221" i="1" a="1"/>
  <c r="P2221" i="1" s="1"/>
  <c r="P2222" i="1" a="1"/>
  <c r="P2222" i="1"/>
  <c r="P2223" i="1" a="1"/>
  <c r="P2223" i="1"/>
  <c r="P2224" i="1" a="1"/>
  <c r="P2224" i="1" s="1"/>
  <c r="P2225" i="1" a="1"/>
  <c r="P2225" i="1"/>
  <c r="P2226" i="1" a="1"/>
  <c r="P2226" i="1"/>
  <c r="P2227" i="1" a="1"/>
  <c r="P2227" i="1" s="1"/>
  <c r="P2228" i="1" a="1"/>
  <c r="P2228" i="1"/>
  <c r="P2229" i="1" a="1"/>
  <c r="P2229" i="1"/>
  <c r="P2230" i="1" a="1"/>
  <c r="P2230" i="1" s="1"/>
  <c r="P2231" i="1" a="1"/>
  <c r="P2231" i="1"/>
  <c r="P2232" i="1" a="1"/>
  <c r="P2232" i="1"/>
  <c r="P2233" i="1" a="1"/>
  <c r="P2233" i="1"/>
  <c r="P2234" i="1" a="1"/>
  <c r="P2234" i="1" s="1"/>
  <c r="P2235" i="1" a="1"/>
  <c r="P2235" i="1"/>
  <c r="P2236" i="1" a="1"/>
  <c r="P2236" i="1" s="1"/>
  <c r="P2237" i="1" a="1"/>
  <c r="P2237" i="1"/>
  <c r="P2238" i="1" a="1"/>
  <c r="P2238" i="1"/>
  <c r="P2239" i="1" a="1"/>
  <c r="P2239" i="1"/>
  <c r="P2240" i="1" a="1"/>
  <c r="P2240" i="1" s="1"/>
  <c r="P2241" i="1" a="1"/>
  <c r="P2241" i="1"/>
  <c r="P2242" i="1" a="1"/>
  <c r="P2242" i="1" s="1"/>
  <c r="P2243" i="1" a="1"/>
  <c r="P2243" i="1"/>
  <c r="P2244" i="1" a="1"/>
  <c r="P2244" i="1"/>
  <c r="P2245" i="1" a="1"/>
  <c r="P2245" i="1"/>
  <c r="P2246" i="1" a="1"/>
  <c r="P2246" i="1"/>
  <c r="P2247" i="1" a="1"/>
  <c r="P2247" i="1" s="1"/>
  <c r="P2248" i="1" a="1"/>
  <c r="P2248" i="1" s="1"/>
  <c r="P2249" i="1" a="1"/>
  <c r="P2249" i="1"/>
  <c r="P2250" i="1" a="1"/>
  <c r="P2250" i="1"/>
  <c r="P2251" i="1" a="1"/>
  <c r="P2251" i="1"/>
  <c r="P2252" i="1" a="1"/>
  <c r="P2252" i="1"/>
  <c r="P2253" i="1" a="1"/>
  <c r="P2253" i="1" s="1"/>
  <c r="P2254" i="1" a="1"/>
  <c r="P2254" i="1" s="1"/>
  <c r="P2255" i="1" a="1"/>
  <c r="P2255" i="1"/>
  <c r="P2256" i="1" a="1"/>
  <c r="P2256" i="1"/>
  <c r="P2257" i="1" a="1"/>
  <c r="P2257" i="1"/>
  <c r="P2258" i="1" a="1"/>
  <c r="P2258" i="1"/>
  <c r="P2259" i="1" a="1"/>
  <c r="P2259" i="1"/>
  <c r="P2260" i="1" a="1"/>
  <c r="P2260" i="1" s="1"/>
  <c r="P2261" i="1" a="1"/>
  <c r="P2261" i="1"/>
  <c r="P2262" i="1" a="1"/>
  <c r="P2262" i="1"/>
  <c r="P2263" i="1" a="1"/>
  <c r="P2263" i="1"/>
  <c r="P2264" i="1" a="1"/>
  <c r="P2264" i="1"/>
  <c r="P2265" i="1" a="1"/>
  <c r="P2265" i="1"/>
  <c r="P2266" i="1" a="1"/>
  <c r="P2266" i="1" s="1"/>
  <c r="P2267" i="1" a="1"/>
  <c r="P2267" i="1" s="1"/>
  <c r="P2268" i="1" a="1"/>
  <c r="P2268" i="1"/>
  <c r="P2269" i="1" a="1"/>
  <c r="P2269" i="1"/>
  <c r="P2270" i="1" a="1"/>
  <c r="P2270" i="1"/>
  <c r="P2271" i="1" a="1"/>
  <c r="P2271" i="1"/>
  <c r="P2272" i="1" a="1"/>
  <c r="P2272" i="1" s="1"/>
  <c r="P2273" i="1" a="1"/>
  <c r="P2273" i="1" s="1"/>
  <c r="P2274" i="1" a="1"/>
  <c r="P2274" i="1"/>
  <c r="P2275" i="1" a="1"/>
  <c r="P2275" i="1"/>
  <c r="P2276" i="1" a="1"/>
  <c r="P2276" i="1"/>
  <c r="P2277" i="1" a="1"/>
  <c r="P2277" i="1"/>
  <c r="P2278" i="1" a="1"/>
  <c r="P2278" i="1" s="1"/>
  <c r="P2279" i="1" a="1"/>
  <c r="P2279" i="1"/>
  <c r="P2280" i="1" a="1"/>
  <c r="P2280" i="1" s="1"/>
  <c r="P2281" i="1" a="1"/>
  <c r="P2281" i="1"/>
  <c r="P2282" i="1" a="1"/>
  <c r="P2282" i="1"/>
  <c r="P2283" i="1" a="1"/>
  <c r="P2283" i="1"/>
  <c r="P2284" i="1" a="1"/>
  <c r="P2284" i="1" s="1"/>
  <c r="P2285" i="1" a="1"/>
  <c r="P2285" i="1"/>
  <c r="P2286" i="1" a="1"/>
  <c r="P2286" i="1" s="1"/>
  <c r="P2287" i="1" a="1"/>
  <c r="P2287" i="1"/>
  <c r="P2288" i="1" a="1"/>
  <c r="P2288" i="1"/>
  <c r="P2289" i="1" a="1"/>
  <c r="P2289" i="1"/>
  <c r="P2290" i="1" a="1"/>
  <c r="P2290" i="1" s="1"/>
  <c r="P2291" i="1" a="1"/>
  <c r="P2291" i="1"/>
  <c r="P2292" i="1" a="1"/>
  <c r="P2292" i="1"/>
  <c r="P2293" i="1" a="1"/>
  <c r="P2293" i="1" s="1"/>
  <c r="P2294" i="1" a="1"/>
  <c r="P2294" i="1"/>
  <c r="P2295" i="1" a="1"/>
  <c r="P2295" i="1"/>
  <c r="P2296" i="1" a="1"/>
  <c r="P2296" i="1" s="1"/>
  <c r="P2297" i="1" a="1"/>
  <c r="P2297" i="1"/>
  <c r="P2298" i="1" a="1"/>
  <c r="P2298" i="1"/>
  <c r="P2299" i="1" a="1"/>
  <c r="P2299" i="1" s="1"/>
  <c r="P2300" i="1" a="1"/>
  <c r="P2300" i="1"/>
  <c r="P2301" i="1" a="1"/>
  <c r="P2301" i="1"/>
  <c r="P2302" i="1" a="1"/>
  <c r="P2302" i="1" s="1"/>
  <c r="P2303" i="1" a="1"/>
  <c r="P2303" i="1"/>
  <c r="P2304" i="1" a="1"/>
  <c r="P2304" i="1"/>
  <c r="P2305" i="1" a="1"/>
  <c r="P2305" i="1"/>
  <c r="P2306" i="1" a="1"/>
  <c r="P2306" i="1" s="1"/>
  <c r="P2307" i="1" a="1"/>
  <c r="P2307" i="1"/>
  <c r="P2308" i="1" a="1"/>
  <c r="P2308" i="1" s="1"/>
  <c r="P2309" i="1" a="1"/>
  <c r="P2309" i="1"/>
  <c r="P2310" i="1" a="1"/>
  <c r="P2310" i="1"/>
  <c r="P2311" i="1" a="1"/>
  <c r="P2311" i="1"/>
  <c r="P2312" i="1" a="1"/>
  <c r="P2312" i="1" s="1"/>
  <c r="P2313" i="1" a="1"/>
  <c r="P2313" i="1"/>
  <c r="P2314" i="1" a="1"/>
  <c r="P2314" i="1" s="1"/>
  <c r="P2315" i="1" a="1"/>
  <c r="P2315" i="1"/>
  <c r="P2316" i="1" a="1"/>
  <c r="P2316" i="1"/>
  <c r="P2317" i="1" a="1"/>
  <c r="P2317" i="1"/>
  <c r="P2318" i="1" a="1"/>
  <c r="P2318" i="1"/>
  <c r="P2319" i="1" a="1"/>
  <c r="P2319" i="1" s="1"/>
  <c r="P2320" i="1" a="1"/>
  <c r="P2320" i="1" s="1"/>
  <c r="P2321" i="1" a="1"/>
  <c r="P2321" i="1"/>
  <c r="P2322" i="1" a="1"/>
  <c r="P2322" i="1"/>
  <c r="P2323" i="1" a="1"/>
  <c r="P2323" i="1"/>
  <c r="P2324" i="1" a="1"/>
  <c r="P2324" i="1"/>
  <c r="P2325" i="1" a="1"/>
  <c r="P2325" i="1" s="1"/>
  <c r="P2326" i="1" a="1"/>
  <c r="P2326" i="1" s="1"/>
  <c r="P2327" i="1" a="1"/>
  <c r="P2327" i="1"/>
  <c r="P2328" i="1" a="1"/>
  <c r="P2328" i="1"/>
  <c r="P2329" i="1" a="1"/>
  <c r="P2329" i="1"/>
  <c r="P2330" i="1" a="1"/>
  <c r="P2330" i="1"/>
  <c r="P2331" i="1" a="1"/>
  <c r="P2331" i="1"/>
  <c r="P2332" i="1" a="1"/>
  <c r="P2332" i="1" s="1"/>
  <c r="P2333" i="1" a="1"/>
  <c r="P2333" i="1"/>
  <c r="P2334" i="1" a="1"/>
  <c r="P2334" i="1"/>
  <c r="P2335" i="1" a="1"/>
  <c r="P2335" i="1"/>
  <c r="P2336" i="1" a="1"/>
  <c r="P2336" i="1"/>
  <c r="P2337" i="1" a="1"/>
  <c r="P2337" i="1"/>
  <c r="P2338" i="1" a="1"/>
  <c r="P2338" i="1" s="1"/>
  <c r="P2339" i="1" a="1"/>
  <c r="P2339" i="1" s="1"/>
  <c r="P2340" i="1" a="1"/>
  <c r="P2340" i="1"/>
  <c r="P2341" i="1" a="1"/>
  <c r="P2341" i="1"/>
  <c r="P2342" i="1" a="1"/>
  <c r="P2342" i="1"/>
  <c r="P2343" i="1" a="1"/>
  <c r="P2343" i="1"/>
  <c r="P2344" i="1" a="1"/>
  <c r="P2344" i="1" s="1"/>
  <c r="P2345" i="1" a="1"/>
  <c r="P2345" i="1" s="1"/>
  <c r="P2346" i="1" a="1"/>
  <c r="P2346" i="1"/>
  <c r="P2347" i="1" a="1"/>
  <c r="P2347" i="1"/>
  <c r="P2348" i="1" a="1"/>
  <c r="P2348" i="1"/>
  <c r="P2349" i="1" a="1"/>
  <c r="P2349" i="1"/>
  <c r="P2350" i="1" a="1"/>
  <c r="P2350" i="1" s="1"/>
  <c r="P2351" i="1" a="1"/>
  <c r="P2351" i="1"/>
  <c r="P2352" i="1" a="1"/>
  <c r="P2352" i="1" s="1"/>
  <c r="P2353" i="1" a="1"/>
  <c r="P2353" i="1"/>
  <c r="P2354" i="1" a="1"/>
  <c r="P2354" i="1"/>
  <c r="P2355" i="1" a="1"/>
  <c r="P2355" i="1"/>
  <c r="P2356" i="1" a="1"/>
  <c r="P2356" i="1" s="1"/>
  <c r="P2357" i="1" a="1"/>
  <c r="P2357" i="1"/>
  <c r="P2358" i="1" a="1"/>
  <c r="P2358" i="1" s="1"/>
  <c r="P2359" i="1" a="1"/>
  <c r="P2359" i="1"/>
  <c r="P2360" i="1" a="1"/>
  <c r="P2360" i="1"/>
  <c r="P2361" i="1" a="1"/>
  <c r="P2361" i="1"/>
  <c r="P2362" i="1" a="1"/>
  <c r="P2362" i="1" s="1"/>
  <c r="P2363" i="1" a="1"/>
  <c r="P2363" i="1"/>
  <c r="P2364" i="1" a="1"/>
  <c r="P2364" i="1"/>
  <c r="P2365" i="1" a="1"/>
  <c r="P2365" i="1" s="1"/>
  <c r="P2366" i="1" a="1"/>
  <c r="P2366" i="1"/>
  <c r="P2367" i="1" a="1"/>
  <c r="P2367" i="1"/>
  <c r="P2368" i="1" a="1"/>
  <c r="P2368" i="1" s="1"/>
  <c r="P2369" i="1" a="1"/>
  <c r="P2369" i="1"/>
  <c r="P2370" i="1" a="1"/>
  <c r="P2370" i="1"/>
  <c r="P2371" i="1" a="1"/>
  <c r="P2371" i="1" s="1"/>
  <c r="P2372" i="1" a="1"/>
  <c r="P2372" i="1"/>
  <c r="P2373" i="1" a="1"/>
  <c r="P2373" i="1"/>
  <c r="P2374" i="1" a="1"/>
  <c r="P2374" i="1"/>
  <c r="P2375" i="1" a="1"/>
  <c r="P2375" i="1"/>
  <c r="P2376" i="1" a="1"/>
  <c r="P2376" i="1"/>
  <c r="P2377" i="1" a="1"/>
  <c r="P2377" i="1" s="1"/>
  <c r="P2378" i="1" a="1"/>
  <c r="P2378" i="1"/>
  <c r="P2379" i="1" a="1"/>
  <c r="P2379" i="1"/>
  <c r="P2380" i="1" a="1"/>
  <c r="P2380" i="1"/>
  <c r="P2381" i="1" a="1"/>
  <c r="P2381" i="1"/>
  <c r="P2382" i="1" a="1"/>
  <c r="P2382" i="1"/>
  <c r="P2383" i="1" a="1"/>
  <c r="P2383" i="1" s="1"/>
  <c r="P2384" i="1" a="1"/>
  <c r="P2384" i="1"/>
  <c r="P2385" i="1" a="1"/>
  <c r="P2385" i="1"/>
  <c r="P2386" i="1" a="1"/>
  <c r="P2386" i="1"/>
  <c r="P2387" i="1" a="1"/>
  <c r="P2387" i="1"/>
  <c r="P2388" i="1" a="1"/>
  <c r="P2388" i="1"/>
  <c r="P2389" i="1" a="1"/>
  <c r="P2389" i="1" s="1"/>
  <c r="P2390" i="1" a="1"/>
  <c r="P2390" i="1"/>
  <c r="P2391" i="1" a="1"/>
  <c r="P2391" i="1"/>
  <c r="P2392" i="1" a="1"/>
  <c r="P2392" i="1"/>
  <c r="P2393" i="1" a="1"/>
  <c r="P2393" i="1"/>
  <c r="P2394" i="1" a="1"/>
  <c r="P2394" i="1"/>
  <c r="P2395" i="1" a="1"/>
  <c r="P2395" i="1" s="1"/>
  <c r="P2396" i="1" a="1"/>
  <c r="P2396" i="1"/>
  <c r="P2397" i="1" a="1"/>
  <c r="P2397" i="1"/>
  <c r="P2398" i="1" a="1"/>
  <c r="P2398" i="1"/>
  <c r="P2399" i="1" a="1"/>
  <c r="P2399" i="1"/>
  <c r="P2400" i="1" a="1"/>
  <c r="P2400" i="1"/>
  <c r="P2401" i="1" a="1"/>
  <c r="P2401" i="1" s="1"/>
  <c r="I4" i="6"/>
  <c r="J4" i="6"/>
  <c r="K4" i="6"/>
  <c r="L4" i="6"/>
  <c r="M5" i="6"/>
  <c r="M6" i="6"/>
  <c r="M7" i="6"/>
  <c r="M8" i="6"/>
  <c r="M9" i="6"/>
  <c r="I5" i="6"/>
  <c r="J5" i="6"/>
  <c r="K5" i="6"/>
  <c r="L5" i="6"/>
  <c r="I6" i="6"/>
  <c r="J6" i="6"/>
  <c r="K6" i="6"/>
  <c r="L6" i="6"/>
  <c r="I7" i="6"/>
  <c r="J7" i="6"/>
  <c r="K7" i="6"/>
  <c r="L7" i="6"/>
  <c r="I8" i="6"/>
  <c r="J8" i="6"/>
  <c r="K8" i="6"/>
  <c r="L8" i="6"/>
  <c r="I9" i="6"/>
  <c r="J9" i="6"/>
  <c r="K9" i="6"/>
  <c r="L9" i="6"/>
  <c r="H6" i="6"/>
  <c r="H7" i="6"/>
  <c r="H8" i="6"/>
  <c r="H9" i="6"/>
  <c r="H5" i="6"/>
  <c r="K4" i="5"/>
  <c r="J4" i="5"/>
  <c r="H4" i="5"/>
  <c r="I4" i="5"/>
  <c r="G4"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c r="O2124" i="1" a="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c r="O1982" i="1" a="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c r="O1971" i="1" a="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c r="O1854" i="1" a="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c r="O1804" i="1" a="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c r="O1765" i="1" a="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c r="O1746" i="1" a="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c r="O1694" i="1" a="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c r="O1638" i="1" a="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c r="O1598" i="1" a="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c r="O1559" i="1" a="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c r="O1459" i="1" a="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c r="O1356" i="1" a="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c r="O1197" i="1" a="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c r="O688" i="1" a="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c r="O624" i="1" a="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c r="O402" i="1" a="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c r="O106" i="1" a="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85F68B-9E35-4A89-9AFF-4AB626F54E1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9D57A3-7B80-4782-AF6E-629E4111583E}" name="WorksheetConnection_ecommerce-blank.xlsx!orders" type="102" refreshedVersion="8" minRefreshableVersion="5">
    <extLst>
      <ext xmlns:x15="http://schemas.microsoft.com/office/spreadsheetml/2010/11/main" uri="{DE250136-89BD-433C-8126-D09CA5730AF9}">
        <x15:connection id="orders" autoDelete="1">
          <x15:rangePr sourceName="_xlcn.WorksheetConnection_ecommerceblank.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<sst xmlns="http://schemas.openxmlformats.org/spreadsheetml/2006/main" count="14619" uniqueCount="2527">
  <si>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</si>
  <si>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</si>
  <si>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</si>
  <si>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</si>
  <si>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</si>
  <si>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</si>
  <si>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</si>
  <si>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</si>
  <si>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</si>
  <si>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</si>
  <si>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</si>
  <si>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</si>
  <si>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</si>
  <si>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</si>
  <si>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</si>
  <si>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</si>
  <si>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</si>
  <si>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</si>
  <si>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</si>
  <si>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</si>
  <si>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</si>
  <si>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</si>
  <si>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</si>
  <si>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</si>
  <si>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</si>
  <si>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</si>
  <si>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</si>
  <si>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</si>
  <si>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</si>
  <si>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</si>
  <si>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</si>
  <si>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</si>
  <si>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</si>
  <si>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</si>
  <si>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</si>
  <si>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</si>
  <si>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</si>
  <si>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</si>
  <si>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</si>
  <si>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</si>
  <si>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</si>
  <si>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</si>
  <si>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</si>
  <si>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</si>
  <si>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</si>
  <si>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</si>
  <si>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</si>
  <si>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</si>
  <si>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</si>
  <si>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</si>
  <si>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</si>
  <si>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</si>
  <si>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</si>
  <si>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</si>
  <si>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</si>
  <si>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</si>
  <si>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</si>
  <si>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</si>
  <si>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</si>
  <si>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</si>
  <si>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</si>
  <si>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</si>
  <si>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</si>
  <si>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</si>
  <si>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</si>
  <si>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</si>
  <si>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</si>
  <si>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</si>
  <si>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</si>
  <si>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</si>
  <si>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</si>
  <si>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</si>
  <si>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</si>
  <si>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</si>
  <si>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</si>
  <si>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</si>
  <si>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</si>
  <si>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</si>
  <si>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</si>
  <si>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</si>
  <si>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</si>
  <si>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</si>
  <si>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</si>
  <si>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</si>
  <si>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</si>
  <si>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</si>
  <si>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</si>
  <si>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</si>
  <si>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</si>
  <si>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</si>
  <si>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</si>
  <si>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</si>
  <si>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</si>
  <si>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</si>
  <si>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</si>
  <si>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</si>
  <si>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</si>
  <si>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</si>
  <si>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</si>
  <si>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</si>
  <si>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</si>
  <si>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</si>
  <si>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</si>
  <si>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</si>
  <si>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</si>
  <si>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</si>
  <si>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</si>
  <si>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</si>
  <si>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</si>
  <si>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</si>
  <si>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</si>
  <si>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</si>
  <si>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</si>
  <si>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</si>
  <si>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</si>
  <si>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</si>
  <si>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</si>
  <si>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</si>
  <si>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</si>
  <si>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</si>
  <si>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</si>
  <si>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</si>
  <si>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</si>
  <si>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</si>
  <si>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</si>
  <si>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</si>
  <si>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</si>
  <si>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</si>
  <si>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</si>
  <si>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</si>
  <si>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</si>
  <si>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</si>
  <si>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</si>
  <si>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</si>
  <si>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</si>
  <si>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</si>
  <si>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</si>
  <si>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</si>
  <si>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</si>
  <si>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</si>
  <si>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</si>
  <si>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</si>
  <si>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</si>
  <si>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</si>
  <si>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</si>
  <si>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</si>
  <si>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</si>
  <si>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</si>
  <si>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</si>
  <si>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</si>
  <si>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</si>
  <si>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</si>
  <si>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</si>
  <si>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</si>
  <si>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</si>
  <si>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</si>
  <si>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</si>
  <si>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</si>
  <si>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</si>
  <si>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</si>
  <si>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</si>
  <si>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</si>
  <si>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</si>
  <si>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</si>
  <si>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</si>
  <si>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</si>
  <si>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</si>
  <si>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</si>
  <si>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</si>
  <si>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</si>
  <si>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</si>
  <si>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</si>
  <si>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</si>
  <si>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</si>
  <si>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</si>
  <si>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</si>
  <si>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</si>
  <si>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</si>
  <si>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</si>
  <si>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</si>
  <si>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</si>
  <si>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</si>
  <si>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</si>
  <si>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</si>
  <si>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</si>
  <si>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</si>
  <si>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</si>
  <si>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</si>
  <si>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</si>
  <si>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</si>
  <si>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</si>
  <si>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</si>
  <si>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</si>
  <si>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</si>
  <si>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</si>
  <si>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</si>
  <si>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</si>
  <si>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</si>
  <si>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</si>
  <si>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</si>
  <si>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</si>
  <si>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</si>
  <si>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</si>
  <si>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</si>
  <si>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</si>
  <si>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</si>
  <si>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</si>
  <si>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</si>
  <si>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</si>
  <si>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</si>
  <si>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</si>
  <si>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</si>
  <si>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</si>
  <si>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</si>
  <si>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</si>
  <si>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</si>
  <si>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</si>
  <si>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</si>
  <si>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</si>
  <si>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</si>
  <si>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</si>
  <si>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</si>
  <si>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</si>
  <si>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</si>
  <si>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</si>
  <si>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</si>
  <si>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</si>
  <si>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</si>
  <si>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</si>
  <si>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</si>
  <si>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</si>
  <si>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</si>
  <si>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</si>
  <si>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</si>
  <si>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</si>
  <si>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</si>
  <si>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</si>
  <si>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</si>
  <si>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</si>
  <si>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</si>
  <si>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</si>
  <si>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</si>
  <si>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</si>
  <si>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</si>
  <si>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</si>
  <si>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</si>
  <si>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</si>
  <si>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</si>
  <si>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</si>
  <si>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</si>
  <si>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</si>
  <si>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</si>
  <si>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</si>
  <si>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</si>
  <si>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</si>
  <si>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</si>
  <si>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</si>
  <si>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</si>
  <si>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</si>
  <si>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</si>
  <si>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</si>
  <si>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</si>
  <si>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</si>
  <si>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</si>
  <si>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</si>
  <si>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</si>
  <si>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</si>
  <si>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</si>
  <si>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</si>
  <si>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</si>
  <si>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</si>
  <si>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</si>
  <si>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</si>
  <si>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</si>
  <si>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</si>
  <si>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</si>
  <si>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</si>
  <si>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</si>
  <si>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</si>
  <si>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</si>
  <si>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</si>
  <si>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</si>
  <si>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</si>
  <si>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</si>
  <si>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</si>
  <si>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</si>
  <si>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</si>
  <si>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</si>
  <si>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</si>
  <si>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</si>
  <si>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</si>
  <si>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</si>
  <si>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</si>
  <si>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</si>
  <si>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</si>
  <si>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</si>
  <si>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</si>
  <si>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</si>
  <si>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</si>
  <si>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</si>
  <si>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</si>
  <si>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</si>
  <si>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</si>
  <si>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</si>
  <si>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</si>
  <si>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</si>
  <si>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</si>
  <si>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</si>
  <si>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</si>
  <si>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</si>
  <si>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</si>
  <si>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</si>
  <si>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</si>
  <si>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</si>
  <si>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</si>
  <si>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</si>
  <si>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</si>
  <si>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</si>
  <si>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</si>
  <si>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</si>
  <si>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</si>
  <si>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</si>
  <si>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</si>
  <si>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</si>
  <si>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</si>
  <si>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</si>
  <si>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</si>
  <si>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</si>
  <si>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</si>
  <si>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</si>
  <si>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</si>
  <si>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</si>
  <si>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</si>
  <si>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</si>
  <si>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</si>
  <si>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</si>
  <si>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</si>
  <si>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</si>
  <si>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</si>
  <si>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</si>
  <si>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</si>
  <si>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</si>
  <si>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</si>
  <si>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</si>
  <si>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</si>
  <si>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</si>
  <si>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</si>
  <si>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</si>
  <si>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</si>
  <si>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</si>
  <si>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</si>
  <si>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</si>
  <si>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</si>
  <si>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</si>
  <si>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</si>
  <si>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</si>
  <si>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</si>
  <si>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</si>
  <si>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</si>
  <si>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</si>
  <si>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</si>
  <si>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</si>
  <si>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</si>
  <si>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</si>
  <si>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</si>
  <si>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</si>
  <si>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</si>
  <si>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</si>
  <si>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</si>
  <si>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</si>
  <si>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</si>
  <si>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</si>
  <si>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</si>
  <si>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</si>
  <si>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</si>
  <si>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</si>
  <si>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</si>
  <si>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</si>
  <si>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</si>
  <si>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</si>
  <si>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</si>
  <si>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</si>
  <si>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</si>
  <si>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</si>
  <si>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</si>
  <si>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</si>
  <si>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</si>
  <si>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</si>
  <si>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</si>
  <si>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</si>
  <si>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</si>
  <si>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</si>
  <si>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</si>
  <si>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</si>
  <si>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</si>
  <si>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</si>
  <si>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</si>
  <si>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</si>
  <si>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</si>
  <si>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</si>
  <si>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</si>
  <si>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</si>
  <si>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</si>
  <si>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</si>
  <si>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</si>
  <si>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</si>
  <si>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</si>
  <si>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</si>
  <si>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</si>
  <si>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</si>
  <si>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</si>
  <si>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</si>
  <si>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</si>
  <si>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</si>
  <si>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</si>
  <si>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</si>
  <si>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</si>
  <si>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</si>
  <si>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</si>
  <si>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</si>
  <si>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</si>
  <si>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</si>
  <si>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</si>
  <si>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</si>
  <si>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</si>
  <si>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</si>
  <si>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</si>
  <si>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</si>
  <si>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</si>
  <si>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</si>
  <si>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</si>
  <si>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</si>
  <si>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</si>
  <si>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</si>
  <si>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</si>
  <si>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</si>
  <si>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</si>
  <si>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</si>
  <si>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</si>
  <si>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</si>
  <si>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</si>
  <si>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</si>
  <si>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</si>
  <si>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</si>
  <si>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</si>
  <si>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</si>
  <si>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</si>
  <si>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</si>
  <si>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</si>
  <si>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</si>
  <si>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</si>
  <si>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</si>
  <si>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</si>
  <si>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</si>
  <si>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</si>
  <si>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</si>
  <si>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</si>
  <si>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</si>
  <si>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</si>
  <si>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</si>
  <si>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</si>
  <si>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</si>
  <si>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</si>
  <si>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</si>
  <si>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</si>
  <si>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</si>
  <si>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</si>
  <si>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</si>
  <si>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</si>
  <si>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</si>
  <si>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</si>
  <si>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</si>
  <si>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</si>
  <si>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</si>
  <si>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</si>
  <si>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</si>
  <si>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</si>
  <si>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</si>
  <si>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</si>
  <si>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</si>
  <si>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</si>
  <si>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</si>
  <si>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</si>
  <si>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</si>
  <si>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</si>
  <si>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</si>
  <si>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</si>
  <si>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</si>
  <si>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</si>
  <si>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</si>
  <si>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</si>
  <si>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</si>
  <si>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</si>
  <si>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</si>
  <si>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</si>
  <si>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</si>
  <si>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</si>
  <si>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</si>
  <si>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</si>
  <si>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</si>
  <si>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</si>
  <si>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</si>
  <si>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</si>
  <si>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</si>
  <si>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</si>
  <si>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</si>
  <si>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</si>
  <si>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</si>
  <si>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</si>
  <si>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</si>
  <si>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</si>
  <si>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</si>
  <si>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</si>
  <si>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</si>
  <si>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</si>
  <si>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</si>
  <si>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</si>
  <si>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</si>
  <si>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</si>
  <si>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</si>
  <si>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</si>
  <si>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</si>
  <si>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</si>
  <si>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</si>
  <si>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</si>
  <si>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</si>
  <si>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</si>
  <si>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</si>
  <si>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</si>
  <si>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</si>
  <si>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</si>
  <si>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</si>
  <si>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</si>
  <si>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</si>
  <si>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</si>
  <si>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</si>
  <si>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</si>
  <si>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</si>
  <si>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</si>
  <si>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</si>
  <si>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</si>
  <si>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</si>
  <si>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</si>
  <si>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</si>
  <si>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</si>
  <si>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</si>
  <si>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</si>
  <si>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</si>
  <si>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</si>
  <si>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</si>
  <si>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</si>
  <si>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</si>
  <si>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</si>
  <si>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</si>
  <si>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</si>
  <si>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</si>
  <si>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</si>
  <si>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</si>
  <si>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</si>
  <si>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</si>
  <si>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</si>
  <si>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</si>
  <si>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</si>
  <si>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</si>
  <si>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</si>
  <si>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</si>
  <si>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</si>
  <si>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</si>
  <si>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</si>
  <si>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</si>
  <si>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</si>
  <si>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</si>
  <si>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</si>
  <si>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</si>
  <si>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</si>
  <si>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</si>
  <si>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</si>
  <si>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</si>
  <si>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</si>
  <si>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</si>
  <si>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</si>
  <si>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</si>
  <si>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</si>
  <si>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</si>
  <si>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</si>
  <si>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</si>
  <si>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</si>
  <si>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</si>
  <si>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</si>
  <si>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</si>
  <si>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</si>
  <si>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</si>
  <si>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</si>
  <si>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</si>
  <si>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</si>
  <si>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</si>
  <si>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</si>
  <si>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</si>
  <si>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</si>
  <si>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</si>
  <si>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</si>
  <si>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</si>
  <si>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</si>
  <si>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</si>
  <si>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</si>
  <si>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</si>
  <si>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</si>
  <si>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</si>
  <si>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</si>
  <si>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</si>
  <si>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</si>
  <si>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</si>
  <si>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</si>
  <si>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</si>
  <si>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</si>
  <si>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</si>
  <si>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</si>
  <si>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</si>
  <si>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</si>
  <si>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</si>
  <si>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</si>
  <si>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</si>
  <si>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</si>
  <si>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</si>
  <si>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</si>
  <si>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</si>
  <si>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</si>
  <si>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</si>
  <si>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</si>
  <si>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</si>
  <si>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</si>
  <si>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</si>
  <si>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</si>
  <si>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</si>
  <si>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</si>
  <si>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</si>
  <si>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</si>
  <si>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</si>
  <si>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</si>
  <si>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</si>
  <si>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</si>
  <si>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</si>
  <si>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</si>
  <si>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</si>
  <si>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</si>
  <si>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</si>
  <si>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</si>
  <si>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</si>
  <si>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</si>
  <si>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</si>
  <si>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</si>
  <si>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</si>
  <si>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</si>
  <si>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</si>
  <si>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</si>
  <si>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</si>
  <si>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</si>
  <si>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</si>
  <si>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</si>
  <si>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</si>
  <si>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</si>
  <si>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</si>
  <si>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</si>
  <si>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</si>
  <si>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</si>
  <si>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</si>
  <si>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</si>
  <si>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</si>
  <si>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</si>
  <si>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</si>
  <si>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</si>
  <si>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</si>
  <si>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</si>
  <si>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</si>
  <si>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</si>
  <si>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</si>
  <si>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</si>
  <si>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</si>
  <si>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</si>
  <si>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</si>
  <si>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</si>
  <si>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</si>
  <si>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</si>
  <si>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</si>
  <si>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</si>
  <si>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</si>
  <si>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</si>
  <si>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</si>
  <si>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</si>
  <si>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</si>
  <si>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</si>
  <si>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</si>
  <si>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</si>
  <si>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</si>
  <si>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</si>
  <si>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</si>
  <si>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</si>
  <si>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</si>
  <si>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</si>
  <si>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</si>
  <si>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</si>
  <si>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</si>
  <si>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</si>
  <si>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</si>
  <si>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</si>
  <si>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</si>
  <si>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</si>
  <si>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</si>
  <si>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</si>
  <si>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</si>
  <si>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</si>
  <si>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</si>
  <si>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</si>
  <si>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</si>
  <si>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</si>
  <si>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</si>
  <si>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</si>
  <si>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</si>
  <si>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</si>
  <si>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</si>
  <si>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</si>
  <si>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</si>
  <si>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</si>
  <si>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</si>
  <si>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</si>
  <si>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</si>
  <si>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</si>
  <si>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</si>
  <si>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</si>
  <si>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</si>
  <si>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</si>
  <si>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</si>
  <si>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</si>
  <si>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</si>
  <si>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</si>
  <si>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</si>
  <si>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</si>
  <si>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</si>
  <si>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</si>
  <si>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</si>
  <si>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</si>
  <si>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</si>
  <si>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</si>
  <si>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</si>
  <si>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</si>
  <si>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</si>
  <si>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</si>
  <si>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</si>
  <si>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</si>
  <si>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</si>
  <si>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</si>
  <si>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</si>
  <si>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</si>
  <si>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</si>
  <si>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</si>
  <si>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</si>
  <si>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</si>
  <si>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</si>
  <si>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</si>
  <si>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</si>
  <si>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</si>
  <si>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</si>
  <si>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</si>
  <si>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</si>
  <si>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</si>
  <si>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</si>
  <si>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</si>
  <si>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</si>
  <si>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</si>
  <si>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</si>
  <si>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</si>
  <si>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</si>
  <si>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</si>
  <si>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</si>
  <si>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</si>
  <si>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</si>
  <si>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</si>
  <si>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</si>
  <si>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</si>
  <si>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</si>
  <si>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</si>
  <si>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</si>
  <si>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</si>
  <si>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</si>
  <si>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</si>
  <si>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</si>
  <si>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</si>
  <si>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</si>
  <si>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</si>
  <si>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</si>
  <si>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</si>
  <si>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</si>
  <si>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</si>
  <si>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</si>
  <si>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</si>
  <si>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</si>
  <si>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</si>
  <si>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</si>
  <si>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</si>
  <si>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</si>
  <si>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</si>
  <si>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</si>
  <si>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</si>
  <si>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</si>
  <si>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</si>
  <si>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</si>
  <si>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</si>
  <si>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</si>
  <si>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</si>
  <si>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</si>
  <si>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</si>
  <si>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</si>
  <si>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</si>
  <si>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</si>
  <si>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</si>
  <si>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</si>
  <si>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</si>
  <si>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</si>
  <si>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</si>
  <si>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</si>
  <si>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</si>
  <si>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</si>
  <si>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</si>
  <si>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</si>
  <si>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</si>
  <si>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</si>
  <si>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</si>
  <si>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</si>
  <si>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</si>
  <si>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</si>
  <si>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</si>
  <si>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</si>
  <si>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</si>
  <si>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</si>
  <si>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</si>
  <si>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</si>
  <si>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</si>
  <si>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</si>
  <si>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</si>
  <si>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</si>
  <si>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</si>
  <si>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</si>
  <si>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</si>
  <si>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</si>
  <si>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</si>
  <si>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</si>
  <si>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</si>
  <si>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</si>
  <si>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</si>
  <si>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</si>
  <si>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</si>
  <si>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</si>
  <si>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</si>
  <si>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</si>
  <si>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</si>
  <si>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</si>
  <si>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</si>
  <si>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</si>
  <si>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</si>
  <si>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</si>
  <si>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</si>
  <si>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</si>
  <si>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</si>
  <si>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</si>
  <si>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</si>
  <si>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</si>
  <si>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</si>
  <si>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</si>
  <si>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</si>
  <si>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</si>
  <si>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</si>
  <si>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</si>
  <si>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</si>
  <si>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</si>
  <si>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</si>
  <si>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</si>
  <si>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</si>
  <si>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</si>
  <si>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</si>
  <si>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</si>
  <si>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</si>
  <si>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</si>
  <si>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</si>
  <si>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</si>
  <si>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</si>
  <si>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</si>
  <si>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</si>
  <si>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</si>
  <si>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</si>
  <si>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</si>
  <si>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</si>
  <si>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</si>
  <si>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</si>
  <si>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</si>
  <si>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</si>
  <si>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</si>
  <si>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</si>
  <si>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</si>
  <si>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</si>
  <si>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</si>
  <si>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</si>
  <si>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</si>
  <si>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</si>
  <si>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</si>
  <si>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</si>
  <si>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</si>
  <si>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</si>
  <si>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</si>
  <si>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</si>
  <si>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</si>
  <si>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</si>
  <si>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</si>
  <si>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</si>
  <si>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</si>
  <si>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</si>
  <si>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</si>
  <si>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</si>
  <si>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</si>
  <si>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</si>
  <si>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</si>
  <si>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</si>
  <si>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</si>
  <si>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</si>
  <si>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</si>
  <si>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</si>
  <si>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</si>
  <si>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</si>
  <si>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</si>
  <si>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</si>
  <si>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</si>
  <si>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</si>
  <si>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</si>
  <si>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</si>
  <si>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</si>
  <si>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</si>
  <si>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</si>
  <si>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</si>
  <si>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</si>
  <si>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</si>
  <si>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</si>
  <si>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</si>
  <si>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</si>
  <si>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</si>
  <si>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</si>
  <si>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</si>
  <si>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</si>
  <si>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</si>
  <si>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</si>
  <si>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</si>
  <si>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</si>
  <si>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</si>
  <si>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</si>
  <si>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</si>
  <si>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</si>
  <si>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</si>
  <si>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</si>
  <si>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</si>
  <si>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</si>
  <si>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</si>
  <si>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</si>
  <si>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</si>
  <si>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</si>
  <si>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</si>
  <si>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</si>
  <si>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</si>
  <si>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</si>
  <si>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</si>
  <si>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</si>
  <si>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</si>
  <si>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</si>
  <si>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</si>
  <si>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</si>
  <si>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</si>
  <si>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</si>
  <si>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</si>
  <si>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</si>
  <si>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</si>
  <si>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</si>
  <si>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</si>
  <si>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</si>
  <si>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</si>
  <si>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</si>
  <si>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</si>
  <si>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</si>
  <si>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</si>
  <si>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</si>
  <si>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</si>
  <si>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</si>
  <si>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</si>
  <si>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</si>
  <si>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</si>
  <si>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</si>
  <si>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</si>
  <si>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</si>
  <si>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</si>
  <si>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</si>
  <si>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</si>
  <si>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</si>
  <si>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</si>
  <si>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</si>
  <si>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</si>
  <si>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</si>
  <si>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</si>
  <si>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</si>
  <si>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</si>
  <si>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</si>
  <si>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</si>
  <si>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</si>
  <si>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</si>
  <si>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</si>
  <si>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</si>
  <si>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</si>
  <si>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</si>
  <si>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</si>
  <si>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</si>
  <si>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</si>
  <si>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</si>
  <si>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</si>
  <si>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</si>
  <si>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</si>
  <si>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</si>
  <si>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</si>
  <si>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</si>
  <si>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</si>
  <si>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</si>
  <si>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</si>
  <si>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</si>
  <si>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</si>
  <si>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</si>
  <si>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</si>
  <si>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</si>
  <si>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</si>
  <si>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</si>
  <si>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</si>
  <si>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</si>
  <si>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</si>
  <si>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</si>
  <si>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</si>
  <si>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</si>
  <si>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</si>
  <si>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</si>
  <si>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</si>
  <si>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</si>
  <si>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</si>
  <si>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</si>
  <si>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</si>
  <si>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</si>
  <si>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</si>
  <si>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</si>
  <si>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</si>
  <si>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</si>
  <si>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</si>
  <si>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</si>
  <si>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</si>
  <si>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</si>
  <si>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</si>
  <si>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</si>
  <si>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</si>
  <si>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</si>
  <si>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</si>
  <si>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</si>
  <si>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</si>
  <si>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</si>
  <si>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</si>
  <si>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</si>
  <si>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</si>
  <si>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</si>
  <si>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</si>
  <si>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</si>
  <si>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</si>
  <si>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</si>
  <si>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</si>
  <si>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</si>
  <si>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</si>
  <si>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</si>
  <si>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</si>
  <si>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</si>
  <si>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</si>
  <si>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</si>
  <si>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</si>
  <si>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</si>
  <si>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</si>
  <si>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</si>
  <si>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</si>
  <si>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</si>
  <si>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</si>
  <si>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</si>
  <si>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</si>
  <si>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</si>
  <si>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</si>
  <si>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</si>
  <si>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</si>
  <si>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</si>
  <si>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</si>
  <si>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</si>
  <si>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</si>
  <si>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</si>
  <si>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</si>
  <si>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</si>
  <si>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</si>
  <si>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</si>
  <si>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</si>
  <si>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</si>
  <si>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</si>
  <si>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</si>
  <si>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</si>
  <si>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</si>
  <si>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</si>
  <si>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</si>
  <si>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</si>
  <si>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</si>
  <si>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</si>
  <si>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</si>
  <si>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</si>
  <si>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</si>
  <si>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</si>
  <si>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</si>
  <si>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</si>
  <si>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</si>
  <si>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</si>
  <si>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</si>
  <si>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</si>
  <si>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</si>
  <si>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</si>
  <si>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</si>
  <si>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</si>
  <si>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</si>
  <si>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</si>
  <si>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</si>
  <si>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</si>
  <si>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</si>
  <si>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</si>
  <si>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</si>
  <si>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</si>
  <si>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</si>
  <si>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</si>
  <si>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</si>
  <si>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</si>
  <si>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</si>
  <si>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</si>
  <si>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</si>
  <si>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</si>
  <si>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</si>
  <si>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</si>
  <si>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</si>
  <si>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</si>
  <si>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</si>
  <si>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</si>
  <si>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</si>
  <si>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</si>
  <si>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</si>
  <si>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</si>
  <si>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</si>
  <si>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</si>
  <si>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</si>
  <si>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</si>
  <si>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</si>
  <si>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</si>
  <si>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</si>
  <si>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</si>
  <si>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</si>
  <si>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</si>
  <si>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</si>
  <si>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</si>
  <si>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</si>
  <si>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</si>
  <si>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</si>
  <si>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</si>
  <si>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</si>
  <si>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</si>
  <si>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</si>
  <si>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</si>
  <si>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</si>
  <si>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</si>
  <si>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</si>
  <si>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</si>
  <si>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</si>
  <si>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</si>
  <si>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</si>
  <si>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</si>
  <si>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</si>
  <si>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</si>
  <si>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</si>
  <si>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</si>
  <si>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</si>
  <si>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</si>
  <si>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</si>
  <si>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</si>
  <si>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</si>
  <si>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</si>
  <si>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</si>
  <si>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</si>
  <si>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</si>
  <si>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</si>
  <si>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</si>
  <si>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</si>
  <si>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</si>
  <si>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</si>
  <si>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</si>
  <si>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</si>
  <si>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</si>
  <si>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</si>
  <si>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</si>
  <si>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</si>
  <si>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</si>
  <si>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</si>
  <si>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</si>
  <si>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</si>
  <si>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</si>
  <si>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</si>
  <si>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</si>
  <si>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</si>
  <si>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</si>
  <si>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</si>
  <si>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</si>
  <si>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</si>
  <si>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</si>
  <si>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</si>
  <si>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</si>
  <si>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</si>
  <si>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</si>
  <si>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</si>
  <si>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</si>
  <si>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</si>
  <si>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</si>
  <si>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</si>
  <si>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</si>
  <si>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</si>
  <si>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</si>
  <si>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</si>
  <si>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</si>
  <si>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</si>
  <si>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</si>
  <si>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</si>
  <si>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</si>
  <si>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</si>
  <si>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</si>
  <si>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</si>
  <si>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</si>
  <si>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</si>
  <si>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</si>
  <si>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</si>
  <si>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</si>
  <si>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</si>
  <si>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</si>
  <si>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</si>
  <si>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</si>
  <si>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</si>
  <si>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</si>
  <si>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</si>
  <si>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</si>
  <si>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</si>
  <si>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</si>
  <si>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</si>
  <si>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</si>
  <si>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</si>
  <si>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</si>
  <si>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</si>
  <si>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</si>
  <si>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</si>
  <si>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</si>
  <si>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</si>
  <si>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</si>
  <si>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</si>
  <si>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</si>
  <si>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</si>
  <si>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</si>
  <si>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</si>
  <si>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</si>
  <si>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</si>
  <si>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</si>
  <si>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</si>
  <si>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</si>
  <si>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</si>
  <si>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</si>
  <si>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</si>
  <si>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</si>
  <si>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</si>
  <si>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</si>
  <si>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</si>
  <si>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</si>
  <si>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</si>
  <si>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</si>
  <si>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</si>
  <si>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</si>
  <si>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</si>
  <si>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</si>
  <si>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</si>
  <si>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</si>
  <si>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</si>
  <si>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</si>
  <si>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</si>
  <si>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</si>
  <si>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</si>
  <si>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</si>
  <si>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</si>
  <si>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</si>
  <si>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</si>
  <si>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</si>
  <si>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</si>
  <si>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</si>
  <si>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</si>
  <si>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</si>
  <si>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</si>
  <si>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</si>
  <si>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</si>
  <si>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</si>
  <si>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</si>
  <si>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</si>
  <si>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</si>
  <si>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</si>
  <si>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</si>
  <si>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</si>
  <si>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</si>
  <si>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</si>
  <si>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</si>
  <si>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</si>
  <si>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</si>
  <si>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</si>
  <si>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</si>
  <si>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</si>
  <si>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</si>
  <si>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</si>
  <si>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</si>
  <si>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</si>
  <si>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</si>
  <si>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</si>
  <si>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</si>
  <si>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</si>
  <si>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</si>
  <si>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</si>
  <si>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</si>
  <si>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</si>
  <si>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</si>
  <si>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</si>
  <si>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</si>
  <si>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</si>
  <si>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</si>
  <si>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</si>
  <si>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</si>
  <si>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</si>
  <si>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</si>
  <si>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</si>
  <si>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</si>
  <si>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</si>
  <si>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</si>
  <si>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</si>
  <si>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</si>
  <si>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</si>
  <si>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</si>
  <si>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</si>
  <si>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</si>
  <si>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</si>
  <si>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</si>
  <si>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</si>
  <si>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</si>
  <si>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</si>
  <si>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</si>
  <si>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</si>
  <si>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</si>
  <si>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</si>
  <si>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</si>
  <si>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</si>
  <si>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</si>
  <si>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</si>
  <si>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</si>
  <si>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</si>
  <si>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</si>
  <si>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</si>
  <si>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</si>
  <si>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</si>
  <si>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</si>
  <si>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</si>
  <si>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</si>
  <si>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</si>
  <si>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</si>
  <si>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</si>
  <si>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</si>
  <si>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</si>
  <si>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</si>
  <si>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</si>
  <si>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</si>
  <si>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</si>
  <si>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</si>
  <si>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</si>
  <si>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</si>
  <si>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</si>
  <si>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</si>
  <si>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</si>
  <si>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</si>
  <si>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</si>
  <si>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</si>
  <si>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</si>
  <si>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</si>
  <si>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</si>
  <si>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</si>
  <si>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</si>
  <si>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</si>
  <si>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</si>
  <si>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</si>
  <si>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</si>
  <si>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</si>
  <si>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</si>
  <si>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</si>
  <si>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</si>
  <si>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</si>
  <si>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</si>
  <si>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</si>
  <si>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</si>
  <si>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</si>
  <si>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</si>
  <si>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</si>
  <si>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</si>
  <si>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</si>
  <si>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</si>
  <si>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</si>
  <si>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</si>
  <si>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</si>
  <si>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</si>
  <si>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</si>
  <si>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</si>
  <si>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</si>
  <si>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</si>
  <si>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</si>
  <si>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</si>
  <si>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</si>
  <si>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</si>
  <si>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</si>
  <si>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</si>
  <si>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</si>
  <si>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</si>
  <si>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</si>
  <si>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</si>
  <si>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</si>
  <si>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</si>
  <si>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</si>
  <si>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</si>
  <si>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</si>
  <si>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</si>
  <si>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</si>
  <si>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</si>
  <si>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</si>
  <si>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</si>
  <si>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</si>
  <si>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</si>
  <si>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</si>
  <si>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</si>
  <si>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</si>
  <si>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</si>
  <si>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</si>
  <si>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</si>
  <si>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</si>
  <si>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</si>
  <si>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</si>
  <si>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</si>
  <si>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</si>
  <si>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</si>
  <si>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</si>
  <si>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</si>
  <si>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</si>
  <si>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</si>
  <si>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</si>
  <si>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</si>
  <si>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</si>
  <si>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</si>
  <si>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</si>
  <si>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</si>
  <si>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</si>
  <si>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</si>
  <si>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</si>
  <si>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</si>
  <si>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</si>
  <si>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</si>
  <si>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</si>
  <si>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</si>
  <si>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</si>
  <si>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</si>
  <si>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</si>
  <si>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</si>
  <si>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</si>
  <si>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</si>
  <si>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</si>
  <si>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</si>
  <si>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</si>
  <si>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</si>
  <si>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</si>
  <si>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</si>
  <si>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</si>
  <si>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</si>
  <si>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</si>
  <si>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</si>
  <si>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</si>
  <si>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</si>
  <si>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</si>
  <si>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</si>
  <si>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</si>
  <si>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</si>
  <si>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</si>
  <si>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</si>
  <si>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</si>
  <si>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</si>
  <si>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</si>
  <si>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</si>
  <si>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</si>
  <si>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</si>
  <si>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</si>
  <si>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</si>
  <si>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</si>
  <si>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</si>
  <si>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</si>
  <si>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</si>
  <si>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</si>
  <si>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</si>
  <si>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</si>
  <si>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</si>
  <si>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</si>
  <si>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</si>
  <si>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</si>
  <si>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</si>
  <si>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</si>
  <si>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</si>
  <si>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</si>
  <si>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</si>
  <si>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</si>
  <si>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</si>
  <si>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</si>
  <si>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</si>
  <si>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</si>
  <si>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</si>
  <si>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</si>
  <si>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</si>
  <si>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</si>
  <si>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</si>
  <si>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</si>
  <si>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</si>
  <si>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</si>
  <si>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</si>
  <si>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</si>
  <si>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</si>
  <si>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</si>
  <si>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</si>
  <si>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</si>
  <si>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</si>
  <si>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</si>
  <si>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</si>
  <si>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</si>
  <si>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</si>
  <si>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</si>
  <si>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</si>
  <si>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</si>
  <si>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</si>
  <si>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</si>
  <si>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</si>
  <si>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</si>
  <si>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</si>
  <si>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</si>
  <si>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</si>
  <si>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</si>
  <si>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</si>
  <si>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</si>
  <si>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</si>
  <si>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</si>
  <si>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</si>
  <si>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</si>
  <si>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</si>
  <si>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</si>
  <si>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</si>
  <si>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</si>
  <si>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</si>
  <si>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</si>
  <si>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</si>
  <si>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</si>
  <si>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</si>
  <si>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</si>
  <si>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</si>
  <si>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</si>
  <si>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</si>
  <si>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</si>
  <si>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</si>
  <si>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</si>
  <si>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</si>
  <si>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</si>
  <si>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</si>
  <si>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</si>
  <si>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</si>
  <si>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</si>
  <si>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</si>
  <si>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</si>
  <si>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</si>
  <si>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</si>
  <si>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</si>
  <si>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</si>
  <si>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</si>
  <si>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</si>
  <si>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</si>
  <si>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</si>
  <si>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</si>
  <si>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</si>
  <si>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</si>
  <si>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</si>
  <si>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</si>
  <si>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</si>
  <si>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</si>
  <si>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</si>
  <si>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</si>
  <si>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</si>
  <si>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</si>
  <si>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</si>
  <si>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</si>
  <si>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</si>
  <si>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</si>
  <si>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</si>
  <si>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</si>
  <si>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</si>
  <si>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</si>
  <si>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</si>
  <si>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</si>
  <si>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</si>
  <si>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</si>
  <si>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</si>
  <si>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</si>
  <si>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</si>
  <si>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</si>
  <si>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</si>
  <si>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</si>
  <si>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</si>
  <si>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</si>
  <si>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</si>
  <si>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</si>
  <si>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</si>
  <si>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</si>
  <si>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</si>
  <si>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</si>
  <si>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</si>
  <si>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</si>
  <si>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</si>
  <si>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</si>
  <si>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</si>
  <si>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</si>
  <si>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</si>
  <si>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</si>
  <si>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</si>
  <si>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</si>
  <si>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</si>
  <si>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</si>
  <si>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</si>
  <si>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</si>
  <si>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</si>
  <si>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</si>
  <si>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</si>
  <si>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</si>
  <si>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</si>
  <si>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</si>
  <si>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</si>
  <si>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</si>
  <si>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</si>
  <si>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</si>
  <si>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</si>
  <si>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</si>
  <si>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</si>
  <si>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</si>
  <si>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</si>
  <si>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</si>
  <si>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</si>
  <si>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</si>
  <si>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</si>
  <si>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</si>
  <si>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</si>
  <si>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</si>
  <si>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</si>
  <si>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</si>
  <si>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</si>
  <si>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</si>
  <si>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</si>
  <si>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</si>
  <si>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</si>
  <si>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</si>
  <si>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</si>
  <si>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</si>
  <si>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</si>
  <si>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</si>
  <si>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</si>
  <si>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</si>
  <si>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</si>
  <si>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</si>
  <si>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</si>
  <si>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</si>
  <si>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</si>
  <si>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</si>
  <si>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</si>
  <si>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</si>
  <si>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</si>
  <si>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</si>
  <si>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</si>
  <si>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</si>
  <si>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</si>
  <si>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</si>
  <si>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</si>
  <si>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</si>
  <si>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</si>
  <si>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</si>
  <si>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</si>
  <si>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</si>
  <si>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</si>
  <si>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</si>
  <si>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</si>
  <si>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</si>
  <si>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</si>
  <si>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</si>
  <si>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</si>
  <si>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</si>
  <si>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</si>
  <si>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</si>
  <si>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</si>
  <si>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</si>
  <si>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</si>
  <si>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</si>
  <si>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</si>
  <si>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</si>
  <si>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</si>
  <si>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</si>
  <si>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</si>
  <si>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</si>
  <si>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</si>
  <si>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</si>
  <si>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</si>
  <si>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</si>
  <si>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</si>
  <si>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</si>
  <si>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</si>
  <si>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</si>
  <si>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</si>
  <si>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</si>
  <si>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</si>
  <si>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</si>
  <si>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</si>
  <si>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</si>
  <si>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</si>
  <si>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</si>
  <si>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</si>
  <si>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</si>
  <si>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</si>
  <si>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</si>
  <si>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</si>
  <si>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</si>
  <si>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</si>
  <si>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</si>
  <si>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</si>
  <si>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</si>
  <si>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</si>
  <si>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</si>
  <si>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</si>
  <si>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</si>
  <si>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</si>
  <si>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</si>
  <si>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</si>
  <si>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</si>
  <si>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</si>
  <si>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</si>
  <si>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</si>
  <si>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</si>
  <si>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</si>
  <si>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</si>
  <si>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</si>
  <si>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</si>
  <si>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</si>
  <si>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</si>
  <si>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</si>
  <si>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</si>
  <si>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</si>
  <si>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</si>
  <si>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</si>
  <si>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</si>
  <si>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</si>
  <si>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</si>
  <si>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</si>
  <si>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</si>
  <si>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</si>
  <si>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</si>
  <si>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</si>
  <si>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</si>
  <si>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</si>
  <si>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</si>
  <si>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</si>
  <si>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</si>
  <si>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</si>
  <si>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</si>
  <si>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</si>
  <si>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</si>
  <si>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</si>
  <si>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</si>
  <si>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</si>
  <si>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</si>
  <si>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</si>
  <si>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</si>
  <si>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</si>
  <si>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</si>
  <si>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</si>
  <si>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</si>
  <si>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</si>
  <si>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</si>
  <si>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</si>
  <si>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</si>
  <si>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</si>
  <si>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</si>
  <si>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</si>
  <si>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</si>
  <si>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</si>
  <si>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</si>
  <si>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</si>
  <si>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</si>
  <si>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</si>
  <si>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</si>
  <si>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</si>
  <si>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</si>
  <si>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</si>
  <si>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</si>
  <si>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</si>
  <si>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</si>
  <si>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</si>
  <si>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</si>
  <si>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</si>
  <si>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</si>
  <si>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</si>
  <si>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</si>
  <si>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</si>
  <si>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</si>
  <si>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</si>
  <si>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</si>
  <si>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</si>
  <si>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</si>
  <si>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</si>
  <si>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</si>
  <si>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</si>
  <si>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</si>
  <si>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</si>
  <si>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</si>
  <si>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</si>
  <si>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</si>
  <si>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</si>
  <si>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</si>
  <si>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</si>
  <si>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</si>
  <si>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</si>
  <si>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</si>
  <si>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</si>
  <si>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</si>
  <si>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</si>
  <si>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</si>
  <si>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</si>
  <si>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</si>
  <si>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</si>
  <si>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</si>
  <si>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</si>
  <si>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</si>
  <si>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</si>
  <si>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</si>
  <si>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</si>
  <si>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</si>
  <si>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</si>
  <si>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</si>
  <si>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</si>
  <si>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</si>
  <si>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</si>
  <si>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</si>
  <si>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</si>
  <si>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</si>
  <si>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</si>
  <si>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</si>
  <si>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</si>
  <si>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</si>
  <si>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</si>
  <si>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</si>
  <si>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</si>
  <si>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</si>
  <si>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</si>
  <si>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</si>
  <si>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</si>
  <si>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</si>
  <si>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</si>
  <si>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</si>
  <si>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</si>
  <si>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</si>
  <si>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</si>
  <si>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</si>
  <si>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</si>
  <si>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</si>
  <si>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</si>
  <si>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</si>
  <si>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</si>
  <si>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</si>
  <si>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</si>
  <si>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</si>
  <si>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</si>
  <si>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</si>
  <si>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</si>
  <si>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</si>
  <si>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</si>
  <si>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</si>
  <si>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</si>
  <si>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</si>
  <si>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</si>
  <si>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</si>
  <si>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</si>
  <si>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</si>
  <si>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</si>
  <si>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</si>
  <si>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</si>
  <si>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</si>
  <si>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</si>
  <si>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</si>
  <si>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</si>
  <si>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</si>
  <si>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</si>
  <si>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</si>
  <si>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</si>
  <si>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</si>
  <si>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</si>
  <si>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</si>
  <si>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</si>
  <si>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</si>
  <si>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</si>
  <si>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</si>
  <si>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</si>
  <si>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</si>
  <si>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</si>
  <si>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</si>
  <si>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</si>
  <si>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</si>
  <si>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</si>
  <si>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</si>
  <si>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</si>
  <si>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</si>
  <si>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</si>
  <si>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</si>
  <si>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</si>
  <si>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</si>
  <si>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</si>
  <si>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</si>
  <si>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</si>
  <si>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</si>
  <si>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</si>
  <si>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</si>
  <si>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</si>
  <si>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</si>
  <si>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</si>
  <si>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</si>
  <si>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</si>
  <si>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</si>
  <si>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</si>
  <si>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</si>
  <si>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</si>
  <si>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</si>
  <si>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</si>
  <si>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</si>
  <si>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</si>
  <si>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</si>
  <si>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</si>
  <si>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</si>
  <si>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</si>
  <si>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</si>
  <si>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</si>
  <si>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</si>
  <si>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</si>
  <si>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</si>
  <si>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</si>
  <si>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</si>
  <si>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</si>
  <si>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</si>
  <si>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</si>
  <si>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</si>
  <si>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</si>
  <si>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</si>
  <si>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</si>
  <si>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</si>
  <si>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</si>
  <si>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</si>
  <si>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</si>
  <si>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</si>
  <si>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</si>
  <si>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</si>
  <si>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</si>
  <si>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</si>
  <si>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</si>
  <si>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</si>
  <si>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</si>
  <si>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</si>
  <si>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</si>
  <si>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</si>
  <si>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</si>
  <si>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</si>
  <si>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</si>
  <si>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</si>
  <si>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</si>
  <si>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</si>
  <si>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</si>
  <si>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</si>
  <si>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</si>
  <si>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</si>
  <si>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</si>
  <si>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</si>
  <si>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</si>
  <si>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</si>
  <si>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</si>
  <si>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</si>
  <si>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</si>
  <si>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</si>
  <si>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</si>
  <si>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</si>
  <si>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</si>
  <si>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</si>
  <si>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</si>
  <si>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</si>
  <si>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</si>
  <si>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</si>
  <si>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</si>
  <si>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</si>
  <si>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</si>
  <si>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</si>
  <si>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</si>
  <si>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</si>
  <si>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</si>
  <si>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</si>
  <si>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</si>
  <si>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</si>
  <si>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</si>
  <si>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</si>
  <si>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</si>
  <si>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</si>
  <si>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</si>
  <si>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</si>
  <si>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</si>
  <si>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</si>
  <si>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</si>
  <si>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</si>
  <si>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</si>
  <si>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</si>
  <si>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</si>
  <si>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</si>
  <si>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</si>
  <si>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</si>
  <si>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</si>
  <si>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</si>
  <si>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</si>
  <si>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</si>
  <si>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</si>
  <si>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</si>
  <si>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</si>
  <si>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</si>
  <si>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</si>
  <si>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</si>
  <si>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</si>
  <si>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</si>
  <si>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</si>
  <si>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</si>
  <si>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</si>
  <si>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</si>
  <si>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</si>
  <si>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</si>
  <si>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</si>
  <si>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</si>
  <si>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</si>
  <si>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</si>
  <si>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</si>
  <si>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</si>
  <si>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</si>
  <si>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</si>
  <si>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</si>
  <si>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</si>
  <si>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</si>
  <si>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</si>
  <si>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</si>
  <si>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</si>
  <si>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</si>
  <si>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</si>
  <si>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</si>
  <si>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</si>
  <si>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</si>
  <si>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</si>
  <si>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</si>
  <si>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</si>
  <si>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</si>
  <si>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</si>
  <si>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</si>
  <si>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</si>
  <si>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</si>
  <si>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</si>
  <si>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</si>
  <si>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</si>
  <si>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</si>
  <si>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</si>
  <si>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</si>
  <si>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</si>
  <si>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</si>
  <si>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</si>
  <si>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</si>
  <si>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</si>
  <si>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</si>
  <si>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</si>
  <si>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</si>
  <si>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</si>
  <si>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</si>
  <si>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</si>
  <si>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</si>
  <si>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</si>
  <si>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</si>
  <si>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</si>
  <si>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</si>
  <si>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</si>
  <si>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</si>
  <si>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</si>
  <si>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</si>
  <si>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</si>
  <si>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</si>
  <si>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</si>
  <si>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</si>
  <si>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</si>
  <si>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</si>
  <si>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</si>
  <si>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</si>
  <si>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</si>
  <si>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</si>
  <si>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</si>
  <si>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</si>
  <si>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</si>
  <si>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</si>
  <si>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</si>
  <si>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</si>
  <si>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</si>
  <si>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</si>
  <si>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</si>
  <si>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</si>
  <si>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</si>
  <si>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</si>
  <si>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</si>
  <si>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</si>
  <si>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</si>
  <si>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</si>
  <si>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</si>
  <si>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</si>
  <si>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</si>
  <si>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</si>
  <si>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</si>
  <si>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</si>
  <si>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</si>
  <si>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</si>
  <si>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</si>
  <si>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</si>
  <si>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</si>
  <si>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</si>
  <si>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</si>
  <si>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</si>
  <si>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</si>
  <si>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</si>
  <si>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</si>
  <si>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</si>
  <si>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</si>
  <si>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</si>
  <si>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</si>
  <si>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</si>
  <si>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</si>
  <si>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</si>
  <si>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</si>
  <si>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</si>
  <si>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</si>
  <si>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</si>
  <si>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</si>
  <si>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</si>
  <si>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</si>
  <si>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</si>
  <si>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</si>
  <si>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</si>
  <si>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</si>
  <si>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</si>
  <si>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</si>
  <si>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</si>
  <si>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</si>
  <si>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</si>
  <si>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</si>
  <si>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</si>
  <si>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</si>
  <si>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</si>
  <si>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</si>
  <si>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</si>
  <si>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</si>
  <si>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</si>
  <si>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</si>
  <si>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</si>
  <si>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</si>
  <si>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</si>
  <si>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</si>
  <si>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</si>
  <si>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</si>
  <si>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</si>
  <si>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</si>
  <si>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</si>
  <si>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</si>
  <si>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</si>
  <si>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</si>
  <si>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</si>
  <si>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</si>
  <si>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</si>
  <si>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</si>
  <si>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</si>
  <si>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</si>
  <si>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</si>
  <si>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</si>
  <si>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</si>
  <si>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</si>
  <si>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</si>
  <si>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</si>
  <si>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</si>
  <si>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</si>
  <si>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</si>
  <si>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</si>
  <si>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</si>
  <si>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</si>
  <si>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</si>
  <si>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</si>
  <si>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</si>
  <si>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</si>
  <si>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</si>
  <si>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</si>
  <si>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</si>
  <si>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</si>
  <si>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</si>
  <si>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</si>
  <si>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</si>
  <si>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</si>
  <si>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</si>
  <si>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</si>
  <si>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</si>
  <si>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</si>
  <si>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</si>
  <si>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</si>
  <si>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</si>
  <si>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</si>
  <si>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</si>
  <si>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</si>
  <si>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</si>
  <si>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</si>
  <si>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</si>
  <si>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</si>
  <si>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</si>
  <si>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</si>
  <si>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</si>
  <si>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</si>
  <si>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</si>
  <si>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</si>
  <si>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</si>
  <si>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</si>
  <si>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</si>
  <si>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</si>
  <si>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</si>
  <si>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</si>
  <si>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</si>
  <si>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</si>
  <si>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</si>
  <si>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</si>
  <si>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</si>
  <si>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</si>
  <si>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</si>
  <si>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</si>
  <si>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</si>
  <si>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</si>
  <si>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</si>
  <si>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</si>
  <si>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</si>
  <si>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</si>
  <si>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</si>
  <si>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</si>
  <si>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</si>
  <si>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</si>
  <si>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</si>
  <si>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</si>
  <si>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</si>
  <si>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</si>
  <si>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</si>
  <si>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</si>
  <si>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</si>
  <si>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</si>
  <si>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</si>
  <si>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</si>
  <si>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</si>
  <si>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</si>
  <si>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</si>
  <si>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</si>
  <si>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</si>
  <si>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</si>
  <si>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</si>
  <si>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</si>
  <si>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</si>
  <si>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</si>
  <si>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</si>
  <si>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</si>
  <si>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</si>
  <si>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</si>
  <si>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</si>
  <si>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</si>
  <si>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</si>
  <si>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</si>
  <si>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</si>
  <si>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</si>
  <si>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</si>
  <si>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</si>
  <si>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</si>
  <si>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</si>
  <si>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</si>
  <si>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</si>
  <si>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</si>
  <si>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</si>
  <si>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</si>
  <si>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</si>
  <si>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</si>
  <si>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</si>
  <si>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</si>
  <si>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</si>
  <si>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</si>
  <si>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</si>
  <si>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</si>
  <si>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</si>
  <si>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</si>
  <si>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</si>
  <si>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</si>
  <si>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</si>
  <si>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</si>
  <si>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</si>
  <si>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</si>
  <si>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</si>
  <si>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</si>
  <si>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</si>
  <si>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</si>
  <si>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</si>
  <si>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</si>
  <si>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</si>
  <si>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</si>
  <si>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</si>
  <si>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</si>
  <si>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</si>
  <si>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</si>
  <si>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</si>
  <si>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</si>
  <si>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</si>
  <si>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</si>
  <si>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</si>
  <si>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</si>
  <si>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</si>
  <si>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</si>
  <si>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</si>
  <si>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</si>
  <si>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</si>
  <si>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</si>
  <si>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</si>
  <si>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</si>
  <si>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</si>
  <si>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</si>
  <si>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</si>
  <si>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</si>
  <si>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</si>
  <si>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</si>
  <si>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</si>
  <si>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</si>
  <si>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</si>
  <si>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</si>
  <si>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</si>
  <si>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</si>
  <si>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</si>
  <si>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</si>
  <si>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</si>
  <si>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</si>
  <si>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</si>
  <si>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</si>
  <si>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</si>
  <si>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</si>
  <si>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</si>
  <si>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</si>
  <si>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</si>
  <si>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</si>
  <si>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</si>
  <si>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</si>
  <si>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</si>
  <si>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</si>
  <si>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</si>
  <si>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</si>
  <si>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</si>
  <si>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</si>
  <si>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</si>
  <si>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</si>
  <si>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</si>
  <si>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</si>
  <si>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</si>
  <si>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</si>
  <si>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</si>
  <si>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</si>
  <si>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</si>
  <si>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</si>
  <si>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</si>
  <si>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</si>
  <si>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</si>
  <si>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</si>
  <si>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</si>
  <si>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</si>
  <si>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</si>
  <si>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</si>
  <si>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</si>
  <si>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</si>
  <si>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</si>
  <si>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</si>
  <si>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</si>
  <si>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</si>
  <si>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</si>
  <si>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</si>
  <si>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</si>
  <si>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</si>
  <si>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</si>
  <si>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</si>
  <si>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</si>
  <si>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</si>
  <si>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</si>
  <si>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</si>
  <si>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</si>
  <si>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</si>
  <si>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</si>
  <si>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</si>
  <si>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</si>
  <si>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</si>
  <si>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</si>
  <si>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</si>
  <si>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</si>
  <si>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</si>
  <si>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</si>
  <si>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</si>
  <si>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</si>
  <si>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</si>
  <si>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</si>
  <si>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</si>
  <si>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</si>
  <si>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</si>
  <si>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</si>
  <si>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</si>
  <si>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</si>
  <si>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</si>
  <si>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</si>
  <si>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</si>
  <si>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</si>
  <si>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</si>
  <si>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</si>
  <si>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</si>
  <si>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</si>
  <si>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</si>
  <si>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</si>
  <si>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</si>
  <si>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</si>
  <si>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</si>
  <si>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</si>
  <si>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</si>
  <si>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</si>
  <si>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</si>
  <si>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</si>
  <si>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</si>
  <si>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</si>
  <si>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</si>
  <si>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</si>
  <si>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</si>
  <si>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</si>
  <si>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</si>
  <si>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</si>
  <si>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</si>
  <si>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</si>
  <si>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</si>
  <si>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</si>
  <si>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</si>
  <si>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</si>
  <si>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</si>
  <si>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</si>
  <si>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</si>
  <si>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</si>
  <si>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</si>
  <si>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</si>
  <si>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</si>
  <si>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</si>
  <si>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</si>
  <si>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</si>
  <si>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</si>
  <si>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</si>
  <si>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</si>
  <si>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</si>
  <si>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</si>
  <si>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</si>
  <si>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</si>
  <si>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</si>
  <si>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</si>
  <si>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</si>
  <si>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</si>
  <si>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</si>
  <si>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</si>
  <si>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</si>
  <si>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</si>
  <si>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</si>
  <si>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</si>
  <si>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</si>
  <si>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</si>
  <si>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</si>
  <si>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Sum of Quantity</t>
  </si>
  <si>
    <t>Count of TX ID</t>
  </si>
  <si>
    <t>Sum of Days to Deliver</t>
  </si>
  <si>
    <t>Sum of Rating C</t>
  </si>
  <si>
    <t>Sum of Amount</t>
  </si>
  <si>
    <t>Average of Days to Deliver</t>
  </si>
  <si>
    <t>Average of Rating C</t>
  </si>
  <si>
    <t>Row Labels</t>
  </si>
  <si>
    <t>Grand Total</t>
  </si>
  <si>
    <t>Column Labels</t>
  </si>
  <si>
    <t>Female</t>
  </si>
  <si>
    <t>Male</t>
  </si>
  <si>
    <t>Other</t>
  </si>
  <si>
    <t>Unknown</t>
  </si>
  <si>
    <t>Total</t>
  </si>
  <si>
    <t>Qty Group</t>
  </si>
  <si>
    <t>1 to 5</t>
  </si>
  <si>
    <t>6 to 10</t>
  </si>
  <si>
    <t>Above 16</t>
  </si>
  <si>
    <t>11 to 16</t>
  </si>
  <si>
    <t>Customer satisfaction analysis</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</si>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</sst>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K"/>
    <numFmt numFmtId="165"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center" vertical="center"/>
    </xf>
    <xf numFmtId="0" fontId="1" fillId="0" borderId="1" xfId="0" applyFont="1" applyBorder="1" applyAlignment="1">
      <alignment horizontal="center" vertical="center"/>
    </xf>
    <xf numFmtId="165" fontId="0" fillId="0" borderId="1" xfId="1" applyNumberFormat="1" applyFont="1" applyBorder="1" applyAlignment="1">
      <alignment horizontal="center" vertical="center"/>
    </xf>
  </cellXfs>
  <cellStyles count="2">
    <cellStyle name="Normal" xfId="0" builtinId="0"/>
    <cellStyle name="Percent" xfId="1" builtinId="5"/>
  </cellStyles>
  <dxfs count="6">
    <dxf>
      <numFmt numFmtId="0" formatCode="General"/>
    </dxf>
    <dxf>
      <numFmt numFmtId="0" formatCode="General"/>
    </dxf>
    <dxf>
      <numFmt numFmtId="0" formatCode="General"/>
    </dxf>
    <dxf>
      <numFmt numFmtId="0" formatCode="General"/>
    </dxf>
    <dxf>
      <numFmt numFmtId="166" formatCode="d\-mmm\-yy"/>
    </dxf>
    <dxf>
      <numFmt numFmtId="166" formatCode="d\-mmm\-yy"/>
    </dxf>
  </dxfs>
  <tableStyles count="1" defaultTableStyle="TableStyleMedium2" defaultPivotStyle="PivotStyleLight16">
    <tableStyle name="Invisible" pivot="0" table="0" count="0" xr9:uid="{368CD172-E135-44B1-9F5D-67C76899D7C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dashboard.xlsx]Pivots!Week wise - product &amp; amount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Last</a:t>
            </a:r>
            <a:r>
              <a:rPr lang="en-IN" b="1" i="1" baseline="0"/>
              <a:t> 13 weeks trend - Qty and amount</a:t>
            </a:r>
            <a:endParaRPr lang="en-IN" b="1" i="1"/>
          </a:p>
        </c:rich>
      </c:tx>
      <c:layout>
        <c:manualLayout>
          <c:xMode val="edge"/>
          <c:yMode val="edge"/>
          <c:x val="2.0966444850959307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Pivots!$B$8</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 #,###.0\K</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A9B6-4143-8A5E-34719C7206C8}"/>
            </c:ext>
          </c:extLst>
        </c:ser>
        <c:dLbls>
          <c:showLegendKey val="0"/>
          <c:showVal val="0"/>
          <c:showCatName val="0"/>
          <c:showSerName val="0"/>
          <c:showPercent val="0"/>
          <c:showBubbleSize val="0"/>
        </c:dLbls>
        <c:marker val="1"/>
        <c:smooth val="0"/>
        <c:axId val="1518693440"/>
        <c:axId val="457750608"/>
      </c:lineChart>
      <c:lineChart>
        <c:grouping val="standard"/>
        <c:varyColors val="0"/>
        <c:ser>
          <c:idx val="1"/>
          <c:order val="1"/>
          <c:tx>
            <c:strRef>
              <c:f>Pivots!$C$8</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A9B6-4143-8A5E-34719C7206C8}"/>
            </c:ext>
          </c:extLst>
        </c:ser>
        <c:dLbls>
          <c:showLegendKey val="0"/>
          <c:showVal val="0"/>
          <c:showCatName val="0"/>
          <c:showSerName val="0"/>
          <c:showPercent val="0"/>
          <c:showBubbleSize val="0"/>
        </c:dLbls>
        <c:marker val="1"/>
        <c:smooth val="0"/>
        <c:axId val="1518694368"/>
        <c:axId val="457747728"/>
      </c:lineChart>
      <c:catAx>
        <c:axId val="15186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750608"/>
        <c:crosses val="autoZero"/>
        <c:auto val="1"/>
        <c:lblAlgn val="ctr"/>
        <c:lblOffset val="100"/>
        <c:noMultiLvlLbl val="0"/>
      </c:catAx>
      <c:valAx>
        <c:axId val="457750608"/>
        <c:scaling>
          <c:orientation val="minMax"/>
        </c:scaling>
        <c:delete val="0"/>
        <c:axPos val="l"/>
        <c:majorGridlines>
          <c:spPr>
            <a:ln w="9525" cap="flat" cmpd="sng" algn="ctr">
              <a:solidFill>
                <a:schemeClr val="tx1">
                  <a:lumMod val="15000"/>
                  <a:lumOff val="85000"/>
                </a:schemeClr>
              </a:solidFill>
              <a:round/>
            </a:ln>
            <a:effectLst/>
          </c:spPr>
        </c:majorGridlines>
        <c:numFmt formatCode="\$\ #,###.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93440"/>
        <c:crosses val="autoZero"/>
        <c:crossBetween val="between"/>
      </c:valAx>
      <c:valAx>
        <c:axId val="4577477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94368"/>
        <c:crosses val="max"/>
        <c:crossBetween val="between"/>
      </c:valAx>
      <c:catAx>
        <c:axId val="1518694368"/>
        <c:scaling>
          <c:orientation val="minMax"/>
        </c:scaling>
        <c:delete val="1"/>
        <c:axPos val="b"/>
        <c:numFmt formatCode="General" sourceLinked="1"/>
        <c:majorTickMark val="out"/>
        <c:minorTickMark val="none"/>
        <c:tickLblPos val="nextTo"/>
        <c:crossAx val="4577477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dashboard.xlsx]Pivots!Number of Qty</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1" u="none" strike="noStrike" kern="1200" spc="0" baseline="0">
                <a:solidFill>
                  <a:sysClr val="windowText" lastClr="000000">
                    <a:lumMod val="65000"/>
                    <a:lumOff val="35000"/>
                  </a:sysClr>
                </a:solidFill>
              </a:rPr>
              <a:t>How many they buy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Pivots!$A$26:$A$30</c:f>
              <c:strCache>
                <c:ptCount val="4"/>
                <c:pt idx="0">
                  <c:v>1 to 5</c:v>
                </c:pt>
                <c:pt idx="1">
                  <c:v>11 to 16</c:v>
                </c:pt>
                <c:pt idx="2">
                  <c:v>6 to 10</c:v>
                </c:pt>
                <c:pt idx="3">
                  <c:v>Above 16</c:v>
                </c:pt>
              </c:strCache>
            </c:strRef>
          </c:cat>
          <c:val>
            <c:numRef>
              <c:f>Pivots!$B$26:$B$30</c:f>
              <c:numCache>
                <c:formatCode>General</c:formatCode>
                <c:ptCount val="4"/>
                <c:pt idx="0">
                  <c:v>4561</c:v>
                </c:pt>
                <c:pt idx="1">
                  <c:v>1773</c:v>
                </c:pt>
                <c:pt idx="2">
                  <c:v>3112</c:v>
                </c:pt>
                <c:pt idx="3">
                  <c:v>2551</c:v>
                </c:pt>
              </c:numCache>
            </c:numRef>
          </c:val>
          <c:extLst>
            <c:ext xmlns:c16="http://schemas.microsoft.com/office/drawing/2014/chart" uri="{C3380CC4-5D6E-409C-BE32-E72D297353CC}">
              <c16:uniqueId val="{00000000-E150-4A35-AB66-7E6A5FE04966}"/>
            </c:ext>
          </c:extLst>
        </c:ser>
        <c:dLbls>
          <c:dLblPos val="outEnd"/>
          <c:showLegendKey val="0"/>
          <c:showVal val="1"/>
          <c:showCatName val="0"/>
          <c:showSerName val="0"/>
          <c:showPercent val="0"/>
          <c:showBubbleSize val="0"/>
        </c:dLbls>
        <c:gapWidth val="100"/>
        <c:overlap val="-24"/>
        <c:axId val="1172861024"/>
        <c:axId val="1167598896"/>
      </c:barChart>
      <c:catAx>
        <c:axId val="11728610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98896"/>
        <c:crosses val="autoZero"/>
        <c:auto val="1"/>
        <c:lblAlgn val="ctr"/>
        <c:lblOffset val="100"/>
        <c:noMultiLvlLbl val="0"/>
      </c:catAx>
      <c:valAx>
        <c:axId val="1167598896"/>
        <c:scaling>
          <c:orientation val="minMax"/>
        </c:scaling>
        <c:delete val="1"/>
        <c:axPos val="l"/>
        <c:numFmt formatCode="General" sourceLinked="1"/>
        <c:majorTickMark val="none"/>
        <c:minorTickMark val="none"/>
        <c:tickLblPos val="nextTo"/>
        <c:crossAx val="11728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dashboard.xlsx]Pivots!Major Products - M&amp;F</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solidFill>
                  <a:schemeClr val="tx1">
                    <a:lumMod val="50000"/>
                    <a:lumOff val="50000"/>
                  </a:schemeClr>
                </a:solidFill>
              </a:rPr>
              <a:t>Popular</a:t>
            </a:r>
            <a:r>
              <a:rPr lang="en-IN" b="1" i="1" baseline="0">
                <a:solidFill>
                  <a:schemeClr val="tx1">
                    <a:lumMod val="50000"/>
                    <a:lumOff val="50000"/>
                  </a:schemeClr>
                </a:solidFill>
              </a:rPr>
              <a:t> Products - Breakdown by Gender</a:t>
            </a:r>
            <a:endParaRPr lang="en-IN" b="1" i="1">
              <a:solidFill>
                <a:schemeClr val="tx1">
                  <a:lumMod val="50000"/>
                  <a:lumOff val="50000"/>
                </a:schemeClr>
              </a:solidFill>
            </a:endParaRPr>
          </a:p>
        </c:rich>
      </c:tx>
      <c:layout>
        <c:manualLayout>
          <c:xMode val="edge"/>
          <c:yMode val="edge"/>
          <c:x val="2.096644485095930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Pivots!$B$33:$B$34</c:f>
              <c:strCache>
                <c:ptCount val="1"/>
              </c:strCache>
            </c:strRef>
          </c:tx>
          <c:spPr>
            <a:solidFill>
              <a:schemeClr val="accent1"/>
            </a:solidFill>
            <a:ln>
              <a:noFill/>
            </a:ln>
            <a:effectLst/>
          </c:spPr>
          <c:invertIfNegative val="0"/>
          <c:cat>
            <c:strRef>
              <c:f>Pivots!$A$35:$A$55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Pivots!$B$35:$B$55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6F39-4F4D-B7E1-057B82C03634}"/>
            </c:ext>
          </c:extLst>
        </c:ser>
        <c:ser>
          <c:idx val="1"/>
          <c:order val="1"/>
          <c:tx>
            <c:strRef>
              <c:f>Pivots!$C$33:$C$34</c:f>
              <c:strCache>
                <c:ptCount val="1"/>
                <c:pt idx="0">
                  <c:v>F</c:v>
                </c:pt>
              </c:strCache>
            </c:strRef>
          </c:tx>
          <c:spPr>
            <a:solidFill>
              <a:schemeClr val="accent2"/>
            </a:solidFill>
            <a:ln>
              <a:noFill/>
            </a:ln>
            <a:effectLst/>
          </c:spPr>
          <c:invertIfNegative val="0"/>
          <c:cat>
            <c:strRef>
              <c:f>Pivots!$A$35:$A$55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Pivots!$C$35:$C$55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6F39-4F4D-B7E1-057B82C03634}"/>
            </c:ext>
          </c:extLst>
        </c:ser>
        <c:ser>
          <c:idx val="2"/>
          <c:order val="2"/>
          <c:tx>
            <c:strRef>
              <c:f>Pivots!$D$33:$D$34</c:f>
              <c:strCache>
                <c:ptCount val="1"/>
                <c:pt idx="0">
                  <c:v>M</c:v>
                </c:pt>
              </c:strCache>
            </c:strRef>
          </c:tx>
          <c:spPr>
            <a:solidFill>
              <a:schemeClr val="accent3"/>
            </a:solidFill>
            <a:ln>
              <a:noFill/>
            </a:ln>
            <a:effectLst/>
          </c:spPr>
          <c:invertIfNegative val="0"/>
          <c:cat>
            <c:strRef>
              <c:f>Pivots!$A$35:$A$55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Pivots!$D$35:$D$55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6F39-4F4D-B7E1-057B82C03634}"/>
            </c:ext>
          </c:extLst>
        </c:ser>
        <c:ser>
          <c:idx val="3"/>
          <c:order val="3"/>
          <c:tx>
            <c:strRef>
              <c:f>Pivots!$E$33:$E$34</c:f>
              <c:strCache>
                <c:ptCount val="1"/>
                <c:pt idx="0">
                  <c:v>O</c:v>
                </c:pt>
              </c:strCache>
            </c:strRef>
          </c:tx>
          <c:spPr>
            <a:solidFill>
              <a:schemeClr val="accent4"/>
            </a:solidFill>
            <a:ln>
              <a:noFill/>
            </a:ln>
            <a:effectLst/>
          </c:spPr>
          <c:invertIfNegative val="0"/>
          <c:cat>
            <c:strRef>
              <c:f>Pivots!$A$35:$A$55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Pivots!$E$35:$E$55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6F39-4F4D-B7E1-057B82C03634}"/>
            </c:ext>
          </c:extLst>
        </c:ser>
        <c:dLbls>
          <c:showLegendKey val="0"/>
          <c:showVal val="0"/>
          <c:showCatName val="0"/>
          <c:showSerName val="0"/>
          <c:showPercent val="0"/>
          <c:showBubbleSize val="0"/>
        </c:dLbls>
        <c:gapWidth val="150"/>
        <c:overlap val="100"/>
        <c:axId val="1728507456"/>
        <c:axId val="1167591216"/>
      </c:barChart>
      <c:catAx>
        <c:axId val="172850745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91216"/>
        <c:crosses val="autoZero"/>
        <c:auto val="1"/>
        <c:lblAlgn val="ctr"/>
        <c:lblOffset val="100"/>
        <c:noMultiLvlLbl val="0"/>
      </c:catAx>
      <c:valAx>
        <c:axId val="116759121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dashboard.xlsx]Pivots!PivotTable7</c:name>
    <c:fmtId val="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834152345920264"/>
              <c:y val="6.75602524474357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356845220989712"/>
              <c:y val="0.12381614062948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41888901661015"/>
              <c:y val="-9.6199739738415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557177615571776"/>
              <c:y val="-0.13700472314910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3967705123816047"/>
              <c:y val="-1.41362071958903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706550268173007"/>
                  <c:h val="0.23317146154396071"/>
                </c:manualLayout>
              </c15:layout>
            </c:ext>
          </c:extLst>
        </c:dLbl>
      </c:pivotFmt>
      <c:pivotFmt>
        <c:idx val="12"/>
        <c:spPr>
          <a:solidFill>
            <a:schemeClr val="accent1"/>
          </a:solidFill>
          <a:ln w="19050">
            <a:solidFill>
              <a:schemeClr val="lt1"/>
            </a:solidFill>
          </a:ln>
          <a:effectLst/>
        </c:spPr>
        <c:dLbl>
          <c:idx val="0"/>
          <c:layout>
            <c:manualLayout>
              <c:x val="-8.9323343129117425E-2"/>
              <c:y val="0.20890142110614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340551181102362E-2"/>
              <c:y val="-0.23876118307792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847896440129443"/>
                  <c:h val="0.32217777213332205"/>
                </c:manualLayout>
              </c15:layout>
            </c:ext>
          </c:extLst>
        </c:dLbl>
      </c:pivotFmt>
      <c:pivotFmt>
        <c:idx val="14"/>
        <c:spPr>
          <a:solidFill>
            <a:schemeClr val="accent1"/>
          </a:solidFill>
          <a:ln w="19050">
            <a:solidFill>
              <a:schemeClr val="lt1"/>
            </a:solidFill>
          </a:ln>
          <a:effectLst/>
        </c:spPr>
        <c:dLbl>
          <c:idx val="0"/>
          <c:layout>
            <c:manualLayout>
              <c:x val="0.40445652727875026"/>
              <c:y val="-0.181620593796743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4590608239187493"/>
                  <c:h val="0.23317146154396071"/>
                </c:manualLayout>
              </c15:layout>
            </c:ext>
          </c:extLst>
        </c:dLbl>
      </c:pivotFmt>
    </c:pivotFmts>
    <c:plotArea>
      <c:layout>
        <c:manualLayout>
          <c:layoutTarget val="inner"/>
          <c:xMode val="edge"/>
          <c:yMode val="edge"/>
          <c:x val="0.20435542432195974"/>
          <c:y val="0.29399387576552932"/>
          <c:w val="0.35240048118985129"/>
          <c:h val="0.58733413531641876"/>
        </c:manualLayout>
      </c:layout>
      <c:doughnutChart>
        <c:varyColors val="1"/>
        <c:ser>
          <c:idx val="0"/>
          <c:order val="0"/>
          <c:tx>
            <c:strRef>
              <c:f>Pivots!$I$33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2F-4238-850F-AB002E543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2F-4238-850F-AB002E5430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2F-4238-850F-AB002E5430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2F-4238-850F-AB002E5430F7}"/>
              </c:ext>
            </c:extLst>
          </c:dPt>
          <c:dLbls>
            <c:dLbl>
              <c:idx val="0"/>
              <c:layout>
                <c:manualLayout>
                  <c:x val="0.23967705123816047"/>
                  <c:y val="-1.4136207195890396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2706550268173007"/>
                      <c:h val="0.23317146154396071"/>
                    </c:manualLayout>
                  </c15:layout>
                </c:ext>
                <c:ext xmlns:c16="http://schemas.microsoft.com/office/drawing/2014/chart" uri="{C3380CC4-5D6E-409C-BE32-E72D297353CC}">
                  <c16:uniqueId val="{00000001-212F-4238-850F-AB002E5430F7}"/>
                </c:ext>
              </c:extLst>
            </c:dLbl>
            <c:dLbl>
              <c:idx val="1"/>
              <c:layout>
                <c:manualLayout>
                  <c:x val="-8.9323343129117425E-2"/>
                  <c:y val="0.2089014211061455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12F-4238-850F-AB002E5430F7}"/>
                </c:ext>
              </c:extLst>
            </c:dLbl>
            <c:dLbl>
              <c:idx val="2"/>
              <c:layout>
                <c:manualLayout>
                  <c:x val="-9.340551181102362E-2"/>
                  <c:y val="-0.23876118307792171"/>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2847896440129443"/>
                      <c:h val="0.32217777213332205"/>
                    </c:manualLayout>
                  </c15:layout>
                </c:ext>
                <c:ext xmlns:c16="http://schemas.microsoft.com/office/drawing/2014/chart" uri="{C3380CC4-5D6E-409C-BE32-E72D297353CC}">
                  <c16:uniqueId val="{00000005-212F-4238-850F-AB002E5430F7}"/>
                </c:ext>
              </c:extLst>
            </c:dLbl>
            <c:dLbl>
              <c:idx val="3"/>
              <c:layout>
                <c:manualLayout>
                  <c:x val="0.40445652727875026"/>
                  <c:y val="-0.18162059379674314"/>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4590608239187493"/>
                      <c:h val="0.23317146154396071"/>
                    </c:manualLayout>
                  </c15:layout>
                </c:ext>
                <c:ext xmlns:c16="http://schemas.microsoft.com/office/drawing/2014/chart" uri="{C3380CC4-5D6E-409C-BE32-E72D297353CC}">
                  <c16:uniqueId val="{00000007-212F-4238-850F-AB002E5430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Pivots!$H$34:$H$38</c:f>
              <c:strCache>
                <c:ptCount val="4"/>
                <c:pt idx="0">
                  <c:v>Female</c:v>
                </c:pt>
                <c:pt idx="1">
                  <c:v>Male</c:v>
                </c:pt>
                <c:pt idx="2">
                  <c:v>Other</c:v>
                </c:pt>
                <c:pt idx="3">
                  <c:v>Unknown</c:v>
                </c:pt>
              </c:strCache>
            </c:strRef>
          </c:cat>
          <c:val>
            <c:numRef>
              <c:f>Pivots!$I$34:$I$38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212F-4238-850F-AB002E5430F7}"/>
            </c:ext>
          </c:extLst>
        </c:ser>
        <c:dLbls>
          <c:showLegendKey val="0"/>
          <c:showVal val="1"/>
          <c:showCatName val="0"/>
          <c:showSerName val="0"/>
          <c:showPercent val="0"/>
          <c:showBubbleSize val="0"/>
          <c:showLeaderLines val="1"/>
        </c:dLbls>
        <c:firstSliceAng val="0"/>
        <c:holeSize val="4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dashboard.xlsx]Pivots!PivotTable12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How long we take to ship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Pivots!$B$119</c:f>
              <c:strCache>
                <c:ptCount val="1"/>
                <c:pt idx="0">
                  <c:v>Total</c:v>
                </c:pt>
              </c:strCache>
            </c:strRef>
          </c:tx>
          <c:spPr>
            <a:solidFill>
              <a:schemeClr val="accent1"/>
            </a:solidFill>
            <a:ln>
              <a:noFill/>
            </a:ln>
            <a:effectLst/>
          </c:spPr>
          <c:invertIfNegative val="0"/>
          <c:cat>
            <c:strRef>
              <c:f>Pivots!$A$120:$A$135</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Pivots!$B$120:$B$135</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D9FD-480B-9F11-96967A52C42D}"/>
            </c:ext>
          </c:extLst>
        </c:ser>
        <c:dLbls>
          <c:showLegendKey val="0"/>
          <c:showVal val="0"/>
          <c:showCatName val="0"/>
          <c:showSerName val="0"/>
          <c:showPercent val="0"/>
          <c:showBubbleSize val="0"/>
        </c:dLbls>
        <c:gapWidth val="219"/>
        <c:overlap val="-27"/>
        <c:axId val="1728524624"/>
        <c:axId val="1589434448"/>
      </c:barChart>
      <c:catAx>
        <c:axId val="172852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434448"/>
        <c:crosses val="autoZero"/>
        <c:auto val="1"/>
        <c:lblAlgn val="ctr"/>
        <c:lblOffset val="100"/>
        <c:noMultiLvlLbl val="0"/>
      </c:catAx>
      <c:valAx>
        <c:axId val="15894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52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 - Sales and performance dashboard.xlsx]Pivots!Rating by month</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How</a:t>
            </a:r>
            <a:r>
              <a:rPr lang="en-IN" b="1" i="1" baseline="0"/>
              <a:t> satisfied are customers ?</a:t>
            </a:r>
            <a:endParaRPr lang="en-IN"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Pivots!$B$140:$B$141</c:f>
              <c:strCache>
                <c:ptCount val="1"/>
                <c:pt idx="0">
                  <c:v>1</c:v>
                </c:pt>
              </c:strCache>
            </c:strRef>
          </c:tx>
          <c:spPr>
            <a:solidFill>
              <a:schemeClr val="accent1"/>
            </a:solidFill>
            <a:ln>
              <a:noFill/>
            </a:ln>
            <a:effectLst/>
          </c:spPr>
          <c:invertIfNegative val="0"/>
          <c:cat>
            <c:strRef>
              <c:f>Pivots!$A$142:$A$145</c:f>
              <c:strCache>
                <c:ptCount val="3"/>
                <c:pt idx="0">
                  <c:v>Jan</c:v>
                </c:pt>
                <c:pt idx="1">
                  <c:v>Feb</c:v>
                </c:pt>
                <c:pt idx="2">
                  <c:v>Mar</c:v>
                </c:pt>
              </c:strCache>
            </c:strRef>
          </c:cat>
          <c:val>
            <c:numRef>
              <c:f>Pivots!$B$142:$B$145</c:f>
              <c:numCache>
                <c:formatCode>General</c:formatCode>
                <c:ptCount val="3"/>
                <c:pt idx="0">
                  <c:v>7</c:v>
                </c:pt>
                <c:pt idx="1">
                  <c:v>8</c:v>
                </c:pt>
                <c:pt idx="2">
                  <c:v>6</c:v>
                </c:pt>
              </c:numCache>
            </c:numRef>
          </c:val>
          <c:extLst>
            <c:ext xmlns:c16="http://schemas.microsoft.com/office/drawing/2014/chart" uri="{C3380CC4-5D6E-409C-BE32-E72D297353CC}">
              <c16:uniqueId val="{00000000-B13B-4F00-9BD4-EE624DC52F22}"/>
            </c:ext>
          </c:extLst>
        </c:ser>
        <c:ser>
          <c:idx val="1"/>
          <c:order val="1"/>
          <c:tx>
            <c:strRef>
              <c:f>Pivots!$C$140:$C$141</c:f>
              <c:strCache>
                <c:ptCount val="1"/>
                <c:pt idx="0">
                  <c:v>2</c:v>
                </c:pt>
              </c:strCache>
            </c:strRef>
          </c:tx>
          <c:spPr>
            <a:solidFill>
              <a:schemeClr val="accent2"/>
            </a:solidFill>
            <a:ln>
              <a:noFill/>
            </a:ln>
            <a:effectLst/>
          </c:spPr>
          <c:invertIfNegative val="0"/>
          <c:cat>
            <c:strRef>
              <c:f>Pivots!$A$142:$A$145</c:f>
              <c:strCache>
                <c:ptCount val="3"/>
                <c:pt idx="0">
                  <c:v>Jan</c:v>
                </c:pt>
                <c:pt idx="1">
                  <c:v>Feb</c:v>
                </c:pt>
                <c:pt idx="2">
                  <c:v>Mar</c:v>
                </c:pt>
              </c:strCache>
            </c:strRef>
          </c:cat>
          <c:val>
            <c:numRef>
              <c:f>Pivots!$C$142:$C$145</c:f>
              <c:numCache>
                <c:formatCode>General</c:formatCode>
                <c:ptCount val="3"/>
                <c:pt idx="0">
                  <c:v>37</c:v>
                </c:pt>
                <c:pt idx="1">
                  <c:v>51</c:v>
                </c:pt>
                <c:pt idx="2">
                  <c:v>39</c:v>
                </c:pt>
              </c:numCache>
            </c:numRef>
          </c:val>
          <c:extLst>
            <c:ext xmlns:c16="http://schemas.microsoft.com/office/drawing/2014/chart" uri="{C3380CC4-5D6E-409C-BE32-E72D297353CC}">
              <c16:uniqueId val="{00000001-B13B-4F00-9BD4-EE624DC52F22}"/>
            </c:ext>
          </c:extLst>
        </c:ser>
        <c:ser>
          <c:idx val="2"/>
          <c:order val="2"/>
          <c:tx>
            <c:strRef>
              <c:f>Pivots!$D$140:$D$141</c:f>
              <c:strCache>
                <c:ptCount val="1"/>
                <c:pt idx="0">
                  <c:v>3</c:v>
                </c:pt>
              </c:strCache>
            </c:strRef>
          </c:tx>
          <c:spPr>
            <a:solidFill>
              <a:schemeClr val="accent3"/>
            </a:solidFill>
            <a:ln>
              <a:noFill/>
            </a:ln>
            <a:effectLst/>
          </c:spPr>
          <c:invertIfNegative val="0"/>
          <c:cat>
            <c:strRef>
              <c:f>Pivots!$A$142:$A$145</c:f>
              <c:strCache>
                <c:ptCount val="3"/>
                <c:pt idx="0">
                  <c:v>Jan</c:v>
                </c:pt>
                <c:pt idx="1">
                  <c:v>Feb</c:v>
                </c:pt>
                <c:pt idx="2">
                  <c:v>Mar</c:v>
                </c:pt>
              </c:strCache>
            </c:strRef>
          </c:cat>
          <c:val>
            <c:numRef>
              <c:f>Pivots!$D$142:$D$145</c:f>
              <c:numCache>
                <c:formatCode>General</c:formatCode>
                <c:ptCount val="3"/>
                <c:pt idx="0">
                  <c:v>150</c:v>
                </c:pt>
                <c:pt idx="1">
                  <c:v>182</c:v>
                </c:pt>
                <c:pt idx="2">
                  <c:v>163</c:v>
                </c:pt>
              </c:numCache>
            </c:numRef>
          </c:val>
          <c:extLst>
            <c:ext xmlns:c16="http://schemas.microsoft.com/office/drawing/2014/chart" uri="{C3380CC4-5D6E-409C-BE32-E72D297353CC}">
              <c16:uniqueId val="{00000002-B13B-4F00-9BD4-EE624DC52F22}"/>
            </c:ext>
          </c:extLst>
        </c:ser>
        <c:ser>
          <c:idx val="3"/>
          <c:order val="3"/>
          <c:tx>
            <c:strRef>
              <c:f>Pivots!$E$140:$E$141</c:f>
              <c:strCache>
                <c:ptCount val="1"/>
                <c:pt idx="0">
                  <c:v>4</c:v>
                </c:pt>
              </c:strCache>
            </c:strRef>
          </c:tx>
          <c:spPr>
            <a:solidFill>
              <a:schemeClr val="accent4"/>
            </a:solidFill>
            <a:ln>
              <a:noFill/>
            </a:ln>
            <a:effectLst/>
          </c:spPr>
          <c:invertIfNegative val="0"/>
          <c:cat>
            <c:strRef>
              <c:f>Pivots!$A$142:$A$145</c:f>
              <c:strCache>
                <c:ptCount val="3"/>
                <c:pt idx="0">
                  <c:v>Jan</c:v>
                </c:pt>
                <c:pt idx="1">
                  <c:v>Feb</c:v>
                </c:pt>
                <c:pt idx="2">
                  <c:v>Mar</c:v>
                </c:pt>
              </c:strCache>
            </c:strRef>
          </c:cat>
          <c:val>
            <c:numRef>
              <c:f>Pivots!$E$142:$E$145</c:f>
              <c:numCache>
                <c:formatCode>General</c:formatCode>
                <c:ptCount val="3"/>
                <c:pt idx="0">
                  <c:v>312</c:v>
                </c:pt>
                <c:pt idx="1">
                  <c:v>373</c:v>
                </c:pt>
                <c:pt idx="2">
                  <c:v>351</c:v>
                </c:pt>
              </c:numCache>
            </c:numRef>
          </c:val>
          <c:extLst>
            <c:ext xmlns:c16="http://schemas.microsoft.com/office/drawing/2014/chart" uri="{C3380CC4-5D6E-409C-BE32-E72D297353CC}">
              <c16:uniqueId val="{00000006-B13B-4F00-9BD4-EE624DC52F22}"/>
            </c:ext>
          </c:extLst>
        </c:ser>
        <c:ser>
          <c:idx val="4"/>
          <c:order val="4"/>
          <c:tx>
            <c:strRef>
              <c:f>Pivots!$F$140:$F$141</c:f>
              <c:strCache>
                <c:ptCount val="1"/>
                <c:pt idx="0">
                  <c:v>5</c:v>
                </c:pt>
              </c:strCache>
            </c:strRef>
          </c:tx>
          <c:spPr>
            <a:solidFill>
              <a:schemeClr val="accent5"/>
            </a:solidFill>
            <a:ln>
              <a:noFill/>
            </a:ln>
            <a:effectLst/>
          </c:spPr>
          <c:invertIfNegative val="0"/>
          <c:cat>
            <c:strRef>
              <c:f>Pivots!$A$142:$A$145</c:f>
              <c:strCache>
                <c:ptCount val="3"/>
                <c:pt idx="0">
                  <c:v>Jan</c:v>
                </c:pt>
                <c:pt idx="1">
                  <c:v>Feb</c:v>
                </c:pt>
                <c:pt idx="2">
                  <c:v>Mar</c:v>
                </c:pt>
              </c:strCache>
            </c:strRef>
          </c:cat>
          <c:val>
            <c:numRef>
              <c:f>Pivots!$F$142:$F$145</c:f>
              <c:numCache>
                <c:formatCode>General</c:formatCode>
                <c:ptCount val="3"/>
                <c:pt idx="0">
                  <c:v>224</c:v>
                </c:pt>
                <c:pt idx="1">
                  <c:v>247</c:v>
                </c:pt>
                <c:pt idx="2">
                  <c:v>250</c:v>
                </c:pt>
              </c:numCache>
            </c:numRef>
          </c:val>
          <c:extLst>
            <c:ext xmlns:c16="http://schemas.microsoft.com/office/drawing/2014/chart" uri="{C3380CC4-5D6E-409C-BE32-E72D297353CC}">
              <c16:uniqueId val="{00000007-B13B-4F00-9BD4-EE624DC52F22}"/>
            </c:ext>
          </c:extLst>
        </c:ser>
        <c:dLbls>
          <c:showLegendKey val="0"/>
          <c:showVal val="0"/>
          <c:showCatName val="0"/>
          <c:showSerName val="0"/>
          <c:showPercent val="0"/>
          <c:showBubbleSize val="0"/>
        </c:dLbls>
        <c:gapWidth val="219"/>
        <c:overlap val="-27"/>
        <c:axId val="1204123712"/>
        <c:axId val="1589468528"/>
      </c:barChart>
      <c:catAx>
        <c:axId val="12041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468528"/>
        <c:crosses val="autoZero"/>
        <c:auto val="1"/>
        <c:lblAlgn val="ctr"/>
        <c:lblOffset val="100"/>
        <c:noMultiLvlLbl val="0"/>
      </c:catAx>
      <c:valAx>
        <c:axId val="158946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 ?</cx:v>
        </cx:txData>
      </cx:tx>
      <cx:txPr>
        <a:bodyPr spcFirstLastPara="1" vertOverflow="ellipsis" horzOverflow="overflow" wrap="square" lIns="0" tIns="0" rIns="0" bIns="0" anchor="ctr" anchorCtr="1"/>
        <a:lstStyle/>
        <a:p>
          <a:pPr algn="ctr" rtl="0">
            <a:defRPr/>
          </a:pPr>
          <a:r>
            <a:rPr lang="en-US" sz="1400" b="1" i="1" u="none" strike="noStrike" baseline="0">
              <a:solidFill>
                <a:sysClr val="windowText" lastClr="000000">
                  <a:lumMod val="65000"/>
                  <a:lumOff val="35000"/>
                </a:sysClr>
              </a:solidFill>
              <a:latin typeface="Aptos Narrow" panose="02110004020202020204"/>
            </a:rPr>
            <a:t>Where do our customers live ?</a:t>
          </a:r>
        </a:p>
      </cx:txPr>
    </cx:title>
    <cx:plotArea>
      <cx:plotAreaRegion>
        <cx:series layoutId="regionMap" uniqueId="{00000000-E5BE-4E33-ACE5-D78BDDA97F24}">
          <cx:tx>
            <cx:txData>
              <cx:f>_xlchart.v5.6</cx:f>
              <cx:v>Sum of Amount</cx:v>
            </cx:txData>
          </cx:tx>
          <cx:spPr>
            <a:ln cap="flat">
              <a:solidFill>
                <a:schemeClr val="accent1">
                  <a:shade val="15000"/>
                </a:schemeClr>
              </a:solidFill>
            </a:ln>
          </cx:spPr>
          <cx:dataId val="0"/>
          <cx:layoutPr>
            <cx:geography cultureLanguage="en-US" cultureRegion="IN" attribution="Powered by Bing">
              <cx:geoCache provider="{E9337A44-BEBE-4D9F-B70C-5C5E7DAFC167}">
                <cx:binary>7H1pc9s41u5fSeXzpRsLCQJT01M1JCV5X2Jncb6wFFshwZ0EuP7698h2MhYl99BVrbr16l51z3Ql
1IEO+RBnec4B8M+H7h8PyWpZfejSJFP/eOj+/BhqXfzjjz/UQ7hKl+oolQ9VrvKf+ughT//If/6U
D6s/HqtlK7PgD4Kw+cdDuKz0qvv4r3/CaMEqP88fllrm2U29qvpPK1UnWv3FtZ2XPiwfU5l5UulK
Pmj850d3mcifeZXJ5cfNa+TPj7d5sszyD25eZ7r/+GGVaan7u75Y/flxYxjy8cMf41/b0uxDAsrr
+hGEKT8iFja5bVP09MEfPyR5FrxcNjAhR8gU3EIm+/Wzl8sUJKdr9KTP8vGxWikFN/b03y35jbuA
Z/Hv//oMHtbPYv30AwDiz4+fM6lXjx9u9VKv1McPUuVPD6vq3Xx9o59vn57MH5v4/eufo7+AZzX6
m1cQjx/sf7u0ieJ/QdiptV7tAWBxZGFCTWSZ4unDxwDjI8syGcYEoH9+r54BnqzQbnw3xSfAuylw
YOj+O4FJ87jcA772EUcmJ5zRZ3ztMb7kiNjEtBmYhtfwvkOj3QCPB5gA8Vjk4EAuZLaPOcyPmKAW
w2/NYSyObPhYlm2OQZ6q0VsYb8hPgnhD4tAQTpePebWHWcyPKExRRDgAuOl/EUBLiKBI/PLPG7N4
skJvALwpPwXgTYkDA/h27YX3AbA4wpQQAl72TTfM1pGYKcZx1mSNdiM8uqMJCI8kDgxhb5V8uMwh
mv/7Z7GJj2zLhOmK+Ru+2DwiyKTgi0fO+F1K7cZ5e4gJUG8LHRjaZ6sq+/uBptYRtZ9iarY7awKH
jOAlgCkP4dhrez1Vn90Yb0hPgHfj+weGLGTLy2ZVLdUe4OVHWDCw1bb9DC/M1rFTZhwJSKtGxvpd
Su3GeHuICUBvCx0a2jnk+uv0Sel9JFH8aboKSu03vDMB921yy8aQPr+ez+479XoD812jTIF9l9zB
IZ/Uah+YC/DFMIUhq3pjkgPzhThlwrTGmE/V6C20N+Qn4bwhcWAIz5IPXl5BYrUXS24TwSzyQo4I
sW3JYcoDAWo9e/IRB/Yu1XajvT3EBMC3hQ4M8zmQwXvhs9mRTTGzLPySZ40BX1Ml3IJ/8GhWT9do
N84j+QkgjyQODOFFssr2EXoDn02QhQWB0GszKAMfLTi2qTVKriZrshvYTfEJuG4KHBisx3X6I08e
9d9vq01gujgDBmQbWfMIM0wRsNzP4dmmP36PSrsh3hphAspbMgcG9F0loaLW7wdnyIst22JvsCTk
SEC9CkNotgn0O1TajfN4gAkwj0UODOWTtFhVcpn8/TBTcmQLwi2T4uf4mo7sNbaOLHDUFgbee/0Z
gf0ezXajvTXCBLi3ZA4M79tltk6gq3rYA+LsSNgmNhF+mdhbpWbIqAjnCG1x3O/SajfaO+5sAt47
pA4M8ZOs30dixaDsTCASs1/aCrbi7DWHJhjjfMSYTNVnN8ob0hPw3fj+gSF7Gy73woZBIAaFZEY5
fYv+JEeUY8T5OlJ7zYZN12g3uiP5CfiOJA4M4TNoQNsHv82OIACDphDTeo7AtiavOGJwDYqV4/LF
VIV247t5PxPg3RQ4MHTPl/EeipAUSk8Qc9kIWgaePlvFCwivsYUZt0ezd6o+u7HdkJ4A7cb3Dw5Z
pVZ7ID/AMpvQBMQFeYYWjWNqgmDicmFyNpq458upGr2F7ob8JHw3JA4MYYgbP1xAp+k+Qiv7yOTQ
RQAdX2/mx4RwbApzlDK9S6ndOG8PMQHqbaEDQ/s8Vx/+nQWrZLUPb2weIYsQyn9543HahKFH26TQ
HwZGff0Zof5O5XbjvmuQCcjvEjsw7Ncv93kt1YerH1IV+5jv1hGBSBqD1X626oDvJrENRh0oEujQ
hjhtI9x+v2q70X/rHie8AW+JHthbcLF8hF6T/XAmjEDJwn6pQu8AHzFoPTDxCPzpGu3GfCQ/AeqR
xMEhDIT3HgC216QYkN3opQQ9tu6wwMaiGAI2MSJKLpYTFXoL39fik+B9LXCA6Bb5XvpInsI1mL/8
JSgfz2CoOAtm2pxASvb02TTia5inavY20hsjTAR7Q+bA8IZlYJlUybLeR8BmQ5KFoM7M3sqwMXQO
rUM2ezSl36fVbrR3jDEB7x1SB4b4xSp7zB/kXppKoHl/TXPb9kspazzFCYVeMptRKkZp97uU2o33
9hAT4N4WOjC0P0no/VXycR8EGj0SHFmUvvR2r/OtjXgc29D9bSMgR0ch2buU2o329hAT0N4WOjC0
L1bVA6ztdf/21c+AJGKCcfbSWLIVnAHhxrGAzNvclXpP12s32iP5CVCPJA4N5xxM+N8PM6zLMQUS
UNB4KUxvtY5BxcsksLoSA6H6OsO+mKrQG/huiE+Bd0Pg4NDdi3Ne72BgQefYyxReu+BNcw2N3tB1
ICD8HoM7TZ+3sH0lPQnaV98/MGSvkxr20fj7Jy7UsgRlNrRvv3TzjrGFegfQZjCz6aibd7pGu9Ed
yU/AdyRxYAhfwEqTVbXaQzsgZUfMZuv9R166DbZqWviIWQz6EcY7GLxHp90ob40wAectmQND+nJZ
7IPnBCstoOMAWgqeSe4tlGGbCihcIqBRNq30VH12I7whPQHdje8fGLJ3dbKs9pEwQTsJRRjor+ct
CrYTJvDAAhrBsDUKr6ZrtBvdkfwEfEcSB4bw5apZ7mWTGQCQEZtT9FKl2Jq9wHhBAQsi6FFPyXSN
diM8kp+A8EjiwBC+qpZQh95DpEWhWxuWwXH2xjZRQHpwCzYhYePy83SNdiM8kp+A8EjiwBC+TpYP
e9mBhB9BDrTG+MVK75rD9rpbnzyXKUbZ0nS9duM8kp+A80jiwHC+XT5UsCdYpvfRUsChgxe2jIKO
gmcst/KmNSOy/gc2sVh/gOJ8TXu8T7fdeO8YYwLmO6QODvfsg7OCpVX7wB268i3YRQgaCn7P4Q0u
hADuiCBYZTfy0+s2julavYX41hiTEN+SOkjEq2xZPe6nPAXLI2GjAswhCn/6jC07+G4CqRVY//E0
Xz/69yj2V8BvjTMZ/C3JA3wBPLkK9jHjYZUdhu4SWGk3pj1tWDQLyzT4L1uwjf1knd6GfXOIiYhv
Ch0g2HOI0h+kesh/PfO/Y6deG5ZHI2RDHv2GbSdHJmxWbHG6Y5r/1mhK6vA23NvDTIR8W/AAYT/N
l2W9ryYymOQmAYB3Wnjw60TAeh4hnhP0rXgu+/AO5d7GfzzIRPTHYoeHPSyqdZbVj+VeekTN9cRe
dwi+vacJE5yasGL+2TT8MjsvO3U/ra59h3pv4r/jLqe9ATsED+0dyLM8XU6xru/eoN2kggF3/lZ5
5CkCYCa0CI9gn6zRG3hvyk8BelPi0BB+XqQOHPo+YIZOFFjhAWv23upEwUdrBh0o1lGlEzI3mF3u
VLXewHrHIFMA3yF2aKjLVbUXwGEfI4YobGnzzMDsWsoHF8Hsw9kL68/YpU/W6w3EN+WngL0pcWA4
fwH+q94L0LDnL8BI0Vt7S0J/OGzvjRFDo27hd6i0G+PxABNAHoscGMq3UsWyz+u/30+v936mkHyR
X+cwQBK2Sb2RIwYt4xas5hn56XfotBvnrbuaAPSWzIEhfbcKl/uIx2AJNmxYxGDF5hvBOKzngX2B
gWBdF8S37fZ0vXZjPZKfgPRI4tBwrnNoPtvLqRuwcosDbwpZ9ROQW20N0HwG/htjTkYz+u4dOr2B
8niEKTiPZf4XIP3XKm7c9Pr4pH//spw7+LT3HnwFnDgce8Qgp96NLrhlhiHrwrDy8unz67efk2rY
cfv3YV3PpbNdOu1G97Xsxj0+3+JfP5T/dQdb3efJPohvOBPHhs2noGNs7GjBE9uwWB62jNyEbKoi
u0HbkN6B2sZfwYltG98/NEjrH/vIgdfLrDBsCAit2k+frZ1r4Kgy2LWGQy/oCNmJ+ryB7GvpDRh3
n0N3//r7/zeQffuEut9H/XlLvZw9HRL46pC6v7769HDgbMOR6EtjwA7r9rtR8+Txz4/Q1kkhUQUO
6vf5g+uBNtoKXHDVavkLuk2pFexl9udHOG8QZi+Q2LDbPuxQRU0KOVG7erkETBckwxyW2lrglNdn
qGRwkEsIpxgK2BfHhEuwVsd6KpJ8/KDy+ukSP1pv8g7HdQgYlNmwjP7XjV7nSR/k2e+n8vLnD1md
Xucy0+rPj3By2scPxfP31vpayIKVXxhW49sQGMCxiOtu1eJh+Wm9LxY8hP/TtX4QG8w3r+KhsPuT
geUp/dGEVPtXhLk0TS+MyCDH3LcT16jD294MTCdmZuFlpEYO9pl02qSMZ7XQpqesFB2jNo483tHK
rZt8ifshcGtLLodSdV5KQ+VVip0laVC6pR9dR6X4UgS+nhWpMp2GKznj/YCOpWDKi2vsO4LFjdMa
aTMLK514IdNndVYIB9vya4PZjaTZgiVp5eadlzXDQpa6dRqUIieO8pshaL/kLD9RprIcmeTMJdoI
XFEq35HVsBRRdcNYiWB/XMIckZBrgnRyUZtDPuexlXnET3I49bL8Sf1gWUe1dlPDnul+1XbE8nqr
nDUGDbwkzS46Yn4tsqBwFG+LY1NlqVvRtnDjAocOzQ3uDFxULm66MzrIaEaqYVVzf17nzRkW7QLb
3Rz27FgoqmZVlXskwo2rkyJ2q4autCBu3PqDI5BDBnqe9cPxYLW2Uwd+5YS2dptU3vE6ybwkKY7T
OJh1eXSXCMPTOrspKnQWGrXrpzJwKyu9aQDSOjXDGepklS20gfmcs+IUW+mPTIWJK23/HDXiPGtk
5pqJn7FTTkl1gztU+N+jKgnITNE8yG6MQffFIsVZ7wQoRt/6IRK5w5r4gVh03oVV60hSPwgVzmF/
+8BtOVyWdbsqTazcSHXCSZvuWPfhpZn5fGa0XT8vdfizNVjlRLy/Z0jc6aG7wQ3+TqviFOXDvWwi
4TJL0ZkdmI+SdKctCvrvSVjGjtSF7Zo0c3lTNY6FyuPIqm58kRzbFTfOa7u86yXcVpHUpRME/Mrv
lHR5OPw0LcurQx07VszETLMeHQ/2Txzl5kxi/aXRSeilhUm8hJPLOBB0YRnytPKHRVdgy6vSpnKN
PHwI4nJwk7of5ryNCjfqgwUx1L1s8+Mcpo2b8axzeB86ha2GmQ6ywsEsPula03d5ZVz3vvGt0uiU
FRR7EYk+W34YzDic8uIov3dgNnuEV8eJHdsu0/lpZqnWCdPCrUtuOSGLf6pQXxWpuWyUf86SIXLi
PrqEZf9nBQ0bh+XiLGsT2yGUNm5k2k4VytCJdNMuyi71HR1S7BABB7nG/H6w81maWCdIBfc0psXt
YLDQMULeOQmxPttGeNsRw0Gi/VaGpjwpQnEydOWZH/DizM/VN9b5C8ztW4Oxk5DyK0OomxCxVWEO
l2laHcc5vJsD6wevwFntNST41DT5Ikb5cVDLRRWFYhZ3InNg9rDvqlEnIYnqTz5vQkdmyTzt2jOm
VTx7fW7qhsl8yIu+kkH4cvTt7z/+6y5P4d+ng1T/85frk3P/86fFKl/H0Wr8pbVr+/2t/xzGunYl
v09mHTmo5+N3fxn191x8l2tb7yr/tmt77ivfdm1Pe9G/uDZow4H96RGlFFq0BGz68R/XBsmGBStg
1iuZoMNWrL3eL9cGBxqYsBsYWrdeQ3/uus/jl2uzwB/CVn6w9m3dt8lgO7BfT2EDJ/Dpu1wbRyPX
Bj8M7aFP6yRNOLxqHVi/dm2BX6IyS/P6ckhy6XSy/l71bejEsbYd1CReXyVfLexLt8/9C1nx1rNw
q9wqa65TlZ/YwjccZZHAEU3pKUOehXV00dtD6+RE3iIUPzaoiWGuN7YTGW3q+i25yIcydXzEAjdV
xVXWoa/twL4TZX4TZdA7PBTm3E9Q7QhjmCemYczKNgwdUhmOHRiVI4voi8Wz70Wff25CSZxcq8L1
GftSlfok67KvWhhf/aw/C5l9Ram8aOLwXOfyu8p56khhX1fUekhEwGcp3JjTJ5ItCMlPa5zfpz3q
Z2ZEBxi2j90yaY+5aD/3pKhmgW7npjlo8Dq0dc1WJk5s8McybCyPJ+xc6eSuzYbY5YE1s2L+KZfi
sVTiWlpd75CyDxwURHrmt+0lL5pvKM4efJ3f+yW5Unn2YJpMuHVcBbM6a+1jZafXQSGOZagcMwq+
J0Q3syLhhdeyOHHaIn9osbiIjV57aQ8OpCB08HozFXNZgokV2D6H6X5amv55FiTeIItq3uftHFXt
aSDEcUCsT/3Q/JRmtLLT6o7KYOHT4VsaDKmHbFASQBKospy2tYVLUFQ6pCvZDWvURSi6nwn4MM83
0CJHPnLrKlJOishXM7A+mbr3PS7jOzMgP2vCmpNersWtup6btP6WGvWxysPCgZVg81rX0vNrHS0Y
S+5zM4rnpKgvSWghR8bghEusLQeZhsOGeI7sInLgtK4FuL/cCeKiceoCUEs1aV1iMa82JXXKgc+Z
VGrhq+JM+ml5OoC/96oIPIPVDp/sxFq0mTWvS7N0zcHnMJKsHKQ77PBBRV5Swxtn2a3h8gFe4l4B
hikpgllbDbd5AD6zzvg88Ju5j+rbgdNT2cbUsUmSOar0Ay9IosJp6vhB5903Dv2hjs2KHwjnlZPl
vlu1Xee0SB6zsjLc3AiPUWZEnmHHmYtQvgC3usBI1q5ChjjWYds7tOGrNCrPeZc3TqGiYlYJfcKC
vvdI3WSzIO0+56V16pNKOvA2pg6j+oeqReGiCjPHHIrhOu0YOTOzOPM6i4rgJCEipF4ct18Jj6tm
VhkqlF/gMfj6img7aGdMQojC/BRldzaci557pi4G6ogqUaGLeWpfG34o2XVfyvCall1wL+tiphJ4
hRwzNP3LQinwmqx2eds5yAqOQ1sEt2GJDDcQVneDEuPUD0pJZ53dUMupeTJ4HWeqPKlt5DOnlJ2G
2APRJPVUT13cJjd5zrpygSJKvsUtQvIiyYoa7EwSYq9j9gMK6jpyY9ZX6eC0fi6GmR+bEIxKSezg
Dmk7UffEbwLfC+lAQq9EKfO/x5YMzQtEqtRwEtHVhfv/3eVTJrhuMH7bXT4fHr/tLp/akv+TCcK6
XqBx1ufiwrv3yl0Cx24iBvtTAxMAm+ysL/1yl9D5Dl+1EOynCBU3vF7z/ctdwiFv631xf+eW5nvc
JTjEkbuETBCa8cAzgzuHxVEIbvi1uzR5GlVmTforroPq2o769JPEhf0tT0xy2rdxfN9jbc+5btBF
2xe+0wxN6GGrGb7YotW3IcqTxTBgecZE7s9sQ1ezTJbhjJfoMklCcdFQ7J9blqhuaKdBvoGTwL16
0HyG8qI7Nrg47chQwtwO9TEuaPwgfZQtoqz1PdSD360K1X1PwzA4zctwcExDRx7JUA/5Fi/cvuq/
CFK6YUKXvZ/apzWDjEbnRnuWxbmYVXnbuZ0Wvtsl6Cqmde7UMo5dwSBfCKV1DCt2tZMLqsFQRoMm
Do+iVdHj1rzRWeqVwxD8tKPiPuwCfzb4jSvj4jTKB+F2URafkEG0rjZtch3gANxffyprWs3NIrux
8hLNJNLGQrNgOB2Cmp6GIbJnCU3OsFGqE6lN4aEwNBdxkpmzhhD/mOGGO9IKwMmlRev4eXMzVFHm
FIlKnNqwBsewrFkU89whgbiMqBU7TQ9Px6iN8JNsC+qlEuMrpQj3erstTspQndYk+l4Wduekic4c
OIg9muGgOA2DctCu3wBgRosrLzFiNPcZPo7AMfVGFbid1SxSHUNIMdTFssmD6KLT5sqIcwTWJcid
FBgNr80SN46CW6AwblI7oE7cdQvSJF9I1GpxbgotnYokV02Jr3PCv6BA2W5CIWMAT9sR8IR2ac38
An6HsbhwksYMLpSyCtfO0jNF8cqy8nquWHvbhHHkKALuK0aZ6aQpurIDcQwx3wLs7HnUiYuiRYsQ
12Q2JAF2mQ9m3I/mQyCv0gFcFtPpXJhp4AxWf2H1hVfExmfoQIZwojPPmF/Dldr/npLqB21x6YmQ
P3R2vsit/nMp4tDp/MJ08kKljs5In16WsZUrFwic+sHkA6T61KrCuZ9356LNCpgVqYzPMfjE2qn7
JD8thE89G1fdecCIPPl/0Ri/tqpgHMBsvW2HX1cinqsYTyzXk9QvRg7D8oL15rQITi22gHqDAX8z
ctCZuM5LYDs0DpWU9X7EL3bYhKM+8HpTDrQun8CByK/SFgImGgaEbmYOJnxtvd+RtmD4jWKDkBNQ
aYXdzBnkT0AartujXpthPdC8KOu6u8xaKmZN60MUmdPIhpfcbpsbZlj9adQ1WTyDDETf69xsPsem
6sBsiqz8+urp7Uii1vvjj7WBDAqoS9gwyFzv6rqpjZn1RSzCurkkZYYvg3jIfKe2cxa6XaNz4TSt
Wd/bTWHApE65BkovquLA8Qdlmy6s38sehdZgbEUY1h5JEvx5sAyOFz2z/BXuDdzN/1pjAgztlsbg
YmFPcWHZcMTWOit8RWia0g4B215f0s4KAo91Q/K5AbKEzrXd5xYYyA5HHlBbQMbZrJdOHyO6ANKm
x17V5Pox7JTCrjQKy1NaQiiq0xA1jl1ZQKgFeRRex7U4TZUAJhO8s/iiwvIsTlqrm0llMMgkwyZd
/PVdbcMAGTGC84fgqG1YBfF0069uyu6NoDXA7F9m2hdf8gBYIMeMCbwaRVZ3121XidvCx8m3v/7Z
9bv2+l2EfaLghFigmgm8i/B/a7Ve/ayFusAsVJBdZnzAlzgO68tMVa7kfvjlr38Jps/WLwlYyWXD
Vu9QL+Gj96zIzH4oqzCHzBGZy7LNq2Tha94TJy6AoCzrZHAp6nnugpdr0//20oypArhLsj7+xYQT
kOFktvHPA3MvwyBL5aUNBnyZRrW1jJO1DtaQqhmr8tzpEUC/AKq7JU4Z5/ZKJ0KdtKI3zztGK+TS
NspjNwIv9RkISkK9kPf9qjCawkPGkNquJXKzOrYoG2rnr5/e+qzH0eODOhKYDWiYJkCumOvY7hVQ
iNVWZlm+cYFrP13KSqvAwUaswSvSvs+C0zaU8Y+Ai+K8G8pwznKzky7Bjf1T28OQuxA1AF2aR81K
VtR+bKwitE//WknT2gIZ6h/wEq2bumH/QSCINrVkFZeoCjW9iMyy8IG/1CIE1lR3VMx1U9du1ZXo
pkl7q3bCMLTdCmcLRapikZgFcN9JmX4qEivtHDtpg69tlOYnvdLaKayy+MxUzD2/zHy3zqNIAgNM
IwiaIpVdtoWhrkpjoLMgwCJyjMEHap40YXpsMZ18IlFwHfQZBS4TiOFL7Zd3mqQG9RjQkA6WPQHb
YNbD4KCWR+dJaPF7SIvN05BxfD4EXSPcFoVmChWjXp4YvOpTp+354OHWMrwh6h4KVerbGhl26LQp
hNG+KusT0yfkrgxxGy9828DSGcLY/wFNtZB+y6w0vtepnXpFochJnGfFCS5F8iibgsG8p2l8K4Xf
2U5TmgHwz1XtQjGiWGCTiKuyTbuZ2VblHOMON7MEjoIO3KYNeOk2JPRnqaKVVxfiKvSNAHkY5/oY
XA1wDBmKmMMhf/zWpSg8I5Uobi2qrUUtoBIEgVc6LDnLq5lCXTTMm5gHc6Pr0JKopP2pgqKw3IFo
oLiygDTBvNNRDpOjbWd90NR8XuV+6CWapscZfBWqOyZUOliTrlk0FUWGa/tQ07Bzq4MIXye+S7WR
pYuKxbPArHt001JsQkGmQokTwZuk51S3Qi06anfnLB6GxL+p21KnqdPLpM+qx9APCRnuVWt0dhpC
Zg+mPH+AcC3StHKAngGC5VLHOo27UyHLYdGIWvsnaSVl4UQkyW+RbdCTqKe0BnZdJBACl0h0AFfK
uZf5PvhDncRtOWNxGyC3SjT2r4ABYHZ+HEPkHXp9lwh9zpSm8EZBvo5V69bgC+fMCCP/qoGpA3RU
yQsOLxyNVTrPElkJJynBefmzrpHMNXzo/rCcHpIiE04W99PUDUXd+nNg8ZN0pnyICuZWFqQDkDoW
WMyMxGbtpmFlJE6j+kBdK2mk6SwPJP9p1I0tkYdyohfS5DW/tAw/8E8zamvbitysU+XQHytoAKzC
WRGEdjrzVTOUc1GpTM77hKX9MVIKSg4WAZrRtTurTxaVLKUBSZVJvhpFOmAPdqaMUw/+h4yrJEKG
gkeeZV+jNBXpCQWOJ5nFoWafhlpTOo+MnOCzsA2VnTl2SEK98KumyG7BGdPTKBhIPK8L0GCW6yQY
oCDSQQLGo75oL1Iop/gzA6ZK5fkY16dAhUIsH/g0qD0byliFI20F8Uk2AAe6SmJYqeBxUCD1aJ+G
5QkwUuZxIO0YqoRxXFJP5tL3IAWILcdoq0JcR34bmS6VZTQ4aRENxhnyE3OOCz+AzCUUdjHDfTjk
J6HEbTCLhRkCdQnfc7CQIoPXJ6Cl27XSGBzdSeN7Beed9YYjYR6RSzxkcpAOb0yD3vVJS+pLVog+
9zJR6gurzsAlQb4Ug4BIgZif+zLE2f2Akyw8Lfs0gfphaw3yDOtA35kRsZZW50Mth2N4eed11tl0
ptggQfkaR6mX0DJWQFz5UNuS5X3SthBZREHU3CqLtT+KKqTHjd1Cvgu1UEScjPswjpXkUTfPqgZf
Dl1BzRulLXyHtQHfaJmhuKtxb3eQxaaRPK46QtqTzA4UuZKGLb5kqFy/nFFUqgXQVKG67npTcxeV
LWATthkoliswumfgwcQXYEbg7U7BSlYeFMy7/EQr4ZPrqKrj+BPhmTBPOjNq6wvd6XXwGfbdtQVV
7W6Wtyn8dJ4PQ+N0JNXDAsX2+ubXqrdgn0CvIsWXppXBXdSlBY8qjPN4cEXcwNQpEqBNb7LKhilf
1RAVBHANbCrRWXhVYrOvMocWwHychG3V1RepERbKkaguu3kHG4TRWd+UZG00YDK5cEdgQDqB13Ey
MApffDjn+5Q3UnIoDFgxvBd9wJZtRkGNror6T1R3SJ0FEOZGZ3mRxdEtB2+xUBnCl6UIyntYHc9K
JzShUnCa80DUZ36YBw3UNuyyhQC3p4uCwGN1kV32D3ESW9ddraCmVqK+ib+2LA3Uceob6c9+EGsb
Iksob0IewOlMkj5U84Kl4quB/HSetkVQOrYJZg74eCAYoDRxJtI4sjyLVASKyokFVcQmJOJLFRlN
MEtIBtNkMHwqTswsx+UqBYPcn8KpxzA32rXFnkWWAU+0AzJpBk6mLc9wBYS6C5Va3YCnpQ2C0LuM
vleiEXcGcDz4dBC6wo9aZT0w8hjbzYlsCQzVpTgcoHIRsOCkAFha14gFmw950+iLrreT26hRpcNt
dWymXWMdDy0DcGKE1bAokjjPLzLWmeeGRmY+C6F41JwFfVuELrdUGt5BJKIekcjAjIDpVI0Th6pV
jmgbXoIX6MvbJCix/IbzgfLGGSAC6z8XmhoCBlN+NQttIwZ2xi/aH2GAjMZNbAUlXwmtHjedMqCE
XNUlNEDIoYaXVBId0esuTgbrMmVFkjhl0SB2YeLQ7Nweohs1a8MCUGuBfw+cagB2weFKJTPc0a7y
mgQKxIuBl/D2x2YX2F7v90i5fqFY+bW1enwXhRW8a+DpoAkjCVJ1nYkMg4ElhYjmPA1Z63T1PeF1
yzFUzhr7s0WysvVaK9DmheknvPlU+kpU4NzhjZ4VkgKakDj03bmkOv4f9q6sOVIcW/8iOgCJ7XFY
crOd6d2ueiHssi2xIwFC4tffj1q6Xe7tdsTciDsRM0897c4kM5GOzvk2uvNA9pxcutqu/X2ugVPH
hdYWu6ik1c9pM+SoGejGpvGiriFNiGVUsc3Aw4qns7btvREU+974flDENOfBxdeu9Luk6PLbNPNN
EvOeh31Py/5v+N2L4ovshu5t/Ejw/vRG/4Es8F8KnL67J94jMN90Ud7qzfuOa+NxPphIYfmAkMjB
IIWu/wee8pUGjvDkYwRpATnxMZb8wLXpL1jU7lfVEfWRlIeB7weujfBx9KjfIhSdr3/6B3jKx8nI
g9PQc1YjA3IFIvvjZKRtiykpW5DAK98J2I2tMiAwpX893Dj2H4zoHsxPq2nVdl37I27joFwJv6T9
0Z686K7iwvKTJqih0YEPzpPoYtuJ7ochX25KF6cU5J70oQwD9qnvyvAgmYnOnKBBZw+kQV9yQ66J
6RRaY8OC4UxV5UA+K/CT4eWcC6U2pdPRVFFVxH5l1ae5rAcnK/q+c3Hs1ZNKQovlZVwMeftYVCbK
PACSdjq0X7yazseA9vWJTnZfJ05f1WbT5ZoktZpiqx66OQ4gVCEnWzleda7q8iTHakbH02r0nJew
/7x6Q//SCoZJxr4NlNgBr4ISxu+2ro1vYfVFFtF8EzWZp5t9boxISdUU6SCdtDbijYf8eunp0XH7
t4mom9phKGRUlp+CqhvSiFXThRX08ijQiRzqAlhu1NTZsrhD3FoWeaOY7HaoCDZAEdFnjcoF9F2W
l7lzeEHG6Di0w5wubqhSVizudmyDO+NYj7XLRYpZ3pPxODKoaSbiciyLvMlgfIL6jK5vMbobp/Ll
naQj0akftvx6YMrKJoC1WaRt/UjrwuBXdLsxHqpJptSSJi295Vr4Y3jgluMc/3qN/QG0hbeDlhBy
QSASWNY/z8/CSMGYDuVxyJqnWcbOzXITxFYsknHX7nIn5inLmm2QgXiJvQPdkMzd5Un1N2v9wxwf
ImVppYqg7PA8aDjwrJefP4en5TyxAWBN7rKDqblOKibyuJ8pKJOgijKhcrKRrg+eNg/tCxbI/ODg
HvmVaBITmGOUg7QJ3eXziBNhM7joLsax3+Th8jnwci8uc4sDRNQPou4hUJLCJMFQkhRyRTd2eNnE
HteZIdF2dtqkzJdE0DAHih/tFoiWjOtu8bBQJxajxKKIKJRx7a7UNO0IlXFn99k8s3M3B4JftYWT
qr4AfVAOKTbxcdbQdAlWVvFA2B2DXsshzcWkQzu2wh4dJBZaEAm6mezy5q9v8c9FBL8sMm18PHlh
DR6EyDP6AP5GiztHfZPLo62acotCUOPL221iFTzzuoLGVLCnv77kau54hx39/pof7qalVSBVxYYj
JpNPXi4TPbEuXYYATdJ00Yncjpkve9AyIvHqYYw9oMLni5x4HFreeVeEjzbkkRgwrTdQ0JteiAu3
86/sfPniMfG5mQuRilb0Z18/+L/75P7PO5MJ7sCfUxxrstWv6SO/P5nXF/84mVfrFlppOHKRnoaj
+T3TQZCxFIRYbQRMw9dD+8fJDFUXom2B+v/2qh8nMx4UA/AJimQHnDSSE/1/wnT8DqjH5aH5gYVw
fVPw3x+qSG3bYZnL5bSMDwKbF0Tw3xSq9R1+g69XnzG8yCG2ExAvINh0/QTvUNGlz/0e4ykIUG3F
0sbYCt2I96LU7t0N+N5CvldR//xNfn+dD7u2s5xeyMJzTl6vEkeez8HLX1/A/bmL+f0VPgDxzBFQ
W0OOeXJXvI/eBdFbZ5kksk7RhLnJtZNBfeqn3VRcjtB8OcVryTeMXbodmOsbNvfxKM58D/LRvI0Z
Jt3yZm54qqPmb34Kx/2b33zFgN/95qSw8nGW629BsnxpMLI8TKpIOoee5hzHQQ5prnkLLIDo+MfQ
L74JUNBm/7Hsb30k0e9uOjxsMKPj9iM67gP/04bMgUIhMCejysJJHOh4zivqkjExPWDnJCrtdtqX
IVouPcTeNF879ezHc9sBHwVQD2m0gB6vn2y1GZl9mCP4rLd18+g25DDn9kBi1yqdO01QoUkVlSHO
uDEGmpFJX+77CVo4BYhgNKkazZYvJ+UXWQPVfCesePIx4+nosnEv86Xc5NPjkNdoPm4HtjYtdSwr
P1UtPsDc7QFeJcFSx6bs08q7BS8oUp+AkhbQCRonmZzpPLDRNfU7Ix4HnIrGgjRsbgH/0KuyvCh1
s1Wt2901OEh6Avy7g4qa+iktccYqzWKvYDSlhQhTO2xo1lX1p9HqcRYuMo68HAp8Rs//ejGTj2QL
BJ7vN/7HTnkuoqEc9bCc7C3Z5fvlfHwg23AvT0PsnI87kcgsTKPEbEhykIdm06X6k7WvNuPW3oJe
25TfRsA/XzJ/sGLel4kPtAStAfo365Ltqn1Xxe0Mg0IsNsL+m3L0Ryvz/XU+FLywaJaac1zHauP6
Vr8IlkD/BiG5n//NJnB+/om/1Yv3m+BDpxhhx0gSFe6Jk6S8rHQ66UQCdx4yKObZaf67r/ZHFdAB
t4MAiAguko99S+M3Oghq4mIKQXe+PCvr8q8XzR8VwPcX+PDb2W0B+Ja5UJKqdILMBbrFQf9tY/sH
C+H9RT5U2UhH/mJCXCRSZ4s4jP6t63/+6+/xR0fS+0t8KI8GZ7WUjeeeIE2ADGmObf86Ko8R198W
27+7O/pTXOP/q3B9jXN+95Ov8vifPFn/qiHDf0EP/Jv8Y4Usvr3s18YIsaHrQ5JCsBAhJQFW2w/I
Aj0TvFW4DVC1Q163nsTvGiPgB5h9MOSjXVn/9FtjhCAbAg4WD0ZECi2sXP8AsgBq8tNCXE1Z0JgA
FYEzH0lZEA3i7+8O0VAzEU0hn04lbCyHsI7ohWz1WdjWaMEnee83UKOVY7Vru6BeXnk3COtqMga0
1AIhqaPrq4j3bTxW5mpk9NANTbcR9VDEzmIgZagca1tAWBXTHm1CpfgefJmdsD6nMRBNxhNI3ttN
E8Adc2NY/ynipostPNkkDkBalEnvDvSgtLUcPCACPE9MaIrDVFepcXNrN1ryjUXtAhWFnW+N04HP
dapoX09M3feI1j9zC7+6CEkLurK46SfC+yyEOH3TO2GRKmnZaaCiFuPaQmBmKtzY9SMgnE50VgVy
zATEXN7ojhtP98fQg5tFEQySql50jAYELAhv552ch6MzDFEytuKTxMBnnDnjNuTEg3thU3Y2LyOP
x7Kf4gLoLXxGYTJPw5S1uMMxy60xw8XYWz53/mdYmlS+EWtzABoXDBsfnF0kp2tekZvwa1PR+9wa
rwqnFTsQsUkruL8TnhnaG3+0I1i0pjxQMQlyuiXOrMoYo+5blU/zfs342E5tVaVL016acjj6tD+0
NT8K2z0LR2vTDfPBavy0W4COinYVKCZe0b/MrXtdjNGnr3vm3109/vNmq/WR038+W31L6P5YO8Br
4VW/1g7768MwPd9H9glMmKjwv9YOlBUggGBqfZjEMF79VjuiX2BoQRXCW3nUWSenX2tHiMRTxwNR
40Lag4HsHxk6yfqU3Xf971dDJ/BOwJ0Ie0AiwMfaocysKESo82nUEEbSsXrolLkOwIFkMIWcGkeU
X7pCteggyS2BRiJRxMpvwmB+s7i9cYFNxAsBOwmpQGa3dRhDxVlnhcyfJascHFqBjNXUXtOoZlsb
Ut/trPKLsIHtkPfB80SKG18tD7wZQaLW44Remia6g9aiCvoDWbWSTcDLmETtZqndG1wrnUdnioEq
gXqajIONCG17vvgXYxXdIZmEx23FXsohvKAyv7KpPnHQVl3ggIhR5srltr2hIVFxSdWldmFVg0/R
h1lBA7KsqyRnbrwsIiFiKvc2dWFZ7Z2dwwE7RWM3ZFUBDfJkepKRKt/CfgKMiDTRDuLOW/DT0IxF
6URINvWDHQvpFUnRwCvrgAkGEQhvhb3ce9FL0+WpdDXUqs0hUOPjZKMa93A3xpQUMFQYtPq+Am4C
w8yrAmmonGATECuAo5PfMwc61Ci0kjqsRUxlEwO23JVucJqLAEAjS1gn7zvLe54mcxZ01daqFswD
QSIGZw+K+so1BNOd51+H+IXyImCx1UmIA+qjpNG1X9jPlV7sWNuRA0ekAyNpMN81Lv1UhtHR7QOo
l1ULAGdyQGrp4Mwpw1urhofSX+x7mC3hymnLs4Xkd72Wx36yzpisonio61dq8c9aWbc9mc4119cj
eDfbtx4nq4QXCdOG5xmVyJ4FMdxYYebCTxsYc2NPUA4KGl3gNp3PZZAKWaY5fXN6aIBdfJ15WjZ9
AEDYpcVNx8udX0LubLNgu5Q4jmTbfSat/4k0g0lao5/oNGN9OULEDWshhx67c0fVLzlWZCRJkwKv
3Tq1D2242XX++KIsWsYuJ7fewLasKKx4ycWlY89j7FRKpzipeSwtA+sKn8LYkLCHybG6L0f8SAss
LUAiwSjQxr0e/T4DerczdiOjbBjbHraPmR3dqbvXw6da7An23KcGAugO+pEdB7ccLyOFqcXwKzPL
aJ9XcLV0waC3VGFatqeZgjt2ysxMHLSF1b95X1XU0CLD0ZvzvDQZZCtiuVOAB2FZVTocIhxdFb1p
cwLjsMXIPRxQXUad6QZeuSXODY11S70UvCU8rGUJZUS0hXxiSOEAhihrlvWh6GmwQupO1s/kU6e8
Esg7tlvNsaTbefRjriEE9DwCbLJJoSzTN2Gv/bjj/KT58uKOOi4EC9OiEBt7ntKpapxsge8ma/2Q
p6tqqA6Co6Y0HvsiWezwofDaDQ89OE9DSNTGcV+EBLiNSWvdXdbFtOmVNSaLNYALH0AxqPFAecuO
daUhgfVv8Os6WxHR41DKSy2mu6iKdpLQNmH5/Dz49L7ryGNjB0BVc5GUNQE+AVX/xp+LewDKGNGX
BmQvgTYgVxEmQRjhKl6f2/Oyxb91E/Q+PUBl71NvQYPlCiuTpAJ1Lu76MrjvBWw6kj7LAYo6uwlO
/hgd/KmzAdtyEhMxA5oemZXYufMM8dR16LbnuHkijkq4G8YquGuUAm1fA63w5pBnIoSCdbFoCqPl
EpcViIsRm8lg6wULvid392AlIBbj43U5oQq4zgE65jO4zc4rr5ZJEAVjDHwDaLpqopgUDZwDQVim
tHFWx9D4avFl3HSRKDfjFBVxDylUm0dWpmBd3rkt2HaWP1mmOefVcmcZAvxdmy+WEuWN6TXGynne
9QNt48ZEVRow8WXu7CK2pN0nXdPeFaF/xvv+S7HAoM7ADd3qVu6s1r0L3AmeyR53ow7yjZkqOw3z
EGVj3oMHy9Pcn3Z9idOhH79E7ozWtKmx1oZmmr24tuGWPEjbQT9r16zNwD4OmyGHNOSz2wzj/xFP
/J/XEdnADv68I/pX3Rft6+87ovVVPzqileUFgOaD98QjlTA1veuI0CyBf8X/vsnm0Uf9mKaQYwGB
EtBk4oEA9ddgih/TVPgLTmc4kWCXiiLMWv9MUP+BrkJHhEYI0mkCLSY+p7M+du/9NMVkMJclCeuT
5YhPrEA4xDLVz47x9rXTtHHpL8kgpyzwGtiCg81C2HlkQAOFOI/zuRH7poCnd8K+lcHkbphnb+yO
3MyFcrMw6KZEMXNuj3nqWx0EZsgIKEK3T2qnPueeqBNlwaVfDU+ND8BtcuhL7hZD0lsNTnRPn+lQ
vSDnQiRhhVKHuTTzjfJix7RLhuOxRqKAp2H1R/BEMEUAjIztJ2PXmk3bmUvXIK7AZfXZpD0SQ4Tx
CG+VBstrXjrbP0Br3adCI1uAqaHCmUhwXkF/3AbR5RI5DypfGNotHB2cWzM24oj/65eox6x3AQOy
PA7yPWHjxgQAlgXUKYAm9f3C2cUYtGd93sMW7aByGthLG9e9nosqVQxcbtW6F7nj3uamHjGZTbBr
RmjRxkFBsAtncYxGetcQUyR52D+AIrcS3zZsYomnRMFuRrfsP0MSdm8WOp+N4XDqyThsa7gj41LI
z5pB99NWW1ij4P2cvC6mM6bUiYAi5Hl4wZl7TwTg2qmYTxYeyJhV1bSkrrewbIkguWIysrZWN10T
i794dd5tIT9LHIjKzjr/adRPUN5taO8/wZPZbSdpbxEHwzLZz013Hzm8valtZHO8Fmx5mTXYbGJj
YJz6LogrycPwSTrlMcf63ttja+/06HYnV+bRiTb5cDDwodEIs+Yc+LtRmjK2uV0knEbmSMoFapei
a+YthLsPMyDJoGj4BdHdK8Q87s7uWCRiiYN0+b/Bjf7z6txqXvjzOreyat9T3X9f7NaX/ih26xNa
QaXZPuCZNTUHf3o3/nmhD9MJDBNwcq5Wzd+KHR5lQtwAjxX84f38UeyC9Ync398MRc/7J8gRkKqP
0x+4uQgeBs+GXwQxCisw/A45gkep0RqyxJOxlI9+zUVhwfTUhuXen3h7KigQdB7wo+/JLSYs70oY
tPALs69JTq8rOb2CHRex1nxfKnXGA2ej0NNXrptYajnUrXMetg5kFWvcDNXPGJrO7drUMZmao0vD
Tc6C84EDsDDWlV/yu8C0D54ekzAXryENgeGEMUSA+2rqUm5ZLPY52Xshv0c4Q2JR+8pU9XEyQIEi
+6gxRkEhDl13uGw96SRzwe48gfYC3yir5fwcFeNFHoEckOQzYfVWjeOhzf3NSKIzRcUx5/wYdXoT
LTRhvD/C/RiTTlxAlPoQUG/HIdOIgJzBxXgqsV9B5mVqilIxLClsP5+iYriEd+mCzSZRXbil85SR
2j9Kt4e4922QkZs10J4mfJogTAyfVvF64UPaU6q9NUSp8oZrzpathUa76ZfY7+WNGaBczHVxYl6A
qXhOndK/g8Rwt5jhGjaq59bVRytsjzwX58qHS2GZDo00O6gDERPRry7UI7gvmFAjFGd6HfCgBxvf
71CT25jW80U1BZAcG3EGmu2JdPQ66v2EA+ZaLQ6nyRrPmdukC2qoXNpkCKzrMtLQP+f3tDF3SLXJ
fAgjYsELdInojHluiyRoxEUR1jMaZqGvajPlaVf4T4Dq5LYXehv23pQw3T+4bs/jZtbPLchf4HaS
2SIbTDSj5xxCWe7KqOX7sZOyPNFl0QUmd78lWyUhLI+cGXdfD3vP6hC+AO/Pqru4rjpgoa0vVTII
DE5O7ZAL7S0qVcYp41oXXRxB0Zsi46G8dh13W7k2CL6R7crWGVblcAg/srOq4pclQcYM/AZ9ILIx
tMtkCma6g34eni/f3BQUaiWYU3ScQ7u+gTAdvWwvIG5mw10oRzurfPB8Ze1eFSFco0v5NiOdB5ke
7q3l5l+6kKShoafF9TZUVpAwVXNazWoNUXotFnoRluODBXFSeSEnxF7gv50S0U9VDBNAVjTdlds1
9/M0FmmvoLjIPd9JFk6rtOzpM4PSMrahG49hKpnSgUbHQioWB7p8iaxJgyBGY60UZE6VG74iZONz
a9w7z/Nf8fkBeHbQgBpD6pT0CO3gDelTry0RRFRh5lRARvpapiQsTjDIHMJmvqfavCGq4FBG4YF2
vNhoa8qQpHMPXVUGVZY4mnwWm0bVIC4ny7/o6vym7TmLWVQNmcsVQWwFKWOodR7ncsGvLJoXq1sn
eT3LNID5alNWep9b9ba0oyKJFvVp6biI61GfCjt45ko/a6pkLDXAbzj34NZGMEnA6x1DWhJmMXcT
9pCVC+Ju8859HEUBrMFd0RFvX7AJrgO/eDSM4M0tCme5gCcBXiBYPZ4tyLcG1zeJzmFlbvMHwoRK
TIQJ353shKItIJPlAk2DgHCR/S2fASXYpTGZ9nHfdZ4/kjXUJe/zAOuLbERlYaqLZmxRaO+SrsO2
lHM44OORt8Z29VblLIoniNCKqpjhCRL7olh8fDZ16NHr6Ab9FIzWcdiQ/QyRGx8VhPP2YZzDJa6t
KAIcgKZhsvV5xe2bmY1nXstvobu3Y1X6aStLFYd0holJW+fFBP1ua6o7ySmAhKYP0vorus951W4A
lAPztzrA/2olAqwSlAAdiw1fSYLWDq2tvRIHpoVOql3JBD25hwHsQt8McGmshAOckt+5/P+i0Cv8
++e9yPnTMLy2v29D1lf9aEMwc63JShDewgz6zY78rg0Bd0XcH+IejDvf2xBkeiPqD/pUdAeIlPga
QfGjDYl+Qd+CEQ4czvdYpn/CYHn4aD+j0BD9wru86i9gHIb69+c+BCeotvrOn09mJkOQcZWXWKtB
ZFJmoGWr3fxsXCoGfwS6jOremRxQPngqXDHu+6UARqmQhXP+7cQotTsuWTX3bSeAQBLf+6L9OWji
ukfqGpLTZIHYOS132ndY9BbZjTPiiB0GuRmLgAJIMMsSpXXfzT5IGCu3lkz4zF16qC1m4I8L1Cnw
FE5MO1njMrlkNHAaB7oOVMZxqpztZFdhuEWRpd5d7VjcB2wr94XrYEhqfTruYPM0O03MhJOAhHrD
ynCx4TYsmzHDkAuwr9Kr8j+snwvk6EHeOjuIVeiNyqxa+jGS+4ACc+gR7QaYovKk94zOgQO2bsh2
tA30kJ5gdOsZ/ubPFtIO2vCtbGugZw2GraDH33oLtkdLTXKLjIL5jLN+OAsd5KOxonFRSQWLa2m1
z3YQVLHrjNDVN0hPAMRm2ShFDkTJprB3oaSIVMvn9slBUg1CiTp26GEhu6TQeuKgdSIc9O1rFSze
ltSEZT1XdDt0Y5HZQ+vHFQvKjHpTfVnZEyoe7DlNrzBNCjFnoQUPNgvJKx+sbudJJDhMqiaYTKlA
QgfwYcDGzziJ2M5f6gn6HTRdXMq3YM5zeFmQUBc0sHGkMxTT+E5usO26ZjhEno0sEHjpLvCZAZ0j
8vGwnrjFVNqpi2dRrWFH5iqKcgQjRR2cLiuiCn9QlRGJtnSecpW1i8THDMlj3VYgAEW5ti7UBgoA
LB1UqwFUqUQ8wY+/gsjiihnhxJrN41WAIzhejCNwUBtT7YfOrTcLTILZoKCmHqjuM+0EE0CsQWS5
bqudU0u+RmB+12D9t2za4MH/vGz+q3l66eTvy+b6qh9lE9Mb8CiIqEPquqG3VtR3ZRP4FfSIcIL/
zPuDoIMYEqMbatp3reSPqhnCqoC1Y69ySThQMA3+g6oJqOxj1YTxPcLuw4CJOAlvTQ96P711vbdU
nsmHk12TW6jgb9zBO2vocFVphIKB2OMHZqNXcOgOvQfmiarKN7nyQdzoKY9tgcktMADbMXxd22is
EzByTjxT4PXD4lyNNnpYGuG92qBDFS57Zx8xrPme1zcyaEswGl0YO52+sISNQJcWwZXzoqzE0l6e
BiM2dq1ciCnHWRzttrkNcJ5cBGppz0t3Dc/xXaRp5kBJ3DrY0gG9f4jln/jI7EHj1N7yFq1xbTUg
UeSwF70HzffIsqGC7TCgzSvM6fcw9iKcyvV2HbFurKVCIRbDxbJ6+BaPPSO4o4yFN5lEdnPWyn3p
nDuMvCj+JEkyRmzXdcgnm9UEjeEylfhFqjpta12l7jL0WW/Kp3kBUqdH+TKN88EZ+xkMHL6QVPl+
kOGlgfEAzU5mLefT6Bw0DT97pb/v7JLGkfHsNAq8c4mUpALTdkwVOKFOOyf4BaDls6fMCW3cEhIM
8cjYsA/WGgJ/wbXLECUUWfyLdturoQ3h1kMAUFI43Nm4onPjIVDOhvhAI/u8G7O6WtmwCrSBtMNz
1L69mSACR6RMWobtta4GoEbL5GSCIF8gHDDH+hGM35CYi4yJUd2w0SZJ7kQPzOrKuCv6rbBLdG7B
LY2WJ8di7bYxVTwCuULPF6Wdy6u4h+E37mm/m23lIltUHIiD77JIsY2gekyq3Gnty55CWoqpHheG
Xq7H/LxQ+aXoIFx0of/CAn+KOgxlsmTtgVfOoxTqQsKwnFohRQLHTF71PL0q0ICbYdTgVYYw38FD
/Nxgi8YdPkpSQSayKebpBjGMw1kT2gdVlp/6JYI+C5Oc1/FtN1vnwhhk7kJ7B8UmbBBdlc+xHIbj
WC7YPuqWs/xZ8CDctQSu7dJqbvKFoG13pwdBgn0lMCSGXneADKMGkuk3m3BokTznoV22+UGN66lW
Ljd4z/lcKE/BxNl16Dx8mXw17GJurTZOtN48NAGJjaCh1Mnpw9CVMlHLhLI/tO1hcKHD01YQxNwU
mG2GGnSWHrpHZuO8azmXl6XvRfFMRKpb42zCqbmHTaKM2cjhkSydeHCRZQlzY5vldTnBr1kV2O0j
eKCi43FX+hwU9LS3l9Dei5DvAyevtz4+Syx8gtTYdZeG8PlBgokQSAEHzYhoXMtPkWM1wk8/QtxT
Ww52Gh0T+Hl1bCgP0K/AG0Ed9Pr4B4t6lyWml25Qd44uzzw5HToCVweVNyqAg2gZmi36LGgpG8QV
t5VzVHq6KzoPwkfDLxs6XVVsvg8rcOXNAgksbKMVqNq46cp7ZC4cqLZ36OBux9AH4T61dmyDukM6
M4YdHJ+BLbtNY8IB7gh9kUtyVbWmzvTsZIHbH9xpamMzTIjyzT8XzDkh2OKIHI5LUQaA2dXwnOee
jqdqeaw5AGIqQkADZfN5aAKYEQ0mutHtbztOz9YuFlQYVg2CV0x1T6bS2wFEA1YBHaSb8Q6RAV7R
pV9Prv8e4Ss59OdHOOKbntSrfBr+4BTHC9+f4g50gJDZAORcc2J/O8UBz0YYO775E5Bj9+vwQ5Ck
tz493kZEChJefiKcgl/AW+EMB321xj5B0/NPjvE13fbn4SeELmidzuA3dGHp+SDfa1moVK3C7mSD
mdwh3HzLGfgORIGfTYEy0Ji5wzkm6G5L7AULSU+XbUkRcNM2zxICBYTNDjtsFC+LiDQJm30CfIyL
ZOIULLA1uykfQwTGCn9JEZXdXAoWPXAPeWNKEpJoezmDT/9cenQXdhHs2RbfCtM/5CHrkkWEF4s0
oCq6Su2QeHlgSN2EQdg7LNAowx4QXPguvWMedHFjEV5Fc1ABTijQPsgnSI6Qqe2xe9V4fTwjNgdB
EYFKKrVc+G3woHPkCTiEPEZ19+BrdRZVDgwR9a3lNRcjYtFBGPO7VuYwUzmIAMnnlcm+btty4zDr
k1vohMFUiE4lACvXn0P78YiMuiPhTRlzD7iJRhXBongaa+z/VmMksYIxK/yFg5muAWpJyBBMLkwW
hu2UKaUMUmCak5w1hjVGdh2HAAhHz3Fe3Y5smZ2tV42b0hc4UVWZeBU8ZZa7XJLc/+KO/W01mQ38
z01MWHupqb8xvMHw1wCYC4ZLfwruOBJRs56aR2SygriZvR6hbrRK6rboNlB9DEjLD7ajXK6kboON
w+uDdupXvjSwo4/unc+BbUtMxYnfRadSBe6xzoOdDtmNOFIO7B4H/Rye+aYsE7gUN0WgwHcJWMXH
pcxGMqqtnMJH7vugGGEWiRF5vAW72cZV032pAr9LyxFwkSucTR3CCG6zzIxmV8AlsTrfnqUkr4Hn
voK8Zzsm6HE10WuFkdHAi5aVpqb3yBdEXggU0uAEYeloxaH5H/bOYzlyI+2irzIvAAVsAtgWgDIk
iyx6s0HQwnuPp/9PUtOalkaaP7TXQhFSqNkkq1CZn7n3XEscckuDTBFvWyfiDgRaEizzrHt6JJad
870NK62hD6ZRuU7q6cNds6n1LBUVqUpBsTYmI21KDFNpdFx89d4V8iLTsa6Wju34BIXudVmnVO38
Ck7jLlErf+yKQJWKVR5dniP3sTJGw4tlxdOYGhBUN5qDzGZGy2Fue5qskfqcutew8ht3RFShhwgy
KKhKV1yEY6dtCllr5RJgjJJ9CBxq460hazLBJ32LDCr3VHz55wulG+7Ed0PWcj1FHe0y8wogKQdk
EN0m7if2GCtXs0kxgTLsqqr4pKSyUkTmegopHeNCVf1aVpOCsjIvxUtPmdlV14lpMpSgAnWcIjzM
orqcQ0TiI1Wqq1cfZpdTJlG/FmZRB3bWZb4yK5lfyzJ3smRx31iRH6/KjiokXV90WRe3F2lKPzoF
CUIjGk4eg7EIXxmKjBt9aY6hLLFLau25NvelFjOXoApXouwzG/jI6DhjAkg9285lFS5Ld5fxE3CB
/I5R6Zcr6/to5rkzZMlflVFgwpjCAEw9MUZNeaHos3XUaBZQCjWX8wi8BLxQGtjuGvqz7C6GMKy8
qKXjiKfxOLaZQyVMN5K7yW3c8jRbZqQd2jyNAzPkHQdpAhhsWa+rsBZomrF8dsW4ejVtj9G0g6/y
nTbxiimVNRhII9knjQu00KrpzX0s50v0UhkEIPbFzXVhGuc57Rac57tQ3uaaPp6F8n43vpcT3fei
op619ilzrQ5mMHOO1OuG9HwYRpS4/WgUOoVqWKLLTrpnx43if/tm/qkJ5KL0r2uCXf5Z/skwVH7R
b/WA9gt+Lxbp39p7NGo/1QM6MhNmnuxqLYv9K8aVHztZ9xcHh5iLB0BHfGtId+CPth61rkNSGgpa
F62urCL+Rj0AuP6P9YCJ5YlZLbB75MHfRcnPbT2YEpSog+Ne6ezwNqmlrfWu/c7NMJQy1gMrBoPx
wqcKMO53ykYhAzdWkjdE6l60pZt5dZG9ZU11tjSQnPQ+2i4mixgagXyWGSMrZHijCYbRvc6c6UuC
NDy7pQEb9J1i617UJX5kwZOO6p1TGpdzreyVJH+zWjz/dlpdROl0nekJ5PG+9aNW7G0VlUGK2s1o
Jy9xKwhF6bIjB+BSX1U/0Vl2TLGV44Fe9ovGXqZUtLeUoelMf3RoHfsJBeFhbad3DAJHUk9yBJ1M
Pp9djtk+FHSZVvXZLo6fwYTapG6/bMh6aK5WRdnOyOk9fdT2TV9BPshHb+pV4isMpQ3qwi4P+JD4
bUtmxl21PhbdeARQCHIt7XRmumYb6DDSY1PfpcYQbdvMQNfRRnaQTtorGPBzTs7Rb0yUzHgTnos5
fBnS9DYuqyswMcxQi9DaFh0inlItD8hvmc0myHg1pbB8dTLHTVU41Y65J3stgFoeyLuLOl2uC4vJ
H/XLhmyKj6UA36s6MPhAnj04ualRQCyvODnpTjXtq9eVM20cDlO/XKQtEpzQ7TmaOfn27jRMFxX6
EYD3isLt0l+sWf5ZKOX0xPt53lsvawEJBh0R5/Apb9Izes7bia6O+gpUBEA3t4k5esthZeuZRRHU
4LyKOS3RVHMKs3k+5J1jKqht4l3iOC1AYGwnR50ojzMQDOOOUUB14HWp1cBUmRwgqnFvQ/wKrpcv
2lxummoV+9FamDxTauYw5edopy1VnG/sstUvbJx1j04lnD1THPXpnxZJVWXmFD3LXx+Hm6Hv/0yP
xxf9dBzKVQ5IUyQnui5+HnKCsZWzRTADNnwBGb7xYzdEDiifXh7UXyeZktXyn+NQslSxJCHnlQjy
vwUa/94y/b49sjGcC05E2XPhAP/DlHOs5w5IXWxgyzZV5h/jYVrMBg2EgdpXNNvK0DED9MujreP+
6SLzvTWci57227ckhyqdMdD0bXzeU6yynSyJqFJbYg3qwZ+78XJuSY4y3bZi7Tq8LW75HCdUu0V+
k5nprlz6M7ZnN01NOZg2C0kctd7xgdQvygLMW6TY913mVl7uFj2EqPB+rdJHC/wdI6l19sRcXFmR
caVNInA5kW103Zm1God1hJ0wsHH3xnjegcoNdKf+wmF1M0yRdVbSBpI/8+awrHK79WFmjbrJdAoZ
A9TcRphFyT4+9NQZRaFdxw+TNrxk1CkeW6E9GnK43x0HVhEbgEsYSXlJbVxmJD/kmWlsJlYkzRhz
/ioVQ6XcuUqKluFt1Fyl1lifzZC7t0PCYNQuMLlmMUBvV43Cy06A72Yqt5JDYK5fDguhy9G039eE
F7cOi/haBxq1ibv2M8bFdEyr/GAhdNiEeo29ueycqy6Z2UDZE+8aHeqmjfrIy8jjASSHk5mpldgl
0myMdsPam7MdXasRSu21Zr/SROSMFCWuZhCRZEIV7JPUJU/3hjHngUKawS6NJfx1BWUqZnpZJkH7
Igw1Hx0ykjyzS7YmeVRbVt150BKTsesxbwSlkV7gxDpf+/QqK7VDv0SrnxTOF75rsUlt3M5Klxj+
MiwA0EN72WUDPhc1xc9BD7EEdtu4uz6lsE3ndti5OsCvImqhuYLKu0G25+yG2ooDWDjpXlXD0Kfr
N2CGGMp1jkhrU6z8ps0sBHogVWydCPF6ukyYCKqoDhQAfBC1suTMYqq4i/T4btG70zCoZRArzkJC
S/1W5WRLJLFA8s0aDVo406qIJR3KAPkSJXr5MnVWel9CG9x0sVvulwFCsz5DY6eSwIXvMHiP65Ws
M153LnOCSZyJKy6eUDL59pB8AOVh6ZbaYTBGhbJX+3Q7WLm8rBlEwh3bFG7ZbuBTFsgJUvBA6eT4
bV3knkBncL1q83U6DzdCrtI6EssSL9fzS3il/R6k3VePHbhnCbntazw+uZu3xwQ8mWfMws/bRhzE
MhFPpdjjDjiBeaMrwwP1Rq/4aj+QGRXrs6aRFVa/T/xU9qpwT8ZYUTonbnZKstxp4OqJGIuEp47u
WUmKWzBNi7ZxuVoRbKKSgXALnhNhTVkqZ0jM9olh3I/yrkT2cFdwedppeZrszlMU+9hZLyFX7FCJ
8YnNwefE5TvLW7iU97Ejb+bh+46Wt3Ui7+0oUy90vltcx+fjaH41oBzpOfOjOqnaZnTth1VWAUm6
Oshfi4/OBs8LvfNQUTLALr8gHg90rKwmSllXZIkGrnCMLX9eKuQ8sv5o+eOlrEjszrC2i6xStKZA
yBXd5pQvKmUMBRenoFqPvk2Jk1DqzJkQ7FaofsauirZs2bFbQgiQFdIoayVbVk055ROBdY8DqkLf
VswT3h+HCoc6y7Es/qSsvQZZhdWUY+xT91DfStR/4TaVFVsia7dUVnHK7Pr93H52sr6zRlJvYl08
UzEUVlBRBpZ6/15RFpaD9USNii6HgjFt1zcQtYBYq3nPL51vY1ld4k/wc2FfxpSdsaw/dQrRzFWq
zVhpe6UR+2VqyEWjZlWS6ZoQxItc71h2UNb2jru3KXPJNdgpZrOLALDynuJd0/hv6zV2ksTrkuGr
S2yKp6kPxmo59DILb5A5h2Z2DTRT4S4YiCZYzuM+vy6I0dOS+C6HAh6Lck9WTOkPBO7lSe9BLKQC
DjsbF8S6D4ECJzmBLpSMHaF9LAI/wwG9FveYsuw6R+8cVkdZ7kWivFGTtg3+qY2+ayPrf5oVfk0G
/+/Zsfyqn4ojgyUHu9XfwDe/bYCNX5gmqwC0HTbB3w3hf4oj06J5Q5+Kx/vXqLP/FEfUUqYEvUPJ
5xR0/k6vaP239VuKd6He4U1nrPk9pf5dr5hT1eX8GFcjapDOpyZiEKsiYeToGjjDtJ5BsYXaBEPP
QFggB10ljzyNs68nsdCrDUNDfrLcobRodkOK4afUuGMrwRSPUzT6Pk/X77NViGpQfIMTt3MYwjIO
mXaiFeFFbC7ikM62Lxrd8Gp7bI/A04eNxTW1nW3trQ+7LxWX0b6eSrSw8tQXFeF7CTcBvcG1La+G
Rl4SUcZ1oeYlxYEjOGzkZRINLvtVlwxPyBGBM2fbNBqUvSYvoVReRw73koYIFnWj9MH1ZTruRRei
J5RXWW/Az8vk9RbqabWZ5ZXXy8vPRhS6qfn2a0JMVQuwkO+Cjm7FRis/fAR4GNMRt9FVWsVnc6nv
+5ZBEdEdTJMNCDlRyCa3H0kJCNObyuoIWKIBVVSKGoFTlqnSsltjQN3t0AbO0MReG4swQCB3X6/d
LWTpPTRY52A164k+bPHZNzwajf1etdVlo1mc41p8Br3mZPXhXTQy45rQP44oidsan8DgHhkvYXYk
SACJqmmDJa2e0ik/Q437PKc9wk1X+ZojJ/aGniS0fHyxSvezLm3gxVBgvbTsHSRJvCwUI3TvcRRf
JMnEfg3rxguzvJOzpA+ZinwKGwNVQkluAck7U1BUJazWrnsUIwMsMXsVq4ggi5IBW0kSsxZsHioD
qXWh5tZmJj3N79T5rpIXfq4zfk1GtsjlSmSpyBXmeeZwqjv8jCr+m6BdSUSp+ycyWz5wZhKCZ2gf
dZil23iOpWSbglIhpCEq7XErZiNkT4GMIONxRX2FoUwNzQKxpNZYfm0aB2Vw3V1EZpFnOBUfhMr5
WlA9mln3ZtSk/LlodgItZUI6iO6L7BXBT7sUHp/92oOkm28xpKE9D13wsq7rNQmfEfikjFeqeIUe
jVsYSDkU93EXjcKF5j9fGWO4163yFM/llcicg6Ik20E/IEgNp6PL39mZ/W3NfeKJxT5lhXi03YLq
k6HNZKSLH6bzLtM0T22Sz67sn+w8Vv1qJm+oSmssozbhsJXbuzAJym2V1UddH3adUtx30cCWOrro
C/ylmt55sHlPej7usbtmG3siFrOd56si19czaMnPcZdcWgIChFAn+5A29oXuFpfAJHa5YrAABq7s
VVmGuEugMY5izcEoqiV0+8mFPiQXWlE/5xqZIs7UDRvWx/embT0ObccIKzN3DAZcf6au9yzkpH5b
UgAQIJBtlKHfRXQyaPZplXAN3kwifESlzrCgRoK7Un2sPV8XgapmqZ37dZodwrX9bAAwB/oq59su
k6eoQruyUEW4vKze2MePDOyv+0n2CcmwyOrF9LORQVXWqF80tudmklwkhAZs5rwweKwbXy2S51UY
d2HI+96GFVLgHmVJlmo3luM+ayyFNpFRXusKrYq2Ol/CHXb9qiybBsw1FuXxuo2HXVjqd2PcHdUR
s4JdO2cEfDRsforrvCFlzk6Us3jK7xOrLylZ5zOxOFTSUis265aXNjmFcjllQW7OYPXU+LiWE9F7
ZAL5Spt/RWt419T4shZNR/+dxPVujtOPtrauooqFu+pMq0+olO4hNFTPp0hZ971Tb22pSVub9Rqw
9xTghSVm2I1uZyMJBl3ZuxizXLcYt2bdnpGCgwlEY1fXNMWyMybC6nJRIb4plqcCMhqgq9emm5Pd
rMcyx268FENxr1vjBbmvfKmeBOZobpFyUCk550Qt7lO8lvuVhwiBEBnQlqnuFlt7xyR8tCLObCCK
Af6PoNHazz5NYHM3r+scBXBF40234GMztOfKKdG3OBnruBCfgbq3e05T3GamNDmpnEcGN4Wd5I5v
ZQRLMZ27q4fkuJrWZ9ZzUCaGkPt54iTVhR39mhw1Y2o3c+dete4a7XRzeiDqsNswfkMJNKG4k/ol
PmjXrYVxVthrtcN19srd2QZVEtPfwDoJVKD1V46jOIxPLX3Xdi0MVe3WKofcI/DrXrP75zSLoYLL
BNyORGm8czVKpVnbghx9M0Jn3rVui5inemvTpmKZVX0Af83x+mqjXxLKdwnP2/LDujlx5x0nk/8H
a/q8d+kVehIujVqpUNcPH1TT6KXs5sPAwZOmLgRnxBUsHcKjVothY0ZLvHUrF9ApgVwsO3FM8Clr
MNZZl7Gt8inD5UmZXG2rIdovMEwCm3OSXENASuXtUq2MAJX0BUDDuzXZHsvWYgeqbUcdwXsQjrea
VWteMzb22arYh7qX0v5SLjgpjdAvrYsnFK27wmWDwLf4ytSs8nAOXM02zINOiS5UrMee29dfjsKG
iLn88yStNkpTMHIpxWsWW9amjpQnsl7C69Ypj5zmYN6PJuPJODEtuAhD7GClk+PL6tdZZpuoDDZT
8kCxSn4PPP+po3+dMcIu+usZI6vbvn39FxES/et/V9MqX/tTNW0ZII8Z8mkIvp2flRj6L3CSrB/K
SDlP/Hc1jRJDk5NJ18KXixZdclJ+VNM2MBSaSuhHv4ot/xYMRZej0z+MGmWWEAoMhy0tsKc/KDHc
wl7dEr3WVT4mpJ54bVOpZyiYzbOSqV7qpaK4X1LoIDYeCQfjBgDfgrB5nr2Y7QLD8vRuxlmROfPt
iNNiCdEe1rHAuSFtGOQoEBjSP0wFJGB8GlYi2IKG1aaRbtWZu6AehDdLb8fKGrdgmDNJ20dou5wO
OEEMJ+q96ZvnI20i0NP1oJXWkdUBL5umDo4hemFy058XaTTpcnMJaLcxn+BCMQXCMlMaU4im4rhY
VW+BW2FK80qLiyV3Nb+XthZ0a76VTG8Ch1EqjS/0Je+IoRIPNuGTIJyAg1AcjNmBNkH5TQTHk0BQ
7tj1SqqxAZUBi42BQY2oW8vnCth30oazSEMOo703gobfCpw6qrTsIKZ4TqSJpzCzXYarhxlUudWk
0acd6d+dqP6IVOqGGTdQXVls5eXog27iU4T6eomv5DWprfCcsQgZQJZeUFyIAMufdqMzAvVNEmRg
TyAaq7oZBPCUnWtWM7J1Rf7CGKEFaJCO3mraXFuhXW3zxVC9nECZwCF1EVPSik9YL7vjojqznxH+
tXXQRvphDlSzR+e7abuMHMSElJtFTUBWqF1yjvAg31Ep97dcjOsDutjYr1SSIbIuV4+oBvGOy5jM
qkXBxsxGPCFTKG4AXjenWKb7OTLnr5GJf6PM/iO5ATuRYprpBWJ7wgEVYgKHFibOZi3U8G12EoU8
RUtpDqWuXlNzaUEcT/W9uvDC70IHOp2SutGX6SBYKCSzilXSEGBV8JZCJxAuRcEzSsZV1xIJAvSq
J159BoLVAMPqgGKpko6lNMNlK3lZoSRn2eqINE7StGzJ1UK3fmlK0lZTqIRbSfYWxRaJN3RgkstV
SkKXkKyu1cw0v5L8LluSvKpvqBdB2bbxTfmC91VJ8hdT1vHBJTfnIKocLpgkhGF1xIMPNGyW9DBi
VYjHhSf2z2H+62HOAuWvD3P/M//XJY/8ny2N+MLfTnLjFz70qONYn3NQOuywf5uLmL/Az0U0Z/7A
Mfw4yWUqoqqCmwTWL9lWcr3+75McrxG5LDbcBSEMboG/h8TjivndOY5FGlGfC7QPGp5pSkn/z1OR
PhzSLl9L/VQyI1Sz5MKOMs8Yl+CnV+b0Kxr4Z5Cv7vz+wuA30bktEPMjICTwzvqjdI8orIyReTad
cEtmB8pixwy+zbcJ0RSVHtHiTDaDwL66cpfhosnqe1tvCYpBwexNBEoFWatl52NruT6fIVLhFnA/
ilVLlET7NHV17RVOjA1J7nriLr+t+YaeXuenSqVG0+ySCI9Gb3yHABXPYE3BHsE5b4pZkmuRG5NV
Ag0G+6OBcS8U4xYbVk+KLmd9l80Mu81HxbGPrjm4G37Np9jMKw/R3C2inRulwFesWJd9ooJNmeS+
33EPRKsAvClgx7vafRg5OXylcfT1GLPNMPbXJLRsJ3N4dJ32U4/sl6hYnlspXcNkXALzT05WG54L
u0i2QD32wg3bXRe3vENte1+JaJ840Ktgn56zW3wrpzjbjoVac2wAf8irufYVkOObHPEQ3Nz1RSsK
eXpjDXY4mBemDQpRto3IXgZbu2+76FjNxbCptOXGboYd1cQetZpC0Uxs1gRri86ShKxYt26VhXyD
om8cSDgvbo9qDJo/cxsOx8GEP8zE25EILeLGd+jFvpwF/Z4qrCM2KuuAwwFBT8UoBma9jsl7XjoT
3YOWbDMtPxGVk27pvnZrYR6jiPFUr5k7d+S1jSesXIqwRr9usN+y92J9ecOEhZHQ2j0kAvV6RGzK
BubvbTcNB2IWRr811HfM9NTW0/KQJ4lFqNkK8xn5eRenIwkv7YeW6x/6lBOHN2v7KncP+FM0L5um
HdvL64IMPMxf4sI2sHWLvHxf0/optokyL0R1J4iR8M3GzvbTYOxY2Xm6EW5ZThDgwiOGJN6cYtJj
4ua1TEmB366O0i+eJWaUEuqcQTFb9Bb2mjnR+zLY2WrOJDcR7XyW5xZ6bLDE0I0OrWl8TKp7gIq9
HVeke8Rs1uNDZhlyXzJptHYW9Ch/mLXEz1L9YKA901g99lKY6DSvoUhutEz5dFzepsbtrrEdyw3Z
SD3W9ejvJ7+aMu2AIoNd3zReOG1e+QoVlpUQMT92YyJxk9OzSO0umKP6GCVq6HXkTONZQBvSIdiA
VNJ3+2nqnwgERFbmAsNLVYKlqmMm+MgaZXbCiHKeK8oBdi8u+CiOgVgtLKHH5ENMxPylU2owgtRu
iDDbzVX/ma3RBEOffZGon6Y2wCRziE00J72yX4T9irjlhbjhzMNP1m2W/CU3b8epY3M3nNUVfaTS
btKy9fQtIsHYNXuEbEYwGeZ+xFjM/JAt6VqPO8NO+62qsTuORvOlRF1CmMLkh0rbQkKpd4NWXi3V
9NxWMHmTxXwgiNU54hE0mztZHkUOML19pRda/v8do7/3MclTlOvChICB1gmQnATP/3xcY700zHAR
ywlogr0xd+HZfFsdD2m/UV7LR8AJB/Y0m/C89tLBh6J9+N/HuBQQ/I77Lr+9a3PvsMiHLy9/vJ8g
GG04WKMihvU02q91eHBVGBLzi1L9f6Evf/Z9dIgeNi5XZi/fkTA/fR+3585KSK46ackFqbEbOHhu
dIAguvnfv8/vb79fX05eT+5A1Gg01PRLP/8+DapYa9Bi9SSs81aAwUEnaT7+7+/xTQb544v28y/z
h28yxKra6QByTuO2e8B5E4x79cPxpbXpWPCMbW7aAPXBVt/fXzp+vrkcQXE/dEEYXKdn02ZPcX/R
+/xBv9ryT/Dwv38+HbDKf72pEoZrG5ZByuE35emnFzsnfVMrF1U7MS+4BAIZqEftMTojsBL9qL9s
zp613exdNttpD1q5OI83xjW76y1QI+/7R/lHiCkf4L8uJIP8X37V4rH8k5EAX/ijkMSZLndkQHCI
8v3DSAD/OW8hWC9dxlFIneaPkYDL6o3s3x9aTGmp+DESkL4NnZQZC9ccuv6/Z87A6vm750jSwPh7
OJkA5PBZ4u/9w4cpCmdL0UY8lmb1MEmT1YjbSqH03dhp157IhsWKxWX5ZLGv8FwLGGdvw+h0Ckba
nTKWEPFQDRGF3XLVmY9oCW2/TR3ad01n+gdydVvIFEeKotbrzaEKmtAdvQaZB0rs9Zb0S8YEsxMz
HrDvXZxm3CrlVqy4B21caBwIEdhC+9An82Mo2X1jWt+2VYy7T0ncvaZG7yWuttlQz1GRXFZqTMcm
jW9qm2rbxYL7U+OKy6dkhz95lQPLcwT8z2GvAzXHFB7jqFOZUW+jhuTSYcJkhbTmTTB62PfSiteS
5MlEcf4UlfgkCij1EZewjMPB587GE5EC5Vk95NWGPPRXcnSvY2n748d8d0sWHhY6BGO0PYzyVfUw
pwt+UFVj9QFjywKohVZgG1Xs1EPE5qtVfIpcC2YJ36ryegdL9MNuJ1YHWbRnjgCBdiS6IpvW1U8T
RQSDMl/ZIDg2CYivBNTXKJlfpq5ViGNgipQ1RLAUNFg+TgdD9C9kRxKeZ0APGxjMrJIn5qgLkkyk
LKe5oxmu+3llOcmV6F7EYDZX6Q4PMUcEXToQtsqYf8OAdt4VCRaZJkndQy2pnUam36MKwJIniZ66
g2E/yoznVbU3dcHyYrgbRB5d9hIGun5zQWMl2yN9DaZUvdGwBlBkOFgd8Iigf00epHcEgQuoUUNB
r25EBAbXxJj4VkXQsaJUpygNw42AVqoLgrcUBlJTipF1oDGCa2oOJS8xAyJ2TY+1lXzYRnERKoQZ
lRKKOrV9sbGV4dWUwNTUNJ4VPX+hvAY4F9m7xTUr5lvpXldxnkjs6gx/VZEg1mZ1tkuZsfaxMdNm
FyK0SZuGnkDK9W2xll+q5LoS8Cs2QrJe6yxijQr+VQMDawHCWcDC5nF/sYCJxZD00nNd0iS4+PuU
8wagrApYdgYwu0zsrJtQf4gK2LNxG96FwGj7lFeo1iNSrWrq1gxkbQm6NrSneyFZtnmUp3grKalJ
tX0DinMztellVLdbPZQ2ZHu8mjTzxpCM3CJMrluguTDiPXbtZxEG4EFM5zVw3WjpH2S7EpUWOjjr
KgbCawDjrVUcm1m3PFkDKIg0UopNliDu4JgDrtcoTOmkWCckqdcbk/apBQJsuOMxM/RDDB94kKDg
kShMrzGmA4JZmb8tJXZKfoMO7a2WwGFboodX4exk9GOAssQJQgkoZnZJDoa77lcJL07rIiVPtfbm
DouohBzLE5dTSmNfa46niuySjQ7IZTtAR45UzLGa2uxVXgLOpGtjEcd0cN+BCvFs2eJeF+bRMBtW
qRK+PC41cy15xLUsQsdIvdUhNecS2axLeHOH6NHVrHxfsPMl9g4LVQHqWfC8DWt0q6nmmy1h0JHu
HEHLh7soQtJN/36jAc1A8AdEetHtN52Y3UCTgGkTcO4ikdNFopvQCJdthjan7dfwNm1W1u6tdldK
ZPWg2cl7HSuXQuKsQaJDG0wep3hk2RPvC8v5WimBgx5XGaI3FRFiw9oi6SzF3dA3F48F6s7ouOqg
I3oxSiiudW457Z0rPZ+tdH8Shv5SrYmLm2s0QLKuT5BggYOM3ZvolcZbh/ZkJvlljK3UwF46YzPV
pN/UKNuzHBwSgSl5MPTWNfbS4+CSdiykWzXFtupgX1UVRpStdLRahMlQyQ93BmbXJGQujfk1lS7Y
DE4cP8365EqDbLM8FNZ0XU/pieeBFwErbYGldrUYZfZSPjmq5Q5j4UAD09+WGHE10Z3Blz031fm+
1Jk3m9ZJYNytXTitDv8yS0+vnQvaMunzdQWTvER6f0sVfzBnrD8l9b7EHtxKn7CNYThKBdxG6SG2
pJuYnTC+4jo9rNJprGQE6X57j6ULGYmtfkAYl/iu9ChXBm7lTCUMDua9BqmFMYH0NP9Tlf063qNC
+euqbIuarvyzkoyv+q0kA6gK9MdhHgcxUDWp1n6b7eGX1RyQGKpQ+RPWT1sa+xf+G5Qh6Z2M776r
tR8lmUV4J0ZZ27JZudCY/C1BuC1Rrz+V9pRkLuse0gQdGdGJxvwP7WJWIJed+9C+DOfuLOqbsTz2
k74ILy3Guib8OhngL09dR5R5Ec0PlStDHCoXwhjXQvw8G90t6d2LH3cl6+h+2DHf9unDmUyopc5Q
OgdM7aZvqO8TPqhWEixKR2QvwbpI4lFr5MozKJgbBOCP01Bp2XWPAvsWce7enWZgGSH7cj7JkZoo
lwiPnGnDLhSxsRI9LyxDT2EYJ+IU56g+rNJh2GJOEAY2Andt5VthoZZ3ggj5bcg5NQUdFOz+qlG6
OHkYuIgh82fTY6a7MXL3rNoncZrCXlbbI1njZ9Ng3ViRiXrELh/UNb8bTFQUVVy/69KuK+KB1QtU
7raHuqMZb7HMXG4VkxW+jgN3fhjixPIMCkJlVHyl4AiIpEvVrGsNSh1wia60zQD1kNRYOMyJMnyD
1i1GIpbNteUvSvJBYtxdMZifqpkmQQfZb2M5/bVtsJiOcInuJ/7+jR7V2csCO22TTcleXZnRNHLU
VuTOXZNr+rYqs5KNQY+jJdX3MazZchyBEE3JwYjBw1lFbCOztddNp2ZloCOe4OBYCA3Qr0NJi4ba
wMrB1PdVxqBJd7LJc5dZPyzElCI+UT9UhCnO0BWeElohDtBuV5TuaxRX58K1zzsDgU3ioOU1VveW
1fTouURcz6HyAV97m6vzAaDtJf4nggXC1q9bDC5FKRcoYf3VV0xmRILgBs/P+xS7M3uc8olHut/o
7mjvhSz9ebyuTfDsQMyry95KFerG8JS7jFEj0A1obW7CWqFn5UaFftciEbHGTir+/diqnoZURw0U
9Wc972DfDVuW9cgyLIzfQm2qYC2hKY3L1dxYj1rXX7p9cpf2VeYlavdQRPGNzAL3a3XYaZFQDhza
Bonc7c1ih3fIka/XZuAjorHsIgwlwtaULL7WhqchXPdLHiosAZX3tlFiXzXrbLdYXFKr5uaY1ln4
RVbHUlA1faLP17Oqtq9S0uu3lWNNXj2UhgcCsEc+P11gov4guOUsGRwIxl1yFGnNrlC1z4k60Xaq
S5z1EjXgdk2g/Fr6Ci982i5uf+W25tNIFIXHR51Eh6WAWzkAzVuGdZPV1c2w1l4/2PuVV2Zj2/O6
IVocgXc23uvTWu4Vk6czlCVdlyef+aKvXI72kzVZtzozzMNYZUydW/1Am2j4huNcxCN2BgEFAmi7
aW6nJr1KIgHOObsp8vEyinm2p1iCdFIUjoV70qOy2YqcfmKqAewx/ZSaIXEHln/E1ax+hbr5ohr5
O36fQzMZ3PNRTz+h6J9mpzx0qe16RVE8FFOvB7pLxs7Sa7tEFM/VYp5bSrVYsPuWmJAd25zFtZE6
APsSNC7eEjdvxkQyjm4BAJacmsFqjkKZ+2DN6K7G9a019OfGcY29q5YsBFz7tA5j6Tt9jJu6xY4g
TGpgIn3eQV10B9Xucb716JVrNSe8oFo2g52lnLXGSy3M277oicX5P/bOpLlxI92ivwgOJGa8JUGC
o0jN0wYhqSQMiXkGfv07KHe1y267O7z3zuEqFimRzPyGe88lkNsXXUA2WscIOSnLHPKJeu4xeG+Y
6n72MxkZ0D6vkkQDyYnaaidl7gK/NpC8dBVST5WODdcB7Hi+yaKB/qwGg3mORxPqZFONrDy0aK1r
1e2QU8BMDrZ+QSy8jPOR9ylGpaRP69hESDclUXmV2cN+yoLXLB/HdaYY5PfaaKJGnU9rWScflp3T
hQXJvDHzwA8NfdpZeV3ti9LwJQyAdWRbqe84NH6ch/M2T6rX2jH9vFZQjAfbgpL9JlJiVG5F7AIU
GdQVKwTXH5W8WJqc4MbKNZRYldiTnXpinw64IEucLX0yACKkhl7QT9MBNOw3ZGpIHctWP2glSlIT
y/YGJFy+i/J8fpiHjPdmmBTfBNEA3Zb3FT4rJ2Lb73UCYVdEvsyssAmkT91D4M5HJZ4zoKb0N4Gc
b0hxR8Zn3zmKbZ3mhk4v6gAiUP9fl110D/J04kIUqV/q1GFdpNReorcfVoXaIWMduB0dFliTQI4A
bwanYxpdtzH7tgC3pyQvZluW81FvgxPEojWZBdc9K/KNnlTQ1ZhRrGK7Prtm8uHAsEibgIGE7dKm
WooJ7skED+NMG5bGjJ1n1JCqOjyKTr4VUrlO6/hOgifyVKasm6QW1qo2ys90tr/CTDUg+RrNuo4h
9HX4XdZDqr6UMd1X38XnwO3gKwi1Xw9VHXhFII+5kyGXHpPwsYpSKEPBi0UztdL46tpp9oVB6MXU
0d9F7bn8vg1ps4/A1NyNcFlNADN97AqHXV/MrkNTlJtZLdW1kiIsQ5KABUweU+QUnsGdigybA0yI
T0I3dnYXnByUhls1ng54b0AISwWzb/6UTfUZrTFizCnLwCEZHm/ogdCWo5lCQS2drwGe6spigpJX
yi5okk+Wf37TFe22sctNU/KnqKUe1UQ9zeExA9Vad6iwGonBN3mPGg5fRMo4Kew9Fq/lU+OEXmPV
h7kZ6Nwkb09Gp54w+hlnPs9xoNEWa8anDsh+xRr0Lk5C/jIHeJ/hXaiRURswxgF5OPGWyu2VCmwf
j4SIUemws7IOs1lkXlfGF6tyMK4OT0LnHy/HAoVLcpRMrbZ61n4YgElCO8gxMMPXsjPwB/mj0Lnw
YPVuzUggInHwI8v4oR4QBhKwE3sKkrgydk9kibFFBcvRKTWB5IkJW8/ItvhE6Eu1ZGMJsl7oLpwV
OovQx9zG7GdmwQc15S7rK340J+83EXUn+r8YBQnpFblR7209OgxT8hUJM/bDwblAEN4W87YhwUKD
8zjlazGeHEXeA0Bl5WsYmccafAvTGd26TSGjz++6s3CQw3cyTE+G1tWUHGrEm1W9ga7Cv6MNqPtK
ta+PfH3uw4mxGv3boyDQGrADGlwU5DuQ1TsNR13fyvWCm7wBcJwBkMpjC14D+abKU9QXhepBDGvq
Azu/AXVrPPRO7xdpr0w3E+9OrpqxsjYCtkfhbENPdlx5KKB3rUap8G1T6u3shjT0heIrsKPXuVQG
PzaKtZHJbh30xTOeFYzCDnTDfgoFgM7kQa/zu8GwRp9tzleV1E9GbJurjMJLCeLWJ5JkH9nGG/7u
6zF2zVVkkzcTxW3mUXchnZcGWqChFyuFwQjXyURdqHKxwUIk41Rb3jtq884F3ulGp6omRSAtjfXY
2ue+jUm2tU+LrgvgbPImIIc2rnFCaUh1U5Tv3C34KNHWytx5aOLYOLSd+olUMScYSAUA0zs7o++u
QeSQZhfN25FWYkVdMxC3mX+rh2ynE9fmYSec/aqxTkaV3moSBmQLzcbMimHHuXtyCbW3J5PLDpfe
ruv5RicaT2giJJVG2qwaxJzkvVgr3IzbUqPadYV8lVXsGdFFluitzGk1jGjDarx7rtOfFYQ3jCjb
S2Ym33CEsjIRMIGm+FyE6tkkcyDN+7OhkR6TrZS5Wte1Eh6Ii3qSQ7hvo/iltduH0i1YE8IYdaB9
WvYdW1GPuvc8VdprDMLZBa/p61m4nyd73qMIfeUFPkRLa29TC24iQneOnAqvRlb0T9ncA7iskuOI
tBvPRVKgIJqvhh6deGWJ57JX2VvKmwEoqCwdOENQqQl8eUnN4hTr0VM2MAP9p6H/3tBr7BH/uqE/
v5V/IrpcHvOjnSeiEpkOgZN00kAqUNb81s5rv1gGYQJMPNWlaf+pnXd+cSxSWhw6elXAseRRP9p5
9JgmsAtbZ2H6qx7zb+AuIHD9sZ23MUKxscFLTmNPifv7DUtdNZlh9tp8KZdxodCQJNcucojSnB5E
Um2DyPkwKJWRPnfvageizcIcrI7GsTGDdLk2H4ifXKvmdGXObOHNlq1jQF+hhlw3cepPgXMNWYvJ
nug0tGzqVo7u1aATRp8VWyd0d3RRFxgSxsoBI0zyLcv91hruLLPoqCfEp2LlkHFdJPO9EV7Zi75a
gTmL8sbcTBqleqWo20yP9+oihy4159Eu9etGSy8mDdeqq/PePel9+iitaRuMEvW+6d6kSUjWtuSs
UJ31ZOLBCVPM1VNrgFUKExCWXfmWtzwP9f12VrBgg6fwFEvsMkWyEgEwgwYRBUbrxmoLQqk8dGoo
NxouKwSLtruWUMDi1PTdKn0Pu3jdIqtYlT2LDRLIJZadZDvO9qLii3z0Ebs6zxE/tPhbGsCARir2
2lQcsZjFB0FZFuSTC74RS0wg7dMgi8JzB+uuEjGQK0D3npLDmQppyS5Oau3zoQPMOLvWymzMdA+B
+mxJrLx5jpW2DV4Jsb5PFAdfp6LvjClgXKAybTdGj80fyU2El61YHZHRaRhguAJilmWm3k+OCwNq
NPfwqsa1EZa3QqQ7qJu2F9FHUjI2lVfETbC3hh5Rrgo0uExwP+Vkdc5RPLFgA4RshvKjFjnijwoP
UqvM2q1bkTYxm3ITmRQyiiqitdIK1e/RpkhYhFqG0CMA9dgp5i5cqJ2D4sh96SBOXRL3egNrvaXZ
CZ5yFoE7tEcFWYmDA7nDir5RtZJbGkj3MJd4rwD67usqvG9U3KBqq+0MhQ0iw/FNE3XmpsfsgHG2
oEStl4zAr4IkLKYDw1Ed++eymfAjzUyEtApfMfo0rw9KJKSOilgfEGk+njLqYa92kpu5dXroBuG2
HcyrfNnMBMpji6yGwdOSGVjyqkPjgs+YjZfwzTjJuXYlCQmy2Sa2dkot5syq23IrBJdelQ8ump9V
Zgb7UKvMLaykzEsEfLE6KRo/jvI3V5VE6ih4aMNoA2jvKk/dXWv2hYcg7lscxA8k0ldeqITRKtHU
b3pcPvaokZTFClM7mnhDFLdRhPLSGwxUhpa8c1gxnsDlc2NJ4xW08rER9jd7bo6TWZ5nYRxJQCT2
qzAvIzXVVV5n21RlJsTS4qiTP0d8BKZjLbplS8FGNp5eNfteKhtjco5lTJIENiGWaTGyuVK5j3vq
wFamN05sK55W1KS4EZtmdYGXK/N1hCXHs/R2rQ/BOouTjaJYOwroAvRjUtHWI5WtJczpyL0ClrG3
ewljgfUpBWWtDc2xt8GfyGx+da2+pRGsPcgnlVnDsVKSELtGdeqGee+W8btmllClBfO3bHBXZZzc
tan57mIsQhEF9Tuv7EdwAbknsoAvccGCV4/aTVZxFq7cZQ/Z5NqUnf+5cb/fuOK/2oZ3XQZI4Vv7
n7qG5XH/vnX1X5YhOdSUXx3AP9+6xi8sigRJZipmiIUC/UPXgAp2IUpz3pP/gxNB4y78161rgKJW
BWbj30bvf+PW/aOqwXC42oleFwRdQ7b+o+Kq7TDD24U5XHfqIcTXMN0WzfanMuRPxLG/qmx/LxFS
STcyXAvL0xKmBpLzZx2SYHWVJLIpr/UBLWqzMswG9Vmka7l+HangfRet5Chv5iK2nHOEGe+5Dm1N
3jjc5V5ENJGG6L30mrHYV9F4ioN0Y+FXm2PBzGnWCSVJrwNTWaeFsp8aF5d/cdeqlABTRHZkZd+O
cbMjqRlDQDb6edyKtWlUB6Uk4MuR7+kk3xQ4HF1Z7uERPLO+p2OMo0vYNhtHS/d21FQrMdZftM84
a+NhnQKB2sYV8SsKOrhVaw67qqeN6ezkAV5wpTceP95zaKl71aWK0EV5IE7tM22IBQ1Gg71/9hmU
kOucrIR/rY7QQwgeIDj7FLQk+zj5su8bsPaVtvo+NvlBN5SM+Wl+34vwEGjaQz0CTNLi9klmU4Pr
cfggqvIwGXXuV0l5lUfjsHYrW8fCEZheUNR3dczFYRsQosNJv8JOi86k0W/SwQ29ue+elUTHimCP
G1PD5+to7VdiE0TnxFoBNLRARW0c8cIZLDnJUkplRayqSg3GeCr0xqTLN3GpsTTuceYZ5fwksoIB
PbN57OK3JpYxkt7S+yHDm+c68kWpamOlDeXexS9zTrmHPFQOh0aJsa2JylgJJzyF7YeeFL6LISbO
BrJUxoohQJo/BTOMm6DicixCcagdsljannhX2/woY3bbw1QfO9v4cJosWjtJ/OVkdGih4czrqnXv
kbB8GfHgLZ7auGIOLZpkF2kgsgV2liLMrnuteRdJonq1weYB2fQ+jSVDZw5pwik5wHXUkEbTDhtD
UV0Pj981e9uHPiS8QEnbfaRH9bIeucNdRwCnHXYe2ar4OeE29EDFyKlhxOkkd5q+cFAxTYxu/yRV
msJ4sr4w7L2agrs3GtBv6iPlH8Y7eZVn5HOGSVx6nCsPJAnc5YZZQsrWLyHJqOuoiLCljuMrwbt8
eoYKKOXA78O25xeKFrS8YDn6JP80QBH5fa0+yDClFQaXOCpLinrYMiJVvlrFeYEnw8pWRp6tCxZf
Y4CWAJaKVWibVietoPyuAh2MugqI3GQrgpy8ujfDgbhY7maGyKl8kKru7s15TK4tfbivKg2sV/lJ
AMw+liUhnkX5TbQVmw/moGzAGdjKoT12dZw8GUYLzCNIGUo95u5m3E7RlJyygpGIotzWXeIu8La0
ghiS1eA9QZ0qNnbZ2i0Lr0mxBjI19EIdb2yhXxmNiZGbKa0CsqXku8nlWJ6bwn4mPfYzVsdqxbFG
hvIs/Cwt4TFNRwiBb8rYHYc2hlravYQdflDOnNs6FxtYn7eFIGdHKLegVdaWEj5q0nppqAMLoR7d
IbxGlnk9kcE3N60/s0MBB/2NeUDK2CNZy6aVG4ghnoTBaTc1JG0GyXXZn23CqOtKko+GeolF3MAi
kklQ4iisA5TL1NaPWexKwo6bzwbIt1aNT0rzaXZ8EnvL9nUDVJEX5ANGejztcAGTblKUjdpP9qMd
9uO2qmrNS0KQq6ZTtuVZ6mTcFgY4zxlSdp+HWJ8Szq2VLIxyosab9W07FbXnpIiaHD17BA3gQ/R/
Hob0samUF3RK+o3amfM1F17l12n1VmliH9X6tzFwLtUM6pss8QVWg8qNsfIaByYO8iSN/WzO3Hsj
c6arMIvu4jB8Z6GleIPs0mPNLAJ+X4v4N2eVQRn4kmu8i0N0H8dFApwBxkXfPHeimJlk65kfLILu
ktcHBIe7x3MlZ0CnpFhDu3K+KK2j3FsJW4GJbLFNWEMY51vePAVu062N1s52fJuddZW2a8Pq+10v
2mHL8LPw9KyYtkOu4gdO4VCELUshprzmbsA1twMPeI2N7bYxSOiwxDbpF+afEoC3Z005W+IeCddz
Lca70KytPWaL58KlUjRwc/9alH2M/xd+Fn9y7VI8/LQcp3TQVDTusEYt8JGE8/xhOW6lHe2nVnXX
hQN3VFzI5LZ41SYFb/K/RMC/ryKW52LNbwld4PWx2e8vIMufNLZNA4uASna4xv4eyMdq8iPlf+h4
/9dTLH/+01MMKX74oUuH65IvJjkLq6h/Ncq7/16q/OmTuC4zECo2oS1V189P0kS4DpN8GK71+r4q
TqMC/X3/35/iP98WflU/PcUyBPnp52hZEoSkBg3XhnOXVf5Mzg9VSG6/JdP/eKZFkPr7quv3z7S8
kp+eKY16M7OACl9XeLFFzjZUO3QZs7lNnx3m7F8BoH/5efv99ObXzwBWLhO0OrZeRCO/f7o2TMa5
bsUAF+lZEOJtW/dhdJyy5++/v39E1AJv2l9P9/ZZ+VnHb+mf9Bo87kevIWgoFucEMjoqNAxvv034
hIV5GvU0hwHsGLE4mn9oqGlQdN1WKf55oI3f+d+9hs5YEAG1g0mPLuG7u+9v9BoIgH73kcSxrZsG
5m1GexoYJTKaf/8ZsaOqzkelmq5GHRGJL6SK46y0sbR9qfPM+Asxitpyu+ss/OddYUnJACsYE04w
y5C3gcYY3kGlt6tFb0+A/bSPEC8q8JPgDf/cnQxkdj1JhobVbGm+bpJNRSPVXBWW9RWV5JfLDFuw
yIH/sV3VmZDAHWfEZ4O2FuZpZhS+V3Iir1YYZHKC/SxEOUkS1ueS6Si3iXtCGiGPKN/ydVMOk49j
r1y1zKNWKd40DyscYg+ESWejnw7SjE9O0QbHLE6lLxWGR0Rkag61tQW+kNAef3RtltcwP9B3jtIT
sBTW1ciNWDkdVilDeUk5vUtrzA921N0zPlIpdljBsOopvdCdlHOdWB9DzkVfFbbYYoz+mpPklX0O
Y1SjF9l+COzgVBrJ9MAaM0B3EF2FjQ6kNUo+23DWXih7kXggOvJ7K63WdpMiFwXISiiPmxOIqgRi
Yw2qcjDKUT2Zcd5uY2xyq7DurFNt2zcOBPQ7OiEiB6d7pQS1Xxi5sVWd4sa22Edj7QP/rxr44wu6
uFkyUjHUAezkJJWTiDrUxVMdmS99GaKlUXV5bINJQIXJlIkyea5rq75EvHc91Mv4ahLU7CvYMwFa
kIR/iXGkq7SX0nErBEXAaM192U4asZpdGu+BU86Hus/dS4xMtWIW6bDzIpxEDy4u6y/WT6CUeuHK
k4YSSITZfIdHXYzrf06v75MSnZ7+r0+vJSV59Ulf/SeCw+WRP84vYrYWPR9FhObyz7ocUv8WHAo2
FPC2bZsZIQ4xjo4f55f1C/5vTpXvikLd5tD5saDgzOM4439ZgCMYtPy9fA7793f3d70hTiqHmgoP
iGYu85qfb9Smm0yT0aRytk34USnGBdLuVnlqIU7D2etLe9op6FO8JMpuONqoxOOasIsKdeCEoC9N
WsjWrK7LpCPFAIoa3e/E97FyBlQ6zfuQIVJMxtdSra6mDjSsbTknYGj1xigGQkJhurn1NhNZsoaB
dDsidPPMSv+wYGn1tgXfRVdvXBUS0eAEJpKB+kkd7S+iJ0Y/Gcq7jO3sklCI5AfSfqfYM9bd6tno
IODGoiQXjPVuEpacQGx880p2oKvr7bAsg42AEPamyw7R900xQ08wQgM6tTXjjNfy+045+b5fhpOx
LJuhhBT3XZWoJbIQYYRrt9TQQQyuXwpmm30zIbxRO+hKk77pzXxYSSW57pIJ1x3InqxwUq9Tk2+t
bX8GTJdWQezgemjPKYItmjZsFnzrB7fDJz0Vd/Yo5Epk2muSNugE3VojT4J5flP0RytomkOl5u+V
FiU1NoSoUDeYDbgdrMzQbiqJQTuPbHM9TPJejdAO2d20akZyK0bVeM6x/ICXKy4lOvETS/bJU2x3
k9vuRQ/LfZ4W50YgGawjP3XtA5lnz1jml9ZJn/aFBRg1N9Q9whUGUPzcm+/HfQDHYKWmjK94PU8A
PeIDxE4iE/j1rRxBUwhBI7sEjnqfOmnvk70aw8eyj0YWt0RvDVX8KBtsGJs6teB1isFBoT7dqM0s
sSLTrieLs6Iu1bsQOX/A3csxql/IfPGVUduxvL4xE3sfpPNW9h3pBnODrzW8b53swiRiq43awlZn
xoHYpxnKVZSY3d7IoBrbxT18JwgazmOmzJykdbMbu/C+zOdTPcR3ddY9M2XbMUph25xGpWcx0F4w
XuzTB9PHrqjBA5xOVl6oeIwQ2nRd8pkwGOtrXpsyheYGhzSmcC1YsZna6rP5qtXZhg4QaF+XXs1h
cJuZVbmfzDY86YpxF3fDe640m6y5rztoaW7l3oRRsi4B8OYl578lHlU3GYisSrbc+4SY4CwtdP0q
buRr1oVsemzL59qwV3pVrqMyZDejWGQDT8ObG+CSUDPCl635jETiAq+PvOrhWDQKzf6IAMR810vV
WqtBcjeH0WIbearq4RSZ4jGtVLFRtcmvgDd5sVTOgepukyw/d4g7VkAI33tAdRt2CCc3nIYVS8Jj
mvLXoGagTG5x4GR7J+xOEJyP/M15M466fmB2265Q3KaaL2Ic19as5NltpApTw0YeviSxtslN6Lu1
qX7NxANhxX5p3MEf3B6/NC9Bd15xB1wh0lU8AsHWuui8ttV3dVg+TzZaUy3DWI6e4+Ro3a0jqpQB
2ZCyQ9Gf467eD02NxrlH4uQYCA7DPUveGy0H4zLN/ZXZD5FH8g40tNrZu3VJoCmDU0c+JZo8Ubs9
2DkrDYxdt21krOEZXEXAlwkAZappMLDkvSAE9MPI+KohbI577QKorduHE1TgJO53qUZWuavd8iE5
FB1FUFS3lyZgV2czUeu6/hmkyZoQ7NTvG5XGejgqrjgquoqsY1D2xmTs1Bq5GAq/bB52A6AasmZO
eCK2bTrftL1kMkWAua7XCJX4yDoQDLImfQjU/BXB8oXslH1bG5+NwRSusPZCjx77Jr4znebeNLR0
ZVqkiJhkqvXOu1TLvciQpM7MRpkonKY2ByqE8KcRw1WETCye89cx1e/cNESINFGtFhUIFUvdGn3s
52V5QWVyjG3n65/a5Httov3XLc7VWx2XRfP2n53V8rgflQnuVF216akQQ9gG9cdPlYn6C/2ujudh
cTss5cePwsTG7mAI7A6/pYb+qExsEpXRF8JqpUuzYZ38HforxccfGiueAUUHOgxQKwYvg1f+c2WS
1IrU7FmLLpk6G8FVhBThdRQq3DOTTX54XSgDKV1dZb1akTHUO1fhckdepGDzn+3m0Y2M4s51Y3NG
3tkNKIByu31q9E7gYEBxvrEiVAlGrDyOGoOsMZwNaN2a9LTRuiYua9tha+p6Wv50ehvC+Q3jGeDq
8dZqHM5sPrtamsUXbUKfKqS1GXu2LUp9iKyEbgnOGyk+aPuwnL3JqsbzOiDc68hu5FuBGmOaqQVc
y1kUTogAcjDTZufujRBkQT8wes6sW6M3bzP4GGup29+mYDzPTk3N0Yu3Kq/uSl17jRyIC0VQDz6p
YbjPtBl3SOxC0O4LMLSGyU7XPvVO8wys0pdWnp4YKh+7iDIIWyFC22bpWsjvXGVD6XjlLG/7qnwA
f19e6TWCB0T2RG46CBVqVjIcmj2JHWkTe60+cgzmYXrKiRCe7fIZeSK1iYBm0qn159zU00a6kOud
ptulQEVUF2CnbNelbSf+pLgeo/CRtlHzkXfSryT8DqpAEKHUO+Yuzvkvg7DEVe4WjzmsVNtlfWaw
+CjTDyGje6tged62iXHC4LCPyyVUa8mEMe3IC7IigK1rnUJsQF6RGrfkgd0bNX1baNrfrCI/zpN+
W06OSj2ALj/PbRTS/ZIMGo7HPBZeqw4wn4p8m8bKuNKMDmE9MHIixR4Tq0nXljXEoLzijVViNTPJ
VlKGgIpCdXywIv25W+TL9tQ4LSLefSst8iszc1zXsruZ+x7hiB6dc+bni8IG2trUPdRT8h5QTOys
qIYwbKg+yTVPiJye7SD0tFq8pRlOHmrAVaf2t8rkoEKdL6nEiBJrvhtc82EtaNO7U+rK63myEBS5
mZ8zmPbrEdem4cp2r5bTsbX42AkzORWE7DnkI4Cfcp4UGxcymz+KBKIlPKVeFhfybJbZBb/IkX3o
NSoMXOB93a9C2/AVvXoFCI9fQ3vIAMuvrMI+lL11mWIk7rnVcTMhOO+rYp0Fzb2T2O8I9K9qq/vU
guy+ae29QKad9PBLVETowOlhOpoF7wNM0m+p4DLS5hDL+Zh26zK3Lvzw+DuH6LmqwaUJNbtogbiu
TMOvXPmuKIHnABta2RGLhkzPrpfx5CnXo6OdtflTZOGKTSe4Yoqap0eFkTLgVhYkAb2LZ2fZG9na
ctNO6Y1ogmfgvZOnk0ZEOWPsXGc+pXl71Qloj53xMljZGxIqBMA86aDdJGW8TgOkoCga4aBtDUAl
esmUhO3uVUdsE4pbJ/cnma8NjXwNDlrkT9HB7Vr9GIuaIFxWYs1h7AVuxDlHj67pII7cqgUI7Tx1
WU6MWpHhVcV23fhVqrZbzMuMNPKiWJejoV2Pk3FQiGU4R3yxPN5zk0ksk1Gzr3lzWnt8mqs8vK2R
FR0TIzEpCLpyM6RKuhM2XRZDLJtgBQDT6qq32mjXKrqCZjziqScGRr6SEGb6zzX9q9iCm/OvRwin
N/n5n1e04DE/rmjkjTraA2CNDrlZqv7z8ABCu8u1iEUQ2eF3nOOPO9rFrQiGhaudP1QZnv42PXB+
gaPO0BLkhKUj0/5bTEn9P9M9bctkGAHdTKiAJP5IY2HsJ3S1ys2L7NPwqIRZFdyNI5BnepxYbodF
MjYt4rGK7SH23HRv1KylzUViJjmi99kiOxu+K9CSlCzHkQSSFXxl1AWI7x1zgYInUMslucmKm5hX
9gyxaExV38rw1LOq8t3Z+TSTnrXYhNMxCIyZDKooPObjcEzy1FecPlrFWtLdtn3D1Gy0XtMRCHOT
RO5mQOyeqsVuZp06aOFtJXIS8yzQgMR39F6e1bt2Fme3cT8xPt7EunOZK2fPduoO79xWKZpnJXTK
Yx4UxyoCHxYZ8V64w3PKheYoEeMJ8yGM4eIyO45WhtTLO9GEL9g79rpTbhI1eMGj89ZF5PZNPSF9
su0HiGHgxmKgjrrOHr2u0cnbhXusgEOuZK2R2ZWeK3TpGAHCqyoz3uqovbSAB1p+0RhzSDYthoHA
x/KQ2dJm8NDuTBf2PGsTV2g2uinIs3IZnZS6WOv2dJgD5dmpo5tpMICxtcm+C3O6CeR2G3cihHKp
AEoRYEQdip02VC9yQuFV4FUx9Xr2w4lgmrCMPggfrL2pFOY6F9MWSMchZTy8Jcf6nJeGth7aNFrH
df1YBpGx0euvzprUnSUtd8Pck1myaa0xKXwpIzUGCp9LlXYwQGO2vb1d3Tu1g3nTTXeANW5S6Ftw
Lrmlkd4lbWl7ZpgDUFbD6XXKwX+HxjfbbHTyvBMXoMb8YtTlAQPp66jONxULU+ahL0OJp6huoy8A
c/j3BonhvUnOGZMvCVOTy1s0bJoHrC0ufiRhUqqUoZ9o3ccUUdMB6fERwH1MaJALjCcLZiG2mvee
1dJpNE1GvVmHHK5FRpSuhyUjjJ8fM+W0BIeRsUiIWE8anr1qHRtbZcZpsGZqiDigCniwXH7jM8Fl
qziAKpS3iPk44Uk9kBSZGH+j3dSrl5kvw83EBbuVioNHHmUAKGntoOuJ7uE9of/nMTNl0iUJacPs
US2Y2izlHPM2YpDERLiZHo97lBLmyqyK+OA447y1e3MABx23SI+wSap97w8YhRw1vODtooTWxJVO
VQRJ2r0h3w8WfpqcK6uMV5p4GhxzuquFIl9yUq1WWoV/Xme0IIIavSgQzhVxAhK7RbhCDNmuxhzB
pk5IDvEtDp8bjawRO4eRJoauP+NJRMNbwKdRpiupMdRy0Xgg+MXflSJ+0OLmve6UrdAZzPXkkFKB
EGptOgeA+uZBhNCzizIRixumRiGJIAeT8rABxGnRCyDYYGSGVYp6yFfKFJdtO6sfldCekywLfLfh
71LHO9t8BgMnZWpuiwz5aEPs1rYnlRCN9/L+BsQ70LXQxUfbdBjOMd8o4ODdIYG2HQ381Kpi+iIs
jmLSt3EWtJvCxUKRzDVNuet4Y0RboTsd79CMha+RPu7uyc/y7CYyYwPIDqNYvKZH5ieMMkp1G5vy
BYfNtlOau1nC805TUB0R1LVcyKumq0N/6tBo4k7bBmW5s7rmK9SDaG3S4K1Bb/CFpWTSrpwxu8+a
JD25UX8N7rxh7wEEIiuYdoWQXcykfZqsHLpgeewC53MsNIHiJTu0chg3oRi3NlbJfyqEXysE2t6/
rhD2+fQn64WlVf5RIQiTHQIqTPBNmBZ+xzMQzi9MZFWN2/lfUXU/dfGGhVvCtvA58Glalqo/unjz
F9uhRPhXew+07u908cJauvTfNvbQUFlt6MtrIImZXl7/w35Bj9JShL3dnjNpIcMv0ng9FhmCtZtJ
62csZLEbBbO1MaJejUBj9HLYmKLVBKgMbcrpAKdYT4+VE1fTBUSRie3K6QazBtIzWhXZSGYa6VtY
oZATVoaRxg0+1SDptbUSuEX+OtNqGNd217l1vrZJhCLI3jSHZmQMWiXNmz0TRT1jiSC/GmvZWPcI
8Dl+6m3SlO5VVKn/z96ZLLmNZNv2V57dOcrQOoDBnZAE2JPRN5rAGGrQ9z2+/i5ElrJCUcoIS3vT
HFYpJZAE4H78nL3XDrY+MXo01nr9vszxSVhwRso2nwv4OEK/WPbdPhzxfgMhyE5mErc3ioj7Fzkz
jAISVOC/dHo1uEktp4dQxDl6udw7RRJnFqhAwYbqDqyc1WvjNU1kb4vdsT/GmdmfFCAoqwrDfd6D
UlgMqlpdCGyql0mDz24Z4NbcBryQd+zI+PKCzPhqTYm97oKkR2YIaRWAC0EXunZjTXLiDDORIGkx
mOCXJZLJaBps7kIeTxXALDeGLUtKgoI9DFE+PXsNiAK3qdmUngymRClAq9p2oH7RpgKZ+DQhpo/V
Vn2J2W72LTEl25HIzSeNXZfkYBXXbIE6arLS9ty28Vd+0mxb2kKhCgrlZBmB1D3qPZZi+u/BaUxj
H2i+QWIHs6O1bTMmiibbOk0lcqS0zJA9jYjJA8JDvzIBSg6QY+qHNsXLUttRBpMsVFlAlQREQMCi
OZL9wINSimtUh5LLgJXdJ9SKFQ65fE8Vhs6+jnd4VSdaxxLHaWMcfvR6kGysIvV3Qx4ypWGkIB1Z
0+VdGtYgZPMRx37T0F0oRxpFhY+LH7PBtBiMio7GpNreLqkk8YB28hEkmXpQJas48/E9V6IHfKxz
de7OVvJ5nAJwoVYfbf0Qf2YO6ApNXzHeBBUDtK7uS2cMW5bVbvLcGm6a/8/4lrMIMlH94/FtcPkt
0X/+Wz/XVhVuM8NWhYMy+hOThuZ/RrdzPhbTTph6MlSst+GhgP04rCEWEpYuWwhD/lxbkbkzMEGq
8rpS89eNv7O2Gtr7tdWgzcq/Qn/EID6UkKxfO6RI4WS6C2WCAczE6Ky3LFxkfDA1pdgspTPxS9Wi
JgckTlTadyMa7pG0ReKBGYoN1vec9BCcq3f6HCcCEg2j1hwxUvsT5b62gaTuCjJIUuC6PZkkKcYs
MjLSFe/Xc22AipnjS+gCAnEpL0g/j2PTfjfJOenJOyEGJFqMJKCUg/4VlOHaJ35qodXgOcg+bzcR
uSmEDe1rclQAOLgTJmZJo45TSFoRan5v9pCYVSJYxkoP18GkXhLSWVRZfgrkznBNjzZuMUe4VEpC
fieoauBZ9c4Yms61SHwhUnhja5ETB9Gt1xEJw2ypd7piuM6Y3C5qcmPo38gbLP/yXptDZaY5XkbK
CJqRUvNsa8k3NQyK9agalN6g7JjJenegdX8kRTus5Dm6Bj/uMdZR54Lfo4jtICwHhWksEeyO9P4s
J5ZgHsxxOH6f3DdGJe1YxVYtGpJgjs7JLHunvIbpGM2RUvauJGVHbYbrcAglp51oyIxpv5ZJ5FHm
aB5CjK+HIEMDQ2pPRHrPiCOepimBPm2ipcuRjJ8pDZ85gkMHmO3RVswpkjwgnaFbRD5QjUF3E01s
AOocHhTU0OsV8oRacoWCiM/vY0KC3AdGRMAhbgXSpWIOJErr9ntOQpFE67OnX6zP4JxxDjCSYfCg
NAbgO4cb5VnwxHp6M1R43XKL4KVJawGfEYlUzuFIzWgzk54DkxKtQZcyhyixfp/z3HoEp8V9J2Yp
ngOXZJKXFBKYiMw5VKEdbtHGWACYiWnSVQK67BpLbjqHOHH2W3tafsoC+8BOQZwzzmKaWOFJjvLn
MiqRHiVMqtuwgvcFDHpOieo7hsoKwVGlIl+pBEkVBk5owIz7ym+3dVbct1K3zuuMEVbustvYGBvY
ev26sx1d9LMmCuGSJXdPbE/f605F9jusoYWNq2jOucpEfpZHvhUopHxOwort7tYiGquRd+V0arqj
R2jWKNsUGNlZIUxLJVQrMRDztqRsdSPz6jl3q8VQ385JXOqMxRQRm4+Uhh4xM4TusJnyk/OPZqlR
LC2hpkv45GKVyt2PIB6AFKaaObsmeVXj+mUgzqMnIMyMhnabUwEtybC210pmbAOFPLHpNVpMHQGH
WxnJHJJETpExZ5DlYCY5eJJLVnG28uekMhgTkZt2+rfWaMjooEWfa91TSbwZeooIKB2jS1/rr8Y2
Am8cim45NgIs/GtEmtFmarVX/aTZzzjG1cx1YbxSohrP0mZrZGkkXK0thHGPKQ/OYKBXyrrVx4J3
qcyQWZlDRYpF6w+KY2USUIwSKjRWd0sZwXZqxhSemByP7a0tp0pz29uVpO1BxuX73kCf8FRBEOzO
cVNsgAwpS0LLEyfXY92FNk4arzxdCEq/qRGJQNQZdrqetW4lVcPaksTeMIdwRRmtzwfPr2Wew6xs
BFPUSH+KJWEtg66b29OT2Gk5DzPefEo85EB0fPMvhadfkG2oq8aKUvTwZMNy2iJsCAqinvUqVBBg
C1VTASIBfDcWcOpCmwKtkI56Vl1LXrtPrfxLF/aMwLVlP9A3q5WBQI/CwFqgDbtg3BoyYAHbLC5h
nN+IWdjTqHNKL5pKypf+Vlajk1fbBykan5NA/TER38vyb/yIu/Qhk8OVNO3UcQCTTvSp51c38cDS
I8PagzIzMMwPzKMcJ/LKHvJ5RIY9RKsATw6CDLkJyIeanoQZTyuQZwQdQRBB4E0LyDSIHx7a4ySP
e9tgzsCvUJBSSg+hzmlpawwwloVerEw7xFNSjbxLnnQHF2Iy/Ee1QgxD/K63wllDCm1s91yceYkd
2xtgVvicBo75Wh/6y94a8nM6FL1j5v2hsBp1YVn4+33FPId9dmQOmC4HfJ82WQN1Wm/8trkIux8d
5HW3YyKVzpQShUwcPXOCqL332rZetX32mJNaEkkxn7GdnmD6BC5vnc4zQJ4K4nJpWcE/r237ngXa
lYvkgFwfNpavbbD+3JcdwozQHJa4NWcq0lVnFTe2kb+EbHQkH8gnXW72usF712W6t/YmpULnXm39
Oe5ybOjDIOaKFqi7t7YxQtP0cUOgjV/XhNssQ70+w428ohJxCZp9QAi6wToAi61VeQBbfYAllnYE
Rc05kLFnriWfPyWpMl+JuFtnkqSshcqsteEHXdZBcpbpiUEObXZthuGqFPbOrIf7BK2LM+ZsgixZ
LhweHwuDsk8yW5C/A4Go4k3b+4p6JRSGdVKNULHJ5HQ7qeRDd0RXL0at9EhT0ba6Hl4FbfQgQVtx
SbjBWRWCd8XHtJlSAl1g9l2pVTdxctHSlciHr1nuP2pGeQba9nXSta+DkN2iFk957D+RKy1WDbZ1
Ly2eZFJ6NL267S11r0USPjaY83IS7NWqv/hpAhVL/W6jp8RHfj0pJuSKRsaDNC/i9GlY64PlPw2N
P8puqtS/bmigmmwu/29xqV4u1W/kCTp/+Wf1jTyBJqc+S75tE/cCdfSfwkn5X0AbZJvRhgq2+q3w
2/gXhg1kjMBQfvZDfnY20IQLVdA01JBHk8/yt0iNdEh+6WtAskOdqVoIHWYZ+az4fKtO0AJF6sme
0k9B+mWqT8Pw/OZnQZEz+nn2Nn5Ff9U3vO2c8CXQZKoQ3i3iwQyT2c/bK7RerTeeMbSndjIcVS1+
jIV+Sshi5Yz5o6kUWoBVuEp1rVwpUraFiLCpyshpTQ7vQhL5OofXkpkV8k35LmpZn+rim5QQ2Kra
pGyzs2DU6hcT77bSEbkBw6Ep8dulNbrMAeKTz4/IbJQS29XycWL2LxvbIai9H70hc8hOAwHPITRX
vLjJt1Kd05/Aajl6jRi8kn3pKUo4Ldix/rUNhtRtFNNf6lAb9gxIXvHUZ7MwJSexqie78jVHUWcI
r673V9GAjFpT88ZV8NkuxiojRib8EqvqAS0+HYh0PPQMlTesPxuICxM9kvLOMxI0deGRjC2iNZEc
SXJPm0gffiACPTcD3fk6nSa31a2Vz8zeZOuV0C5pxJLEsrTJinbX4F9lPjVeD7G1o0ymipwqMm7i
XWmaF0+hXd6Y0canK93G4aWpPSjApj63mDfoxc/SxF/P+lXgqc917DPaNelbGAc9o7iq1O6YMNAV
qYaGkSHZWOIj1e2HKJwIkIyTK6I5Y45ssDxD0F6l2uALina6pN81CVpQdaJRr03oArUsXwY1Z6/W
CrcjbkGaFFgDvUiscX/Ssp0TYnQGXOTkcC+YJmWciwgf22FpWdp696jnlA2BcRI15r5mYr9AI5F6
wDW8dG3q3ZHW8TYfe4rTCPASgrnU7jdgxA+BmtwKhQiJJkoeYTE9KJ75KLzWzSuxsyYDKWb1RegN
RVhjryWtfs758si+KCfH6VuM9mZEolF5xkqLh0PRRxYtfL9Y6CPlRWMRxq6bqDeE+YW3wI3C6Nn3
QHkNdRO5Utvy2JQ/2HQ21oz51IovbSU/S5J8W5uMwmMv4nRrL2UjeZli7zomPX0RjP4hjqoYEiQc
Il0y7wL2tRIe3NIPOajKafpiK+QaSQVKWQvDLW1wDMphKDgSFoCNDHEb2fpTW9RsTipyiaSY356I
KkqJ9lILeUstSWE3wHfPQ6KbwWI60454/djjGUoJrXbspICkppOi1tfi5BNI54SGeKDVgKyn9KyX
ym6AdBElSGZxIYCapFXnwXodJY9c+bALT0MV0nYqBEUXPwU1feEvkUrFszI2WMEyRt7QSrLTTHq9
yBqPpB0OBRCKWnlPLb2wglHF21HtgdufqbFqEuiRqCoao1ZFLesNnY3IIen4IGjcLuq4yNbKZEB2
mWxnGmj1t3pSOHlT5iobdHI2EzlBDiHViFr4xp5HbuY0PlSedjHjcsP6doxgmy1tBZkIFdXBi6lB
SKc2gDsbA4KPPL3N55EwdY+XPLZxdtN3BNyrqjjrEO9ZWZaQ4phSKi3Dm2xvlhxoUM7z389h9/i0
i3lYko87H88u4dXzvA8pU3NIImkdGMFRTuTHGA2WBhKgt6E1Z0P8hQrSWNQk1iMsF3ulkUFl6qH5
UvSkCE4TGdELvezTu1hJexfP5Voz0VRRq1PbW1OMVT+sjpMVnzS12MR2fa2UyNUTXJokMnHq7Y0V
S95WRW/m+JqotsnY3QupuMOus8Qc0iarumoDh5zCFKs1kTe9LPIv2ezM5vT/A0wNwJyWIx+XY+JT
CP2ca0kF+DI28W9GAYWaTgOEpT949EquoLbJXQarh9arbO/asYp2gHhOGeE0xJNq1raNVdokuXnH
eA90nh7BUk1VdNWj7nmuEZd3wiMuPTOmOQYINmgL8sRACbcw+8FtaJGuCxmuWD6WOWo5EAJVZ7RP
Fam07kBOHVxGmkLsSkEDcizjFveFqyEvWo1p/iw6hOWIplBJO209H47NXVyO93IQOV1IkHleBPdt
ot5ZFNT7YRw6jqiI23MvIVGihZhTyPIzDTZYpYNePrUCbG+Ro24hfja+McMWdpGnPakz/NtTjcG1
WmRmUSt/lo6GhOLN9o8ykTAHMed82iYRHuCdft2c1TQV5FVG2anhBEKY4hb513Vf1e7HVcCrO/M/
RcDP66D9gD6t8dq/LwIac6IlHmSnNEmOtVDvWZWurDT9wnJZgQOwuQFjsumGwk2seFOrAQRXzjhq
tmelOhhghSJUc4HX3ohSdjTaaa3NkNP36P4JEqx4BfTJOgnZp1z7s677TQHz21+I0CFT0TmmiNc4
0jdWTSNt87Cx4+zUpxy3xjs5SpdBfvj4IvY7Qyjzf3qwpNPNzVRIHOa7+1C3MdCJmMFw4Qc16nB9
q+UsDLKHjTvqOsPxpO6JQW5+ndk8g7a87a1eX+QjlKfZWDJFKb7eqb1GgGHfZuxKbQ6WToZ/gT2F
rVwFIG3k/ilEyDB4TEB7lfdGpIRo0MeabgwlucQAY+lBhuupR0dWK8IJoCo4caN9lSrVNQZC8ViV
APHpHE7zUltHhD0QMlFQ2gRiW07qd8Qel4HZVjtjuQczOY6T2cE3GKWNrPTRUQ7I0JiGNuDoSv8r
sCNzpYT+g9cq6V3ZG+wfin8w0sJwa/SIG0GyZZezxSmM08eIeIFCVs8og4jpJnqa9T45ePKlpW1D
u4x18dmS6NaYvbIZI/05oRPrZFgfFoUgmE2SibSk9Bh4zVZAH/LVIKUb8jNgICrDDi3iJSZU9iv5
dGsZkCo8/eCo5qQ4a3Xphlpto3wdblIhkpPdKgtFTMMebcnx48dB+e3zwAtp8TigSUKK/Ot76WlS
nvFnzYmcqotm1+lqKrrkJCRs86ynX/yaXm6G/1ERMHZDEiZYUY/8KsAdUPFvkOceoWUt+kk9Grn1
pOlZ4NZ4Mty2laFNGyoiW4gZC6CTliPnOjGwbOorKNLEFFYS9QgLkZzmGaGs5a2fhswZgxoZbU93
vuH0mxXgktPpa5WLi60Sz9QpNG+rVL0X6kjtPPo4JxWOt3C+KoOOe9WLp8gSGB7Vb8IcZvwFywAK
GJENd54dHUwEN2WuQXRD3gFPoR3VW6MjbSMKbmmG3qSmvRZj82RBoYT4zoGduSm1YNk5ddt3S8tg
ssipGJMHIGAiSi4Sz8SysLVnRZOelAAAXdmQu0Z8NgF2aGGlIXcUvVrLcrQlU9hRcS6xG630uJGX
ltXvzSriJ0GTpeBsB/x+p/XFybaGbZ2PF61HUaFVl8wUs2HpGOMJZe57hux0MDPh9rkOjjjEUpKZ
S9UOr2l6xdvRmmgojo5IIFIVFDSEKXIu4WXsJPu6L5sfkKw8eu5wv9rIZToXLzG6rlQwvooiDqJG
Z6HRZ7RwQjrACWiTUqHGbXCQFPDoSv+Y583Cl8IrI9Bhk+euGkv7lF0c1cvGUhJ8nEgu4bSj0ob6
PcNDEq93CeR0oHEheqabukpiac2Yej+RMkP3CqecQgReDV6MsaDiRjDYDIJ2QIxu/KzZ08k8ZJZB
1dsk0jkp+mIzJuZO9wlgeXXC0XVdaAVq5F4G5VL0R9rvV5ij0LSnTt6aGY6qK2E4Jvj33jqBAhJo
mPSNZ3aPhUyfLJWPwoDOMnj6IQp6ZHKeR5ywSiRRbeAoMiMvW9MKXxXUDRvcMvWKZL5N1VGFmPls
evdw13uV8snW9ruV+82b+jrcerM/qIE9RnYRt1DzUP7UR8jVy6FLiQY9x9VR4cTy8drwq9GRnZSd
4u313u2kKrFSnC5YGfL8O2S1brgBW5j5T72++fhCaCjf1QZcCWW9rppYJ0xGgb+uQX3ddDgEO9T6
CmFPcHvqGTJ8Z8DL2wa5xDM3dHtS6MEHKrJytGbJnohy0p9mhmnPv4uIXvrBcPF6yDRae1r7QPzy
OZfN24TyjVMPiCN1xpwOq6zx3bQJv2QAMCTEFjd+C7jVCAKEwUa7N4DCUVg4owLPjxJvnTWa+Wir
9m0xYXpCEtVqzTbU1D1BXlujsM997O8rtm1TivexmvEySQspQJBUKI9pUTlh4m37QsEBB96pMdIL
TVxjmfT+c4lB8VH1kTKpteZ/8qv+2m/54/a9/VGZxb7thsRCz8LKs4aTNXwJppfR+iMR+S9RD5/9
++82DllKqJH9eDyF1i08xUWp3X/yWHz8VIh3z18q0liOCds5GepViKWCn0kOxj+6in/5LeZf4Zdy
8fXRY/RMSaoYlnj36A1m3QPK51sQxqQ2X5s+pSa5Dwfzk7uh/vqMz7ZhpDwmMcQ0vyhNZ83y29sx
RmFGv79QT5QxX9nUVneJ660kp1uEy8dFtnjcimV3eLkJl8HD4FwSZ3zhja43n8VbqnOf7f03fvNa
v37QN8uIDb0AgQnLSON2K3kpO8Ntu0Yj59qOTbKBq6z5nV1lCYRyETj2qugc/ZR9/eTe/u5TvH06
36mcEq9OLBUg4ulp2KoOwxXXvjIX55qU1NX60VgemMet7VPgDpvs1tjcAahfDxvWvcW0RsxYr2id
reyVdGg32bo+Bwsgh/7qgWT2Ezn2a2Nrbxlabar71L39+KPPsdT/9QO+/ejvKmhJrcOkkEKeywVx
Z279vXCLO2UFgWDFgGUVOpmb7vL11deD027hvA/LaAf7YEee2JLNx2FY/M1bPnz8qWZb2kef6lVW
9ua2gkDqKlPwqYKtvQiW0yZde3cERYF1JW5g4S3QGC9IoD+VG/ULjTTn4+vPj+/7p0qg6/j5Hr1b
bVhqJAbr43CSp9wx+34/STH5DqDtPr7OvKp8dJ13q44VEg3YTcl4oqbG9fVVHja9eME7XsoE3BXu
x1f7/a3+81u9P0xKpLcwLYnaU8AsfvRuCv/6/+8C7wQp2gAYV8DQPsXGXo3oA9rm6uMrfHJjzPlF
fPNcSGlhZebIi5YDOcPRVqhPE/mAH1/ks9/p3eJWK5jVOhKFT8N8V5Df2kO0/PgSn32Pdw9Ym091
m9XpeOq7YRkK1JHDckqvPr7IJ0+X+W5VEp4vjTTn2A0YyOo26sqkOWtau8SUhoxfPXV4yT6+5G+/
lwFyB6aEhj/l3SUtzHZeETbtSSdegnG1FtDkW398jd/enjfXePfSYCeopTLQh5MR6fTvr9P0k67C
Zxd4tyROcTowoy27k8yiTTM61pJPfqbX/fGjF//dcxyEDH28hOeYs8ECUvCu28RHjgjLHeJGxz+j
a91//Ku98+r8rKD+fPvF/K3fvDoK/T90tQF71BON4YxVFWDOghjMi3KYtt3iakJmztZtOCTSLKxr
aXHTOPOufvVcXmk7Tu3AjJ2xWWwIolx/9vF+u5G/XXLfPzlh1cuKx0unnOeNXFrU60TfZspyEa/1
1WO22DG43v+QXzicVffjHhjmJ6uXOi9PH92Ud/e9k2oRlPZILbHqVtMKkb4qFvY+Wd3A9j5o63b1
rLreIqNj61brYg3m75MV+rOPYM774pubBJVRQv5RNCdpny9I8pkW0Td8Aitz334fNoWTHhjVr6Uf
/rO2HNbx2V9F3z95Tn6/9f75nJjvnpO401Kd7DgUwe7gwoxahHNVt42Xd9122G7JJ1qgXUoXj7KL
p9Mt1uYVKIZV6wRbkia//Dth+i9L2tnj9t935T+vu/HuJ7EkEpM4Kren0tHXYi2S1eBO7nQI98ri
q7/13HhpbYsNTb3DsDTvHSJYuEXNOnZvQ7KwSWZ0Xn+hf3Btc7fszxbv6sKg/jtmomY8XdLv//s/
ZzoyPg/TH//f9tv//s8fOtv5b/05szehP2toMGmP68or/fnnzB43AoN6wm3p1RqGPnfMf/oVtX+x
UcxoaPp2IATmA/V/ZvaaJWilo4B/jV78e26Ed8Uu3U3sDvz7uCJsZuuK9e4QVgplDHtT9o6VraCD
mpIYW1hre3tpKOV9ZtaIriR5bJkNBbvQG58BG7IsmtFXrTOUldQTgYA3O0E6U2o0v+SiLJyBASXm
bBHkD37ViXEJlK6mTRSgQpNQvanYc2h36YkXfkd27mEPy4zZdoNpLUM6mgGDg9wWRqXTJLU6H1v0
zi2ryBa70SSu1Ya0Xs8yPbDuBfV2REd5MVTVD8nykfDHNNjBIXeLQLW/0VgiGntM0NpoxAIknY/U
dSTjNaj8XdIq4H7yfc38fpr6a0WbGBfYG9qmB53kHbou2yH0JjSWTJ0mRTKWed21KxX2J6w1RsuF
dBXR3bgpPGvfEI68FL6VQWyrlUNWw1FVpT52RhFFi6qQopVZtuehqc9STLOg92fxmw6pCWKSE/i4
Whaw96ViGWpj9SPWmtswkW9loaR0RZMmu5JKcmM1nQzxsnDR8wRPxActTTLYPObux07Hb67lGPdq
ON9qAWhIzRklk85tj1p6KwmjdwtrpvDSYic7Jl1nJV+3IAJzQGS78IBRrVQlC84dIWebEIYVbr7a
bQYJvRzaARtTfy2PdMBtJnqFSsxGKB2VSYMph5BibAv9vsYSgdk8nAcxlksWBxTpAlFZOwEHYjD5
bHjtPFuVyLFYZDSYlzVzuU9qov+qu3jh6GsLpCiM9qz356VIDnqZEWR0UhkUuFrSq5dgnLPq8Jr/
u5P2z/qnUnP89fp3+t5dvl1+s/7xt36uf8DeWPu4A7qqQsefl8af6x9mAixQssCoBV/51Uzwc/3D
r60KJlgC4Nts8qYu+bn+oYGSDdqIMw3uFZn/N1iV6Jx+2Urp2tCONOfeDbQ5Lvi+OvfasCCnORzP
YXaljSapKvDGFkNj3w+T2i/kUUX4pmYHLEQ3ULJfxiKRlqY0kfYYINcbSV1cmI29q+OZXKTlSD3F
ix3Ex6S1H5iY35PG+KNtfbeUxOzsMp95EwrivQTZ4P20ltX0gCqpJ82jYzGbNKBTyA4xbuooCuMH
4YuJnj7eScUrmf97CbFYxhOCkQd/nF4kj7WGhJEN/O/7OGyuKlunX+fNEZrWLUeo+zwf/BNifwK/
umJBsO1esaIWSgmosSHnO0/IjLUFGMpta9EjEuTyEUvnZoH0SIDb0ibuhvy7U2L57qQTHgoUBPxv
VrNo9e0qCku3tGZtKYsHu9233A7PdawIZkLleDuhdgo7Us2Vol5O5QDhI9JAKQudBMOM2ZAtGc/p
FKtwJz3TGTBAAbsKScfrcWRIg7ceTNDPVt+tEh2RvA2o3OrtCRdWeytG0iWnynggW6CMUa1U+q1t
tn7DaI1MxllggrT/Xul7UsLhp5TsMGVDChuEvo7QvdGPmOQFfqKv8ITB1ezCgyUw0NbjWk6GzdR3
gqE82wXu4DWEOBba2WvvGcq9bhbdMjX17wUO/ERmmtc105cJLRegGx4cxsv3TZZ9CZPviHp2pZ6g
gdXr7di2+6Ey2SWibJOrsuQEcTHLPLqjLZOZF4/aPgjkx1EXu7QgaiA1xkupGOW9ntY3fqrfKJBO
+qLfMj1cD1HEGm14+DBCb8MQL1/6pbYf21hZ2FJhbkdpxHyVWg9SV1kLUUpub6tkEHaE4oWkEnj9
drKZ/8l5gdnXzyDpSM0S3M06DAH6g2fF7uq5WssMFR/ZoqrahylJHhND/UHKHbOJqHwC/3nIvPge
BdOzn1ZXpISFy6GxNnE2PdXVrI/Ogw1burlMgJ9lQ7NLW5OnOZqeOuwPaN0vzRg6TLP3dsS8LSye
MdI0K0+DQBbLBKIl1RxsXN0HtdEtihYdj2zSjCfWtJgA8DXmcwkRZAGn9AgZ4AYO2FrWvEdllIa1
PI7LtG2/kJ15oya5ayrZWdON81DINLXFpB4ii3T0UmQHTMInVfPdOPsWz96IDjVVPWd9hj3hnomu
rHJjvAqFgcWB5Fu7byH0mTUNF8yTnlAvqUeYoSHHzVImnZUJOJbrbrwTE4boIU/wnVTmHaimvVXK
z5MVHBN7uNagnJNaROhqSbUy+29snDvCLLdEofIAencJsjvHi1SoDkjAw0654zF+MhuQCIpHjnAo
rmtb+2ZPI+ZAqb/KPWKI01ohOcFXyQrwkJ0kIsCtgUqS8mhIwOfaNzEAHnRgRbn1ukB2cN8DTRL2
y+A1lzgprzyFMb1nGt6q7mUPyVVpk/hj7Aur1q8mzUK7lgfZtUf5c1tkCoGxGjaImMDSPD9ok/+i
ZMquTdpxk3q25DSxegogSC/qglhlSoPMBb3znZzgCY1mEIMBIiggbUiDLdD+L7D44mMxyEHw9OqA
BhkDk0JkMKz5oLmpfAzdcq9txaSfOCTu85RvGcblishteWFMkr4afU6DQdouYR+v/jnyvKqVFRov
f73l779X2X9v+PPf+bnhKyY0aaEwGzIx4tHwerPhy5BaESfPOmGhvYbM/dzw8Vi/xtPQJOOcbc4J
NT83fB37ta2QTm8AeEU+87dEyq/t0P90NOYxDaR8hSwcdM8Eyr9vJ5hK4ZPzNSGHqE38KaBbfQSA
akJhrtuAHawLnJ/eLQtcIco4RTr2tNpqiS82IaY8hyoxx+fAy9tyi92LqhbIay87hWS05lVB6Ed/
RbfiVGhxeCeR7EKvXptMN6qnGnxyEH3RcDNdjxmokAJ1geL4KH9RMmazD1zVp8BtXi2t5ayR2eqe
lEbIgBszqZ9RF0eIGYZkUok41VpRhzUHpyFUdmnaT/mtP4FZJq+GlcJpcr9a25ovr0KTLNWha8Sq
yvtoLcVj6fRAxYAzCMXph5IqJBbVw9QFrYJqbxSTo9UtqotRtVl3khaK2bEwPYkIUL2QyIQuJnFs
R7abVaHm4jYUAtQrqcSErmZjvVaKIG5u6RFWtsNOn5wHjoLqujT536Nf509Tr+PUKEofASoKmtzc
EgCvyf90Jf7t4/2wK3HbXDI815e2/u8XVX/TmaAyp4sAeIJSm5dxfuXeVOY6f6QSLKHNQGXK758v
qvUvmSmnSsMA/6d4/aOfLyq0Q40yflafsTRTv/8dLy/QhfelOTQTmY9AB0S3iALko//S+CPiI66G
JD+32C+nI7F1RnRSdHl+uJs0uTKJFSE/LzFgsZVX7RwbSRa7U6kp2UmUWwCUD6VaPYN/2yV1dhOm
BCJKZBxpkXekIXMkjpg0RrNf+xqB3FUdHwK5f8S//90OAQHkJAP1y1jk14Y/uUpKIkyAfKtFFcWL
yrE4wZjeoAUYOFesKq3LlBcVLhjoWz9x0eJb8NtMrQp3hMU0kIEUCWmp3AGVB3aqRczsgNzhTEAC
aoZmyvth70SCsPVOIxwqXHhpH3Fut/1AP1RRWD9HvYdRlm6k6nZtFwHfa6O9WWcCTLVt1Di6kEet
ILJUEbWX2U1OWfly6aQQq/xF0g8vrUgJ1yNWySwMALBBv7Y6WNNFKC6Fl3srsy+H68hKekq+HH+/
TJVWk9BJfqFTTpQ8AT7m3APNLHsPUjVtG1O66TCMZV0PYzVbUT4eht4423R9FlYhllWi4sgNL4WU
75PWlBZ50x4R6cDGkYqNNTNd6DzddK205RzvZF55svzih6pB/ZH6DbjbHZ7kje+VByD1p1QdTm1e
vchjfWODJFAjcY+HFNieufEU/ywgLy/KpLhNimlhZsDn4MD0Rn1TNZxRhn4bCf0xNcWC89HFtmrE
wD3lQaqpTmT/yID/6ok4aX3rYAldk24FI6k+emF9RanyTJQv5jZrVUgKWOjgNOXp2RpJGjamU1br
m3pQH6c+PxI/vdCh/nIv8VDiEQ2CU/R/7J3ZctxWsnZf5bwAFBszcPkXUHMV50HkDUIchHme8fRn
berILcluORz/rW8c0W2TRbJQQO7ML9eiUGt197jo5qbvukNiYgS2xLNmJhsn7s6V3r2EJUFz+daH
NjvoDb2VXN061nQiONbRxREXvRb5c51cNJZ2Da/Y6xbl3oz0fZbId5gUYpXm+5ZIFYNUcPz1u2u0
7Mtljyyh38NdgL+rbILKPOmGs9H6nG3ggQXaWT2NxvQy8EOg3oauWainYAAXZZMTiLpTaEO5i6fj
OEX7soWM68zNe2NrJIamm4ZachWEg3ltm802tsbowgqM82xq+WWT0RPMKSYlcKyUniGU9ytzqi+F
ZZ5GlUuqd419NrQKKp2x8qvWfZtDxswTDq5cP2GLup5qHl4TJMEhy2yfxNpzl8xcfrrlVxVHxHqY
oS4GgE2y84iqcgNb4y5lP19XdHuVGvjdSF7GMEnhd9HLtz0lYtkHK3qx1iL1HBjGjdHggVSMnIpz
4h2HjnWVVMq2NeC4swO445GmeEoLprOe1HOX9NsU/qTJAo1gO3vN1cG7pRHCc/v2CkjV7BVGe4RV
yPRqbo+Si0oO8qTXksQ0rnOrvqg09Atjnb9WRs6bsSi+tOv4SQBcLO6sazNz9mWX6Dy3wUQVWC9o
z01YVzm/l4KuqAbnhBWI6sTSAQvineLlWvm5sw0aE1o+IK1bLnpVP09p/GbpeEMVR9sFFWXyFEc8
sJPhxiq0h46uqmIS6FP6bJPNRcX6+nhm/jCvBoM7QK4QWXQrMHBaHeCaBym6Sfr5VNbquMLQd5mm
9f1goW6LoukutPDPRrQCC3mSdNJL3LwY32pwLnqT4O7NC8+NOYsYpjKeFsKmx8i0Uu/f8vyjPJe2
lf9enksFgx+/h3+BSJJf+EeNbn1CBAPs8JvQWbbXvj/6Kd/phjmkmKDffevXfX/0658on1lA/EHO
8P3Rr30ydYNHOCRk25EVwz959FM1/PLoZ8NRZ4lQriWS/7bFLwO3OEkiFmw7/YzhHT4XSxgdmdXe
MlNwM/lY0TsbFruBcicqbfLJMS63PY8v1gKAxPeJ/SWNCk/vGCOL+jmxM1W9oqGEKjL5EIO00hEC
AZDtVl2KQ2rpEAEogk5EbUWjrFxpGckDPTiksyWI76Vpot7GNj0AYoFL1r66RWiN50avGvMad8N2
ACT8zkk49ssi7nEaGE4P3zfBr+uCahpuunru9gYLIqQalyhd1oGcqiyGTQ/BriNx1OTUpanrxPWK
AstzNLnkneumW7OsER/NbobqGywVQHQ3cCn/QDuwjhPQRYRlvaC6j/ordC1f5rl4ttPwlUddvkb6
k3tsOb1XXf5uuaXa4cCpjTdMd54jCk+rw3FfLMLcdCwsP480HFeDJuJYStlUz3FH5NjA6x9VfI1s
Lo7B6wS2YNfqBZwlVIUnoNSSEdHYF8w2pv1SVfXWkOZfFpNZskpJsaKeg9TUwEN3h4Ddp7byLVrx
7dgGvtPlR6d3WSwIGpuHhrnsU4NhTUyKHDZvtKXOy1cNMJGVDsuP8QtzB7tIfSQw77CPFUqYZYeK
51JnsrSdg5GcEEGYVRjgnWyN6bMRGYGfjgvLAxZwOtWdVn3HllXUjOjwuKEK7lvIJiWImJUKOiiV
dolYO71luqXfFJZVvCfCaOCUxMUjsreGmUf9ViAQ/ZZI+HeOID/hv79rrWgsfGne4uKvbl189R+3
LoNTBgcCjPTfziY/3bo4MDAYRW7/f+vR329d5idHsKBEMNP+ftb5fuvSPzk2TQcONZY8vfzDW5f2
82zeZBRHm5/eh4k6hm1g8cs81Z1MBSIYGGslhetgDpjfHLDae2uY6+eh0SH9d3XXQEpBb2d7dMuI
ugdj3Sb3c5LSEF+sQVwUjWb4RV2F4CssWwzX0+iwJ9DTYUddGnJm7/F4ZgOHInK5jqNPvm7J3jTG
pXrZC8H2cLvtQBhGtw5cC6ADaKp5JKPEg2SzJHd5mQ33Bt04zctSMd9GKiSXlcadd1NVGQNJBq+7
OSKun9HZeChA8vRszXTDQ0V7cmIoWC1IGgvWmymL6sJL9cq50tOhetLzOnlSzMrccXMHuKYOWXBp
CzV0VhmGVhyZTBu8PAAjgXTWCjy31PaIKHMv15P+LBQ7v7CtYrjJaRusGxb0DBCNxbDrFQy3fVY7
z1qRTwuzCbdcVgNdXzL5DpAbpOSZfaOoDqiepcvjXdbYy2uuKbofhcbcFt4sapMFpN41kypYGXqf
lntn0Lut2fCGtDA4lOGpi2FBA94j5m8kag+EL/mG5EPgIAF986gvi7tzQ4f/bK6acGuLbrlum4H2
jlu01y7NpU2C0YtxLoPiOx5ZF66OSAxEv+wTFUo4iHXYyo5/+NFLij76Sih4k6eUiffd5NI3hU7d
I7PHQxlnO6EXnU0FVwXJvlabZIJjGxvjuzU64bvLVt4WZHawyeKorBk0kYpvlRahp9LYPny+9jM8
3aq5rBXW/+hHr/6tt761Q3975zrGRfgXbRb1xxuW+8lg5YG+p2ppf+qHkhMX/3ffkZuO3+9X1ifZ
9+CmBDLN+uh5/tEOlTRKejM2nGvTBkvzj/IfH9uAP7dDKbIcbo7CIFTyQYj7sckC5qqb08o2L6IF
1Ni9xpma+ryYc9WPIqUHMp+0WnxunVT/XKHvrrdizK4FfB1X6FnuN/FEIdERIGGXz7Fa7CplQ1DM
HnS5udfSvGzb4DAyf4eYnJVLel3m6WM15jeWGj1D4+08IioX0FNr3yhMdN9QhICqRi/s+VgrTRQa
+0lMA2ahMFTqt3i2mYpp6eyPesttK/gMQLGKjqVIltnPojycHtKsZEM87pftYDJUKP2I72p5ZY+G
5Wwos8WdLdnFbJ1vmKiOa9HBuglglb0wk3oOhwTovpUHTC2LTTtBjynzZFcnyo7nPjzepngRnGWA
SAY6W4D5fRwqr9q5KuYzsCR/0vEruNmCBTgL7tTauc7ZMHNhVyXLtdpZ9+PQPrLfvgZbVLvfFv7+
LSFkMPC/lxDn9+b1/e3PDU/5Vd9LBxlFkCce6oaPIcMPpx4ZRaDjyQjZBQP/kdL6/lFknEH+gBGE
y06zy+jgP5MJ6xPYFKoKElRoHuSo4x9kEeie/nLqAY1F4MH4yDZotGV/ifXpijaqKCbTS1UYXXNw
u7gSXjzkhvLolKktmwYIRzxka/W1aqd+rwENavIdEURkVNui+JCIQ35zHqKZQUEVD3ecvZqjoIsK
gQ53K7oDaOAzm1pe3gaXODTZ1U7ybldpMLJiPpVlOl9OSjYAydK+BLbGfkOTHivBINiaIlbfmodJ
AfBpllBDnOlhEeObxci10ku+AQzUXTiZtCedcme07jUFxtehxNKWJzmOClVY62rs0vsgzK9AsNLC
FDMUuEm9dMrgesyBp1ozRGViDxjBGmc3WKDV8nTcMV59MqppWo3l3K/pfmYsPrCw6ZpGsqv0PFu7
je3gyQisdV5Hn3sOjX5hVuk2lJ2TRYoadKls6D/sDaMUOUBuCcWq/vA7cPqbKamQPjB/r9apFEG0
UgkBzT+8sTs0EZYURpRSHcFNwbyMoWR6oYpYYsYwAdRRu4qkdKKQ+gmrtrstcvN2E33YKWh7QJLG
WBEwqN4VUmIBKp11cym26D4cF4nUXQQ8xY9O1UgKgTu3IT9DUccHw1Ysde9igks3GsNd/N6p+qLW
uuH3tKDtOknOEVNs6NOJ30kDHWxxKZzeCDO/NmBsj940l9RtTfqelf1jTbu7FCL0cxrgWZemHvM3
QoDKGdkcFxLNcrNCPhgVh4omuqakp2QkMlDTXtdln72TDXca71poX1CN9R2IfDu9MpMZGZmuDzq8
eDNKljNPwGIlgBinFfdVQGbBPp2jfZ9LfklQFvTPNWedL+HrMo3chgX7LJUb5JsS5PjKdAsYXY35
yhZ4szINkXoE1Vpfj6Z1r3a+nc/34dRNcHcKk9E4mIt5ZsEb68FFZ405k3qz3OFhiFeCW+4U818C
pF9Fqru25yoiX2AW1LgumdnFGFDPx4StJ4H9kbFe2phk2qq0PQjgY1Y8wb0zM42VP47xAg2hJX2E
AWLCUT62XOkqJBtjr2qCIK40GfLgZZsJuWEehG+Y+jISQplH/5JGoxQhSiPiPGhrVeBI7KUtsaS4
YxyIQdHh0hfSqViIpkPkgAIPHAscynEVJ3aZHgopX/y3kPtWyP02ynYq2//5f4R5s/e/Kud+yLPJ
8TbwCSJrgBz+RBdHy+WYALpk40x21b4/RIxPjqYT83Woihhr/Zjn1T4m3xaPJQ1Gl6n+o9YZJeMP
yXDSvMzJybTxULLZ9CfY9vPMLHFscPyFm1wQHFlM5JnR1qgff3iwXn0rDn/kcAHN/YtXQe4Mp4YH
BelkGar7IZJfB2hLzIVpXFcmceaX9JG42puZEKoO8zXRkQWWs6aebBmF7WUoNluC44Ce40ZU0XUW
O1uoi/FpFAK3iEqoVnX6bAWJi31FErcjT7Z+iPAAEk3t1ZMgmQvZ9FyT1J2QWzK0P4iEDHAuw7yJ
qN2NLQO+Qc/CP42jN3WKaE3LGHACpxLuf/81lhFhZmWkhZuP5HDA108yTIxANLAOo7KwUTdONkNC
zk2JPEGRWOUwlXYFymrNeAjkKcvOTP1ZyxXYGnQCtrFII+gWfc2hGQRMysq8Ovuzw5kaJJY8rMER
4uA26CBF5nZGBSDPdMwMI0xdeqU7D4tWW34G02fbKAsdKrUcp6X2eCoJUlK9mXdzsBI0Fi6dWlPO
fP/Kl+mtlN2IY8nD2MFG4Fs9zg445JnPYzDe6ZmRHnow384Vr9fqz+Yc2gwkZjRo8MT1m5Jh4XQV
qQkdhHB2j25j2YcBdcITPQ7jEa8iwYiMxqrRFb2xpwIxCTNr5rgwtRuwnjD3cIkXEh60iAWsFWgQ
mB0xoGU9m/d1yPb0oJkDdIveXnf8zQmJLe2XFhHNNAOcnCdHI/IEw1bDVUuUhLIfltbNMuCEEIBH
aVa6N+FsqlC1CB46M0TJsspB0qeGP5RkjOv4EX/YcOKtG3wLwOa66TgvtGQ/eJRP8cFaoAnZKDW2
0ARUr3B5KrTgYHju1u3W0ofdaBQEpCatvYY9AjVVyc9xkZ2HpmXLs4mvjdLcO1HP6qeV7cqYvmOo
iyvcmreQjIb7cJicryWcpDZJfWucrK9l3Ptm3vppUKt3Quk3odWBxypTso75JnXAz0yYPUCSvLVt
h065eZ+ZZnG6kDPkgwsWjhsIPvNla0ziPDuDr7vIrkzttMjeTzO8CLNHcaNsslFFFwPvpp9fC5qr
YfkaiF71RyvDwGqH/BDm8GRa8Uu2WMbaanmOYTcJV8q4nLRc2+uhdrawApNje6p4+9pOx3nh2Otg
sDah5ux6sTxNQbsO80AD/1qv9CCEHt8WYp+YauKrM5lK277id7wB1wRJBd4lLhsAXcYg4nNkMNkB
/HbdZUV7HmvwDtrExdyp26ymtwVnk6ssn48uHyIBM0ODSTM5zsmp9BMQ6UdloTo07Vssgdf0w064
CbwBWl/eD9eRi0lHq9ZakMTrkNw/CEu28KMRwEZTEoVsxEWqpM9lqj4zFj3gfz2WGQy7Xr1eRtXP
tMIvgQhRQHp1Vs/HxbZ3LP7CE4jm1xr2CW0i322wtkTUnfMyHmgszcBpiuLQOeVbPgd0ZKgpCZpl
BdAjPd3WLtxlYAU3y6zUf7MLxYLHn++8ZKfYCyEawb91frm/R7Oat7OVxRdlTWZ2yNx5bQ9z6uf5
kJ26XB99e8AtV0b5Pq+Wd7Wq2+u6TsWdg1txVU7TTd8kJzHRD3dtrNHdto6sr8hqQyapIDHChIEs
9qFNuXBNs57hlYHZeuDoFkYNGCRsp9sNZflCX633qG4fNDuq14PaEfEVabnKCm+svXbaqxWU7Q6Q
hpo0W80YrjKt3LY50sYsv+3t5NAH6XFps0Pdaye7Kk8w7txtN86l387xTpsi02sHhI2BUm4iI9mG
PP38VrQ3xsxcooqsg4hcPtdEnE5Bx1gjaaZ7eHAGKwrokbRZuzQg7jJVZv9kitPzUC0XUZvs09Hc
mow//Dgj+Fgwu+6dhkgGAWdUA2szrE5ZiAvZLrTLGI9s1uesg2jNip9y4bnWbsqkuUyT7MawGboP
xYD4sFDgoFViFTTNVay3A3tq8LQbBp6YZ5HRTfEXEjXHeOBimrhAHQRRjE3f0loQlwIaZKhPST77
uW55JGx2QOXPkOGJU9snUQvQk67yFgAJWlUk0i3ypqs0y9U9owruZd0ptq3Pmsg2QszDykEtNOea
6iXtnOIRCS/1hV2dImLebFSJs9PypH9AiTweaWg056wc8/3viwQaXr8WIkhY6GBpcpQIrvTnEiFZ
mnFqhjy+IGHv68mhgRL0+1f4OR7Et9TpseNZI2j4kRHSf34F2t0FY8wwvMgsBtvWZdzHrKvcNMyr
koajqFVv3GT9+9dkbeGn3+vPryp/7x9Kn75Ku8rQFeUsZrAFrDysmLbd8lT8HBrUHhieIZE4JuxH
nfRukXrDhPU6KwBnCS1mu6lZPpeKfYo7Q3htLk3io/riRIbt5yK5txzU0zA3jnZmPFkBiG01062e
q6koYd/bxdqpFOim1eB4djHP+36y9ZeySLoNkjd9Hcfxa8a1uq6FFfncgWe/YzXGG3r3FkghCnAl
vcfspO3zUL9iH+YtAZLKQ+mubZqNxUAOiHKy00WkIGKjQsnGotjOSy+8GiuA34wmPQCMr8gP/SJm
9ajWGRia7nzkoofPN2qke+N9Yyg7tGl305I8cmQ7mF2JUCylWIsDHcdJF3PO7819uiRHPC1+MQea
r2cCNEuQcpcVj4MArxknOejSaVs0I8CdhSuYI1kXgk3DV1ImubOqlsTxmyw4VzAIQ0JAaskolCWw
W8KSFHCVctd3KakPHQ7TwpFcqWJ2KfryixXW50bk1zUZzqabulWrHgZzUFaDqQPeBj9Zqep9MUe7
KYDtzZThgriO4SeVuW/wQJPgJhwtYYymsQ0r42QTVv+by+3vrnFZiP9wtY0sFA7kQpRzciquwgtl
gwT7YdzC1tsh6ubR472ya4DE61w8j3+zHf0BBvtPa/j7pU7zlb414B5X/nA/vDghTqdIHUM5V765
Kk6aV216djyOyqO9EWtxf6l4p8dhncBP+sI/sov5JFaHeBNcEGr7u2Xonx98334YHbqw6eis6fD8
+/mHmcWY02BPootIXFUsn8fisRl2v/9z/3zP+vNr/DK6o5XWK1GURTxc30PsyfP177//X/4ONtoU
NkEByuu/vJv5ZC1I6moe3spV7fJ5MKk5v92h/m3/yuX9/97+lbmXUx+3/3P5Quj6r0bIPwRfwWjD
qGaHzGUv8Jvq63v6RfptCJvqDEhxc2mCh8r3I7xMqPM1f5zguXq+j5A53WMb4+TNeOdbZuYf9IF/
vgpJ2MiwO/8w2BlWqep/uQobTTdb4rrhZcgqZ6sdY+PvuF/GB1npp4+266AfY0xNFWmzYPxLtDZX
S+FWGTCXMLX3xEbczaRpSbOx8+k86ZNFGSlz3AsJhzV4VvpRKg+1W62rYszI5MXOdmO7cHKJZZ77
RnEIiX2kxC1LEdPa+EiPCw6wC+szYl1Wo4AHG+X5ulHw3kwyc96UoYZs1FK3TWTUaxDbyVa3KKGK
wbpKZGadml34vcyxx0pI0y0kB6dsi4+oO8/R6GvOOHqjq6znJp7TskvlZrOhIcTK+F9rlViduo6M
XOi3XVGl8G/rqb7uJn6KuGZfHiQx3L7os16px2iK4CEhN1ilbrrXh3o72NZp7C11ZXfKRR8ND2aq
39Vue9ukyykshgfLzIuVYyE4hBN9qhtjHRr1KYo48Ydhumd3JmZSbx1HyJmO4FmFGZLVK049IohX
C2zexoRonSSzR6yRRGpZX0IyTnZ0PE/9BNbBohCIKt0GU0Y72MnU9ygrOWy4xOhLqp7OZSUrNHRA
4tNkbgs9WI71XB2HQNlOebrrlDjcEpBufBrzHnCqdT3G55xQyzrQZVWKymdZmn3QxDeRWWfbpDDR
8oAWbBbpCm/VfdFOzbqJwBE33TEiQIvxR1iv85C2WIjg+LHpsZkqLtVJjdfYyzlcOoWf0+SdqvrM
6ZrYZYLWJyXvw1gGAUiYmLemMZPDnox+1xbEEYvA1ZBhG0Rx5u5cW4PCAnWzH9Jp3paZeDes/o0V
aGfbZFZ+1F0SiXgezPi6Khxsc5MR00Gi6Q2ERTm4RLW2rSNeUyXaL5ZywUH9ntjrNosYUhJcXQep
4/U6jI/cuR4KtpASzU+aYM2xzcutMd2NmbZ1xk7z6a8DOy3sXSuGR1VucVVwRbF6PhPTOCPmQPPT
TAczE1cL33RQi3PO7tZioGWplC9aq76ji9mXxnLSA+RL9sMUPJfOcmCI4GxMRE+Nbd7XrJNGA/Fb
omB952C5yFOo7vNVGCQqZoaUqHjqPrFN9iSj91Rh6sk1ClwexmWN6hS2sBctvc7SU71BV34HEvfe
AHo3henkm1F4ZQyylRwTvc2H+NiV6Z4mIvvsg/pQKdGd4+T3SiXN9uPGlulrezrUrnKYkMLS2bAO
hNK2mUXIlAajD0+WzZTe6G6MMTnw+0mm3rPek32f9YwueNlEG02vGAAYU7qDi6o9IeuzP7dOSch2
mucAMTpQ0AnBIN6UTF0bDc0rJe4iv/4G7sYVHHUzW3kaoNWRj8VpqHDg9Yb0P2UfBHA8OPITxo4P
UwkJCXckLnyR4HACpQ8KXaD1AFM8iCoWViVmvDPclosZausgIeSgm0Mv1MybTgj22Wvq0HAAWk6d
cRzK+TaXOHNMs2SWJeI8hXVugTznnffrXiEJLnHojp5Z50Ai0qeFsx3rAi9GyLK/Vc+A1CGqj4Z5
JyRivU1mZlFQ1xOJX58lh70rX/oJGjN8difhXMdCwK2cc+kQ3AH5ksJJgFp3X+1mvKTjmmxClg9W
bEU+aUm/iaDBl7PC8VXi4VVScsFIN69rC2eV2POphSY/z7GXQJdPau0tt7ppW8GdT4rhadCDrWmA
+1zi/pmI/6aCVF+nIwNx+1GFYG/2xaOpgrQH9XQ7ZfOpgHXf1arsHiWPIS6dGBr+ME3nATo+DSKG
PJl108HNN1vrifP7RZkYngNXfyQErY7lIbaXYTMYHJonGPy8G+sCJj+mqHblQuln4kYyWYL7Owj+
oBzJQEqofwJoHsAAf0EJ/A8L+45N3UOnW52HMfGJJ8ER3ReYCna4Y6kNKJMQwxQiAV00O5NjEbcb
X+mnsy6VA3lknxwcBBxHDmpnPrnV4Ac4CiqyyrRcdtgIUT0iMSBk8EVxFN8c412fMXSp++CLwHvA
39qPpQgBauTBwIzQSkVCYrT0LZVdY1rPAQ6FAUeP0Q23AWc7KtqFJAFp8TyOrgT+hUCKGBDaPwuD
cLeGo8HF1VDjbIBJthDAL3eD1Dk4UuwAddtPMD30GB8svNpCKiA0KYMocqHiSzDGKyFVEY6URqRO
87kQEe0M4VwKKZYYi7o+tlI20UnthGlZr7EUUdRSSTFWFtcLOa71LMhE6VJdQajD9rUPn8VI3x2E
YvD1h/rsL6YIfyqG3W+UaqoQdKuo138u6NXUVPMchdFFwqk3fUjdF8Pc/v+9xC9n9Zmr2Ep7XkLU
AEDsy766nJKr37/GzzN7zgwfvwbTG2pD3TJ/lZ5oWo+Mzo3DS2Ix3BwvIexP0x1Y/9+/zJ8OgrwM
cyXNgKGgyXDjz3+tsExm3U4HKFhYOWsOtq3G57C+742rcVBZOW8Y6n/jf/57lFB/e5Q4f3l7/ysR
j/yq70mSDxEPV65ByBMLJpnRP/LzhExM3ioD1puOzFUaMr+fIOxPROfBVhCUh/pGmf+fEwRJEtJX
DoEBwiYfvJ9/coL4pb6XZwjUx2zp4coBn+HIH+LHozuw9rnVOtahAjdnMpaTOW3llHtuLvQue6xS
ZVXBuPCXeD7YmAkpqkO6gP2OE8m7oQy1N7omTZaxxXGXHacSKMTiJucCJbGPtOJatn5WXemgxMuz
B+ECWwhiylIjrl7VviKC4MAM60MqouHJyvKvapKuTY1WWBxGz5ab+QpziAe6gmIHOuAY5mPg2YE5
+PzY5abvOSTHCqo8VXtCSFb4dWwwY9GN1h+BR2ymLvg6jO07y7TkWZHWrp0SoR4Dm9syja6nsADC
Oz4oM7oq1woHrzQZDqWKeTAtxfR7K+Iv4EZAhOzyxTGTVyQhxBWEtWpGfsWeZcB1W6lXSsaNNwvP
ZbUcE0g724SaneGbRs4huRKFPq3iOJO+DALlGY3KLfuuw2pox9egTVBfIGvExOBkmyUySaeJ5G4Y
IAj0Cwxr0dX8Spl9GnP3ts2BeOfqdVuMDdFR1o4UdzlGmXuIuulYlZHwbG7D8omyD1Uw+WHJ6hzF
Trkqe1NhO6t1fDcSy32blsXOLc1+3ePl8dD66Ae2oROW7ac3XGk4QYZI9URB+KPNE2erj46yrkL9
ZNXqvjawgM59EFzPigwU1Z27mUMac26Wu5IFbnlFX0TXpaVsywbwWmzTD6+feXYs2zbUc1A/EXOu
0I4ZKRgbm4wba8zDDJw92HRhvaxtu7BXtNhfWfIHrGczAkLHnK+zQjr08uA5s8e9FTbVOU4RR/JN
Zx+PNNabAsfoMqzjQO3WQ2G1B02rb5ghRb6tDZOfTKQ1eLSbF6I19F2DX8cL++UVGY6+qtqeTr9i
ZKskLVyvRxC6ixMNrN3snO3ccH1nst6baijXLCReFGMnN0i4lBkPTRSGcbapQkbcqmLdFpH+PNic
KGPGMXhT7WzXtROSwXC8xYja7tn/erUNHaNmzpkjDQvHF/3AZezaV4Eo8DIambFTcqqPRHthcLK1
FWAW2tSelVyBjcKRemWMhb9E9cvsGjNvvl3bRItc61rMSwdcYmE8T6/fZPg1NcTK9fE9m6PHKeQz
r6UOMhIA/avZnjaz3ulX9pg/jQXWxMCJYS23HcW1OT9MjO4Ysozg0GPY6KOb+kDfZy9NS1Jn/bgd
MyKcMTEdTonNSo1CiyWVoYYYwwrZbBZ3HBUvG6viyOriASyLr3FX32p6tC805zg4GCW65MjKy1Zj
BhcpqGcS1vDKOQlXRsZkOW+MG1FSVKt8X7ldd3R0BsjMlfalTY+AMf7T6Ia7djSOQhFfrc7etCm8
ztI22EXN50OpzF802S+uqedW9UTePZ4H60AtuHGmcEKLm9hd91iE9VBupqgyFi9SmvKWPc/2ganY
yJBTo0S3RDs0O53cznOYluahaznZXmV0YtD+1YrxHISWxgKLGafbnJU/n5WdR5UhJz5QjUsjkF5E
mUczSk5fo8yojVx3a1Pm1rgKn3pOvMA08RkG1i6SGTf8TGKHl5FikgCcsyyXU0GWasHK5ZFauspA
cN/3MjeXs6VLD51GSE+oLmzs68YSRJtGcwOGqNplc5p5NlE8xsWMJoeHWmb0+BRvHUJ7i4sooybG
5xrxsU8BlFeV+KJKq1lZjHjk8xuVToXXdUG7qzMF0M9HQFBoGEpTimuZHizCUU33RcnMif2fL3Y5
gIzTcLECJj7FafKiOSN3g+llsrVNQStitTh4kgyDz2EGSA6C+p2YTgURBNoTjsmwedkyuNkqg3PJ
SS7eDHPy1dKjw4LvNCjAidhZvGb3GkGGg1YhG2p9Zefjbb6w8hAF3P2aPA83BcsHTGJgMCZaDPsA
PsJs5Ft9EKqXj9jbNKu+iRPT9dkIOAXE1spWxF49kkp2HQXHsHZhoGTyzVDZ4AZoPdcuHjjMXZV5
faFYUF1KYT0CinlNRivajqg+R/bHV4x3jkG1PJo16PcqvsRkmntaZx2qIIhWSF43MYaVqnWeCQbF
Wx2RI5LaEmVUDh9Oj9HJMbArZsjzTLltF6WyqhnvFlvZm3HhZqvTDkhyhfmkTRugmKdNYzUHo3Mw
acUcBuPG3rusiKxw8oCzwPujxLdZkH+pe0RLNf9fN5+GUnlIdd5q4dQsVJQdtxv4T2r4nrjuzhxL
pEL826ByvnZD8la16jHXom/l+L/1pEEj/7etabCRHsttf04ny6/8XlPSejbZFzFhMmBx/KgO/+hK
a590lOb0pf8ILv+npmThSR5DSGcSK5Nd8u9daesTYxKTFJhcoFTFPwuWoVmhZvxPz1jWlALqJEdD
yl5b/ig/15Quc3jIhk51CXCk3Kiz1SDvyzQ/m4rHuNGdNQ1klXNJg/kstektmd2+NlXSvyJflQBK
DiMbnas8InLciX4XlliU+Xv4elPq3IMwlPTcPhM7eRmDhkETu5QM19k1z7qhWNu0/+B/z+4Vq8T3
ZuNgXB11VsnpxkK/vg/DjhFr/Bgk+l2ex8WlrQaKV06sKPcxGERBf/KQZ1jBjBARketeO2k3kfDS
3lWlIaWjKeNdUbs7y7KPSTXNGzEVa6WdbthyvpzKKtvTHb4YML3S5t2aooUpZk6n3G5uoVIxzZnL
c2vapHA6fZsKN4K91L7OMb2eMgyHtQ2cydPjYBvG9a3hzptoMoiHGoTSmibeD5n9rKqRjbd4hEJd
U/EsoFwnxpr9lO+iMlb9CTULNzC4+OZyE4TqvDMVlT9NHw/HLEbdnZvhhVvFB9cBg4QUe710yluS
ZO4qrmmHhGW8HZeR+16AE08ZkN+oEbeWHnpjn7G9FZJR1tnWzmzZR+r0m4THSdm+aU751ebbsT9B
wVuDJYvU9kvUF4bXBuAKDLvzk5K7NU0/dcURllWP/2XvTLrbRtYk+otQB0jMW4LzIFKSNW5wZFnG
jMQ8/fq+cHW5ZD0/u+v0tta2BJEEkZnxRdyguGRMDQwcY711pHvDLEFeykw7lUM8rNRSKyj6k/VS
cA9vJiE+GZPdeUnHPkwx78hSuPuyg2Nh49SwSp8tHcQ1x0/WuA8PtWwuvS+XTapuGFGvJXkpnqDR
A7gDgyo7wvE+0/Wlm5brKSJWWo6PQmZrI++ejX4sdpne3cAcmBba1L9x5WE16OlbZ5faOZeUxJfa
SOUm3jY/CU9uq/jHTq8+axWGHxBaYseCbT2HSmavShuX0GrM63KlTmszMSHxx11xFXSKvS8CWV8P
tRT0SI0zmE4vSmXBXOaLUzg982YdBpu9rophO4e3RhMHj+5XT67R43oe861BOGdFTdOiaJNt1bPr
aU3eYifwN0oWTnd6wVpiCEgQemHfOqV1aLTxLQ3LZInEcpP6uO0stswY5K5E2C81NwZ6bqFqQ4v7
Ek+Fu2uk/WWYN+G6M9UkFtnFSa2+ps2Qt7g6+YnqLBEgiz2OQUI1IDzKhFmHhG3hB0670IaRnxg6
uaAAY6TPx/+aFv6FVr4WgkOjnuEKSc9qDYHMlh5KkaurSbVKiqUpkqRH0vbzfR8Lwne+eIqLqV1Y
VtMcQ0OhU7WvzDdV9ZNPUjXY43QOgqeWhoha3x7K/65OAtnrv69OJ/mzwO38M3+tSxieHaLvLAjC
cOeS4L+1DmQQi7C/auBattQ59f9d63D+sGfqMYoVSoQOFeDvdQkgMi3FDF8tnUjNP1yXdHcWCn9c
l1A7LNzWhGds6AQfhMR6YqzRmq11Fej5dCzJ6cBsl05YGvAjg26aFpPfsmFVCJOmDC99W55GNWNX
Dl8Yx05jqunJaSMV9AdZBiavM99WMejJa8lNrAIcpTkNs72Zkj0B/BE89C1ntOWkBgYSRYKFuNjV
0FoK0u2mNVzDH2DfGip0dgNEUXh+5w9CbTGIcShtcttBXu4acJPYujhTwRkMlHrtt3QS5+JU5RZO
4gzD6aje5ON85mLAtZB+gQqQHfLSP2r9cD9is8G+zJiuKDKGTbs0C/zFGDDnYYYYeTw3OVYPNkch
B3Wm9SesasME+8a9aCpJkZRGYKWtKU8bOI7hWqCyLXP2VT5+EXOeImq7x2bgAaUF6SGLVIRzOV5q
mY/r3upwqQEV9gAeNJ5uT8MyacCQY4qaVqNZ0amqihU21XGJ2RI1yem+KMZw4FjBtpVZD+lf7csw
FJLHGbWEarmlGy71Mi0FxijAH1fVPV5u6Gplf2QS0npdREgCWsgtA+Q1z1yw8wlIQgVty6/8YmeE
lGYNhryKhbwpyx5uYXGgqtYLBzJFHcdpOsxXjH0+G2NBHpputkZXF12akBk0FK8rgr3hMxouHLbZ
/oQm3wwwm1OZrB2Y0wBmmlMG+HWdpLOFEksxY94Hqt9jLwF6utFHSkYVK7gMNm5Cw6VjrWz2HZwm
jl3VQ0Bf9GKiBWQctdsmGFYW8W2swBDX8viGefIxMvVlQmEnT78p4hjJ+KAwFJ85hR966uBeCLLY
DLn0N5lq9VYryDiaubwytbzZhAyBcz25I+V+n8UltaHlWQmLwuNIwXAodZmQpzHCUnbf2w6lsxxO
VP1JLUAG2SSduj69HRKTif6slfshASIHB+ZI7Qc3uggP2EM1jMiTug37/iGnA5yJRPMw+P29ZtSf
jJrxa1BNG6AU57g2gdQ4C8NsOAkyGELU6r3WToplmcDQdDho6U1768fsWSQJa5zzAQMfI9iWTXnT
WtNT4gTPpVnDEY1GunXAzNJga2ieobZ3XYROpyV43qUVMn+Ue9V2X/KJLaEalNQ8Se0W1+AaHuyn
olY3is5KBtIG6o1+i7juLJ2QPak+KFegtU6RXSgeuL71EKUPkWHnm1wbX7JgGrbJGGzbDowEdV9Q
OZQkXxI0k+umyZ9iwNm8P/jw02FyDq46or9p6iZQp+oYWRC6ew7BvkiNFZ4Sa2Ep/Tqtx7OmGW9V
GnLsrkAA2fadhBa0rzI9XVna8JZE7k1sRDZgHYYxWjqgL03j177LYlCiuIwhehoeu36HbooGG7WN
tdBP21vcgtw6JEMWgMYQBYto9MpRmp4BfDUJhhcrbCgBsPJ8NVjuqTXLE0CyNzbBOqt3SoXErKmY
iCu4lL5WiC1sF7fjJJ/ybyoMcow96zIFAo06KzUOUfmlaK0bYxDGLmgIW8BOwx0u4hPD+P2I5DMi
/ZBUuWa6fsjSeBciDflh+ZXm8XqJ0nkcEY9wmHwqZjVJHwnOMbiyCCPw3Ktm1alDfrJnHSpGkMpn
ZcqeNaq09hfmrFr1s34Vdf29OytarVT4Ts8qVx4lT8Osew0IYMmshGUOeGZ3EIiTyGSif+tn1cye
9bN8NA6hlT0NI++o5ra3KcN/TPDyvsIf6em1ci8M8y0MkJfGhMM2EK+dWstXmPrPU6V+7TRuhiK3
PhUVHxi+PX1ppg0kxCCHj5zZlw79O9B9DR2lV8ijdFemktzwUvHeh+cpM4y1acwWxk4RiwlN2CbU
tAwddddKaLrE+oad0WPBKfzH0Mb3XKXRWwYuioLmnsNSP+XbOunumJdOHp2Y9HXiv3Xrf3dJfyIV
51jvL3ZJL1X0M+wpP/TXNklwRp9z/nieSYd9iwl/P77rf7BvQmKnZkETeMTeb5PYJLnsj0jg47jQ
342E2HZphsuWC5uWQV+w9o/CxTOR9cdtEigBlxJG7lP+Cn7hj8d3nhcc7RV1OjPUvS9hF3opzuW5
exU78ZStOTpsmNHvzJG1cHDvWeyDhdpSxpC51qfYMU66bHZZHK/KzvHrpW1nubuKCFvcpdLVVrCs
rwMlr3YNYqa7zOkZ/wxtGakz1/QuPNCZmQECylV/YXG83FJcH62yNm6v1bzgCdRat30yW3e78cwk
XFtQ9LgsQhaIcpCfxlG5l2Z+pzPWWKgCXVWtmBEo4zmMnL1m64Rp69eKVdtMCFQGsXpTxOKCtHcv
ujpfhg3qmN/MIQD0idbPv47VBM+R/lHG88FS8PxlPjWcOdy9lCmCv9np7RK88Rf6zicECxIt7uCs
ArXhEShDtgFsFX3qLIxx1w9S8ahEPWitfdYTtjhaeJjIc0Katb0uC+eHYneouuIhVN0nxbBBb6f6
dSLrVWNm90nELrWKp7umola91YorzSftXcivQtVwHkc3bjtPlfTsWATZTsvG+6RuD4rsvqoVYyVV
GamFpcYKMwdQZEVJGuiUybasaZLQQ8uD08zhiz2oZ+LqPYuxGL2JsJrXNYytQwlH0KWfVsYqOiOb
3xXFuBNNHIXmWar9Go7BPte1cQNDRiX7TJDKEaiO+rZtK/huFZMSduGnsKzKYkHErs02xGTZdppp
ttObyqtr80TImUVXkpkOgc8bqv85wcWQpIOyMFqGN/nwEljYOPidnkxdsjm4zfqwsyDoKi9qRaEF
FazsRxOyJrX7RnjdOXEuwPij1i0ww9A6pr2+LeJ8lmRIeokmkwdNBITNbDdeTlW7xWY1ebXFopx2
2DKYuG2IbjRUhZfWVUsu0VaMHdXI9+Q1t2or7vsOPSQIa3XZ1ELD2iziY5HjCQronViFJmFwv4uV
RT5gdtHZr21GTVOvikEX1xAPmTEl3cbl6Dr2wT5LWLaGUrzgcjbxeIzR2dZF75FhX49Otm4b+H8U
sqSe2eefx5rC3S56lIEC0KVhAQn5PON0TM+GYS2iIftnhglTVcEZmCbWZPgisynjx2dEoQ9dkiqu
dk6zu8T4YpqcCHbvnpuXP89l78OjP6qICJLEnZmY64bKM1Ily/TjJUaIRjWYLuOc1J/b5DIWn3L3
z66yf0/ysxX4F2vUW/5Fvv6UnzX/4Lt1yhEaSChO5h9lZoN1itwyVhZS6aSRv69TxlzigRDnutyX
SADvZWZO+pjyVRUfsTD/yRqFyvXDGjXfHCZKA4IBzBvXhpL1481hp03gZCJQzhoR+bah4lk1pje/
J4mamDTUtLq6JnW4rsYA4p4aFdWNW2XKtbA7Rec7LnP7JmD8CflUG/VlW2vVA9NOe3w1FadZWCGm
LiFGYxOXODlrFNZNUKMk1azDGzTvuUKodzaYn4ZVVyjuGqXvEeew+hqUaeaVYijWMrRT9mwNGL2A
R1Mj+b867PAFmKrquZj1TxHQhzGFnbnvc3sfx5W+6PVqZ4YshnWrbFrRfs4GwUa1rEjYuLlYpPNT
TBlPY0D3aQaDLnSN7srJsV9mFS5Rl27BTTUCBgXPqbNVJ68iSZHqo5usnEDQy+ZXxWpCPuTYWl/i
OocYOjY0dDvmeKtpHGzqCCJUchWVQbhkq3AdTw26htBQQ2LWoz46Q/Z8raN+bTms/UaTNgunM6EK
OwM5O7uP9jmExIWpRwMEBxzWtVniyuM43y+cQZW8ZyR6+ViUs1FGSPOBS/xa6l4TgccwapP5lByu
Jye2N9Byk+uhU8+yCMOtm+DExPzIDyXTFK3xT+W+9PQ8pdoJB+a28kMmCsJmyzEMhrNk5K5URD3h
+iyg//i30CGKTRfHhbrixs53edV1m6yW0d63FOcEKIvEXOP6p8Tih/OThpfvGrTXUxpiOgxz6yWo
SOH1NeNVtmVPCeCyld8UX1U3y7xGCY5IqRk0pPGcMq6H6Zp9DScTg3DQnDHgUjEBlM4zKicBoIsU
oXTWrupKey9MVtEuhrAWz/V5WbYxMMJv3Ip58WC2nJLHmRIftTCRzEUjWszhVdcL49SZhbLH9wWC
WE/1i2nWzGEr5twqrllTh8ycEFKK0+YIRgjTCjfauZO9ta5KszxYBigSRUpcGoSyCHC2Gz1Mn+dl
r2EY4lGNUe/7Aa2bRiyN04fvXCVQN5TM/SKU+mjF2bVs2ztf0U91YZPfE0pxNdKLuxMWiQAE4K1i
sn3IWOo/qbHvrxznrcENHKUEHQ37OIYSxkYcbsqBknpm0bxmcMn50cyy56lTDqYWHbOQSWbUmv4p
dzi2ZVbBLCIMbiHYBLsyTHeI6duk5EOCFb0v+oiwX2z7CxwOL0Hb8w20ojPic8eG0WWo0XQZ0MrS
06x0R3fNyqmql4zuk54UsCedr5bNaarJ1hVQ/iIpPbVjlQ0E+0WW3rCId3ZnHNx+8GDxfFMH4WUP
6Z2Tqmeg33fA+RxuUldaeKvg5vrO9LUotRtzanczGVon44DNVocpiS1aSby4615CS99YVbeiSqag
0MK51El+40jxxUXmWGSp/ta4442hDHQilwXDimmtJJCj+YwJakaeQbqVRKrXTSo4Pj97ncbxUz/f
j1oS76o2vExyOGcOA/Z4nhnJrZ1JjwcpoziTNtB8uGIA4gmyy7nfLhWEEnBfm4mRgk04MCvirVUP
a8WcM78ierXA86XQuZXW9ZLQBnEnz3mhOqtclRsaM0lYtsFFNCm8lWA7IKhkUjlibKLUI2LwLDgk
D4gP2VcMjZ6PcMQxx/ObFOHjTfrtzQAQIXbULVGCRdTnj2ZJtHfSl5rBNdguGr44Y6a6rRtrbXQm
U/kBlcGde1AEM50UgbdXNxkgTkio3IE+MxVbXeOV/TqSr+IJt8b55dWhs7ScAdtSHe7Yv26HqXpU
tWY/mc6tZRWPTljfBN143WbQPIu3UlWhFwxEPvRoHVlUP/vjMgmMVaiOXqCH13oVnmSn3wgfR5uC
XlwR5ujtRaGqW8Xttk6trNUwvY1NeWxM7a7iL7V9TuGWWaAnd4dabdd8Fa9q11lrer3XfcIfQ7nC
Hz7QycQcpUQuMwzx2rfykV+F1Q3G2FgbKHnEKKhV670x71/qvGYTrhzSRu4mxUZAs8NFVyXrUGGR
wPFeetjb2Exb9kY03UPW5s9NiUBMKRAuxVUBE9WTTbXNHZSMIcP7b7pktbvHvlIfZBXfSEXDuTGs
I7/lvUMHz5ut3ZjcnTZUte6awopDQb4aLuRtGtlbZ/DPvj7tciPbd752YmLpLPI2WmfpeCn82QTR
L4reQQtyj7o2PBUIxmPFmUS4zp1fWfAT63NemzftEKgLR6tvW3agXYEIVDETys30mJo09hG8BGEf
nKr5QTXJxzFpDqIyNwUwn5bTWUybVt3Ph/Mca0Z+VxXjXhPyoAgjPCs+546AHfZtDRrWm0SzrzC3
TeiTXZOw8MRfEGXu4ibDPUFIfOHazRPzj4UA7BYzsk4i7YuVsd9vysekCnfYrs88b6OVWiUcoOuD
OUV8L1M78SZVewrNuli7evIpq5qUo2yySXTtEidw3hOXsxLdX2vEvK2fWF4vlGwV4UTv4KfYQR94
2iiWSUomPcwvQ2BtYn/YDwj0hQJvo45fGpT2mX7HN6DG19bZK6rGSDgouYedDOsHmM2URWJw822n
OF+6jh6nCI2ys9cRQS3OMTx/apw9wTCthyw/jE1wqBrzE35J1pqm8Jhrwv9NIKb3yj4XVAGoeFWY
H1aaZCLenCalf6qr4rV1ZnxAzeA1JRJgcIjLVJa/d1va/9PxAYu1JqiM020SqeaHGGjTVxWxqlw5
qxnmPcTj5EbBBPPri7DPfSeV/LkNJfTKMU032Np+47S9C77iO4VNb2jKeXA+Vxjg2qdBfg10Qk2/
S+L9bMP7/krzX/LuStKXozb5XEk4V6ExLgqbVrVpJ637uH2OpOX9+oX95+GLd49vE9QewrIIUj9e
jil+6/ipDC6d8ty0hzJ4zdPXX1/iZ6+I3TKbZS6jw5T88RI+0qPqgtW6dAZ92pt2HFdpiKgQbCL0
FtFc/fpyP3lFhuZyaOHEyoHyY4pg9oCKUW2iC5zORaSXjNKIDf7mNTHh/Hg//HCR+d/ffUq1rzSm
5XORuKqY/h+BwS7/fy/jgzhHdVzTVRTPXvC8UoLAQOkTtorfXASZ8Zcv48NHUyRjUnRZHV0GRV8w
23GjCw1GPOCeTFwa9Vm09W+u+LNPB+81Q1nTYuDyMfCcRCCF81iLLnZ5TdTEw0Nj/8McyXxmJEyt
WgbTZCFIzv744fimrlhOV8UX/AwAEgmuSq9P7379+fzsrdNJbnMpTbeF++Eisg9tO4oIj1TFU25R
E8PZg4eB69/G7cHADNv717++4nxP/T3V/vYM4hH39xU/fFhwJODOaCMec+QxcKE6G6hfX+FD4TpT
e2BjtkHCGGgZ3rKPiI5aMjINBy27xEdU2x2L5wkI+8q8Dm9ML19F69+Xef/shnj/qj4870gPZEND
ncalswBNALMT1EAJuf31K/v5e2fwlrBymtY3J9u776s1QfhsoGlc/JKODOzETvOb925+9z9+OmQ/
uNvI/9hIdD/edAVIXBIW4PvwxSxGR7DbfI6MAN05/s1r+dk79v5K+o9X4kQsK6yB8UVj/ORcm/5t
Of3m8fbzS9DkpLmA61T7w60WaUnnGFOQXPL8bEJ4GAgVM9b7zaL6s68QN9v3q3z46JOqI89JLvoS
Ja+pMvcrrypmXkz2k+aiJJvU/M1n9B8vS+A6wfn4LZTPwOPDVkG4GAAyW6aXptuUFcUGFBjd/MMb
7cMlkNneLwx5F/CGhmV6YfpGmzGFabH5m7ftP+7lb5eY80Kw/Ujtf3gV8TCQdeakdanTV2XaWQAy
f/0a/uNW5gKOgbuHLQ20HnNe0N99WXh02r2WT9mFfV7WEvqJdxHmv9x9+3adf1VZgzv9v6uytyiB
bxXy67fa+L8r4uef+i7JalTE8yUnCTlXp6Ci/p0m0yiCR5Gl7J2MJ9rsd0lWd/EE85WFN4FX+JuN
6rvzF0mWrZc6Vyuj9Fr/DBEunPke+/tph/OXjmSWVvxfSMCco+dv2rtbpBO5IPzgjmdW+XqtKmm+
qg0V51CiO355cFRyN7iZTEWhwyMvTn3f3qoZkC0nIScwn92iUDWPQz6UCxoL8kVLN6oBgYMRpE6D
oda4V5ZE5Rsonr0WRkWuyWiUQzYGIHhj+ehOWuyhTrzmJX3ptDdeZxGDIr8HhqAU9FfpAclLJ+28
XHbqIig4fEWyx9zpYHJq8Wp6eSauE11Jd11Ga3Hmm5zXQnOr2AQzTJ3Ejpa0xKZdKze9qEhuoDS/
9Ul5K+kELrIer7NqKbt4UIZ9gABBu4BbnNXWeiYDeOOW/BZfS06MefulIdplPQCF83v3hHeOggaR
LrCiXavJdJ+1xZ0bl4corJ/BqG/iIuOPnXrBcT4+wpAiKNKbp6lwvkxumgCzRaRymB6ONkg7YOWl
p6BfLUJrWLvCf01CvV6Yjlz7DBNtpTzloniMI2zTNgYSLwozPBLm+HmKxJWGrWrVO8VNROmxp8Z6
iRSloztvlDbn9BFyPXLJQJ0qMB8a4IdCbmABrAkRb4TaHFrNXWvV9DY5TrQy7e6QDyZHVYCTWNrQ
HfK2LjwD1LNXOX1BQQKBZ5TMh6JNT2CXg2UJKLIbhAnj7c23rZUQxVy5HcydNV9bO8CMlICgaIwJ
i7naYMxLxcWvRovqFnIyRVxch9X04pTM0TRUWQ8gBh1zs7acWxLeZHMfx/K6VTMwdhY+r9n0BBSB
OSQ9XHq+aTWLLo3gASCIu2iy+hBwLl92Sob+bnG7OjX+3SgJAAuPeJ3sNI8w49X47wK/WUWlew/S
8wJYtPTK2jr4vVPRx1YPy8aMXjCFkbDu5Is96Mw8B0I0teJPW7+RxhLqdULKzuAwROpxoWpTsRyM
wMAvHtzavs09hYMaNFt2anw5eMDDaFUbJmZ/JdqObhjY5/prSwsx5Og+A8fMWZG0P2aW2IJMgosY
uISH6nqZKsIkP0X94CwVWwXyoYlcuIjT4SwHZVch/FBikbwyfn+IM/1zMfaXeB7CakH2xkPqqhIB
nTu9c9X1prqKHRRDv8ajBpH6ArP0Cw6lYkGN71ZPx8997F4NIr+Fmxl7mTk9pWXDmJhKsTXptJjY
XNWCArSealleiwAlP46Tt3gi3T4KHxmyZ3qdKhZzGFQMNyDDGQY9X+ooXSlF8gA87YHaE3xpnfFS
qfFzzoCZj182iwJb5CKS+qmVzn1cKQct6PbIgPCpBnNlhcXel2bstRIDIWEDqK7KU1OOGzuWR1ll
6aK3UaXCwH5skIII6unutitsd1lnbrbtSTksyto1ziKRgABKtJ0v/y6LOJPMb1aW/74s3kTdW1VH
X9hEfFwZZw/MXyujZvxhEDcBza9yRLHfLYwzhhlYPsR8l8vhn/t7YWSKCcCfdQ9eP1Hr96xl/Q92
OrD/Idj+7xjzH8Ss3Xnde78uzousmGFkrmXhrvgoPoQiRwdtdSy7siwL+6ikaK/cwKyNgItcI07O
biv0ZBlavsYi2LfUiGL/tAE2go9npJCeW0keoM/4Uppmzm2cKPRaiDo/0Jid3Y460bx2MIpjHjXy
lRK0fi+yPrk1tL46GDJ2c68Z7DdfRMZWGo6/hrY5E/qYbz6HbBBc5lC45XDv40hNN4nQ+uWU5ubn
rrO0r4oeTTeitqIWsZiwbz6CKgKZBSzfKpeDiMXCVHmYUwWfXLKs9T8JtI8byDbUCqmxmdAxlH4r
HJqKkPIhUkAOsTwNeJPggi02Y/rP2frArR37ucCI3UV3XVWa06v4H+k48r/VHfGojleZGZXxnRLP
hUhll1CORG1wWS36ai5NMjvOWPj49J0xdyoRGAFGSo3NrO46TYGJKTfDpdpVrnnoCr16AQpLDiWj
3hxzs1rPuAQ6Sb0xynUdjwYg0DGkCWJJjuFm0urO3goeEUtpx69NnIb7AoTjdDIZFe+c0qHADdKg
th4rM590L+TG7E8ZvKlc2fz7RPj2RBCcXf/7E+EEy5SD68enwfxD358G7h9zbzdbXroxcCnwT98t
dmyhTTzHtkAMmr/a3x8HBjto4Gx/5ePmZ8j/BuT4F1ALPEB0Pn8H1ts/ctgZ82Hv/dMA5gPNHZar
aYLf9Sc0/d0uuZQlocwwDi9ly4hvC0qHZJVpnzURhexoA2Xuz6aLpreqRVtMKmtMZFNMR6SqqdaO
mmnNbW9pgfu1d+ptpUDzeoGAFqurvs9T5cCLpkhHY4pMZ/ikKECdkjyizrc0QpJRWisGDu+TOaWR
l9auD8aYnL0OgmEkTsNkBAzLSEqtJaIWVxHcKJv0M+m62FQWOqZ1c1sGFT7xPKuBc5Z9Wp0DAtpo
qvrY26vAIaS9SByLCH7TKm8mlqR/b/0/3aXzke5Xt37OGfFt/Mndz8/9dfcDFsG3w8KG5DTHcLjF
3939VAcgEViWxco7g0X+yodaf7icHpnoYdp5d+/r5h8YVV0ERqAy8Ev+mXPHnr96P978pIt17n0q
OxFc+FL9eETMitRglOFYV5kO4olie2MpVfvJpnFD2u2DaGhpnq59KpCIJK8ElUhtE9z5c0cSBgfd
K5iuldQnWceYKiW9T+6yuVtJm1uWRuqWyIM17FiDXUERkxrkeDBbiReo8r1wbmvCJ/mszP1NWgNw
Tp87ndii+lA3YsL1lbX1g2pPqWa0iPXwIWM8S77waWKEmxZO5fVR+UL73rUb6i+VpT0O3Sg8xvgn
0tDSG8OEXuUyPrQtvhgzk93DqDrPEXnvQ15o/krrTb4VRXyXtOmzOtrTzsiYw9eQqy1n2k6leO7q
7MrNK2+07FsKt5NJXZVw0hZm3N+1YfTkRMq2V+VDXSnB3hY0bdaGl+XdlRYD407Hq2GMrox2Yqpe
zayV8IssmjPZJEAMVn/lRj0Z2kjsDLlmxVqEI/N/cTsjbrE5NMlTKcJywZ+4qesJzwSpu9RgON2Y
FQ0osWAAa/gLadY1hTtsKvyek6mvHK1M9lvZEMz0o7kSO8YmYR3BDkxrA4aKRyHztpTpl4rx4LIR
Nb0qlbqprCn02BpdRsfdqjFDftXv8k2YY3SI8AKlOdfjEF1TrM78gTbvaeSopKKsO9NSMtgcLN+d
SR5HRrDntHCvssJYWrHJOWyMj30QgiO3l7Y5QbYxsE2kqkmKPiQ+EGCF8KweKFKagDhM7bqmrbNh
E2MTWx0jF49NBgWhsV+w1+wAmjTrtsalgIl2Nodd97ZVe7bGSKTUX0cRl55Rxje5RiIr5JNTCv3O
BChQZmm1Qkx1jqWi7VJHnop4eMbjfB/W9eeidDBy9qO/nCyLMEbcUktTEXtJ4gYwWCOXHVURbcTC
MDkkDDimX/u1oZN/HbasBHINyCtfTKPVL2go1EUUg7DAvYKhVRbF2YCwl1jqxtRS/BsYQYoO69WY
6uDp8md6NIiB9ic5iW6By2sP7eOoZnInMloCUthkTud8jutg54YBxBrkCcupP/V1dFu0yh2Dx52a
y30L5Vha1i5Rg7Oi5s95nYLqKnlTp/5o6NVh7ohvO8zGuBeu06zbDH50NFoLqkO/LVwJAxOJdzRY
WMJ9YGBeqUb9UKT9oa/Vixoa6bqdKhItzWNvk4ipjYnQTnNGLiA8PNn7yhU3ZlQckqgjCQsOcEyz
dhd3oN3V6oTOgy2lw7I22iRixW0t6wcCFwd/iE9taND5ON7kakrNAF/6JA3XyKcPIE83ZiC3mRU5
O/glG6sjaxvZDXQ4l05cW6cuKdix9b/OlA4Kplp6YQvpzlUf1QHGs6Om6dIV7U0fmhDZMBfTG4D2
MWWPLLJbuyUJMjZLwdHda7GaAQh8nhx30yuUJrmEgKLuKceKXJvq16kOOBhQmDTV/mOkcmpZ2JOS
ZzciIumSOoAo1440efYNur4HkkPDhZUe3KA9GnBKh6al7FZzD2EYno0uPfjBCLJQBqfeB6gTufnn
ju7ehVKlV4rqbkrpXlXQ/j2nH9ZZqWqryNTuI609DlR+6ImC8Ty+neaPEBTA50Ib+DYGKyzKHKyV
h0HtzrqmXalQJdk7A8oZ+xeh4NqPigCbUkm+q+GzqDRznbdBtCmd7LnQ9dPoEq6kVXObyHhDCXu/
rC3tHu/Rvqy7BcjUpVkr111kaZ4wPtlBC8h8+gy38BaKQHDMzbJAy/Bviiw/KXOEwC/TlTGZz1ph
bWwxF3n25jZuKLnoq0FsEwKTQgRvCfkjdkFSRT2bKXoEsjStMNdqpG/sktA+N0XhiQF5wwrUbZ21
j3Uf3ZYEScc2+ORX9TZXCE7Svnqf99GG1/wpGNOHpgy73WBckgRTiNp5IrZGHisDREV57pvgU6QS
pXaoSVZgrjeTs6tq63pKtW0VuLw12lkpqxzm53jNEemWukJnpdLztXSqudtL668L3TrVKev9iqYp
QfK+L6N7M4saHv4ACkSOSzBD8VyHpbXISmyQkdPx7SQBi991Yc18BHqwtsSRNnaQuxd6UhysepAU
JiWiHmGmKwRdNyy6NvvcAV4wrDxes8LghnR0bVmIuamKhnvZbH0gActhpjfIzu32yEic0JTxa17V
uFohKiUjpHt95j9QkYUqlaYPHXhf8qBQImw44mstrG1lkcUW0mAWHHutASQBrucx1uwmBFxaKevW
6c3rus8nPD4TLtc+NQCM0X+nrYp+SpeTphwx0u7pULgIJ1kbQ7yyBZJq6d8EZXVoS6B4tk6ndeq0
q1wrH/0e8QcnzarSajDlybBpDT9Z6U3zuYtbkLHO0/+wdybLcSPZtv0iXHMADgfwhoHoyYhg32gC
IykSfd/j6++CsrJKqcrKa/nGNUpLUVQ0ANz9nLP32tI3T/2AqrOM1oSKbFvfQkjQPJRCTGvHDt9Y
WZ+EWe+RIV+ENX4CmLgCzgO6IUT0E+EpazTzpZytKzvKTsAJTPxXGfQF1EQlUqiOLZpTN0q02r/E
2GjTpLhrmySCYzMfykBdW2O0p6u6ChK4BC4890Ik64gEb0/F5q07ZPctNhyIpMRD5PlDDvAA42ty
haXxIIR2InrU4yi0M8bq0PruTkvCQ2BXV5C/npU0r9JcP9YmO63pkD9TfmC73MRJcDv6nBQmlGmz
T8wuXkuraj+z0L3W8txruOlG8oU6N/0AXQeK2s0PhYjuagMmtBF59DemlZmBMRrFfZNoyIRyJgCE
KcGcCjYEQGz9Pli7i2WkY27Qxvo+64wXho1eGuvj1tJQ+BK6x9GCwNo8rVjdk5fU7MjUswLKfmPj
JpQ0UEGIuYifXNffgSi4ET3JTEmrP0wDiX5x+VwwHkF4SbiF1kff/brovTEeOhLqzDPty7MfmN9G
0aoNg62N9O1d7EYHNxLuNghIpUrmz3Kyzm0JAZP1vb1WBjdLUAwWvmX803QQ9I0/KedS6MUxl7hV
U6qgsBW3qdSu0xZHiRaY26ZBkuxbob6qG+RJ4aRerQHdr8tKg4prBAzpIL6kmTla822pqVeY2/62
jKoXQSNpJVS3TZo+RXLFp3Z8fe8uS0+FRLQv3HAf1LRXyTM8lah0k0CbL5pRX5X6wgpBvrmu6gwf
4thwRKzyteT/4KKs9b66D6Kx3KVzdsCRCrOr7UgSWnZtS76MOg9aTDLeuh5RUlaTPOtJdE6GxJOx
DA92ODfXJeo87CbmM8r24DjU/q3bpK8oruV+edyJUUILkbObM+U1X52wvc9LeYtLPbp2zZxJQnkI
SvFgALmaC0ssnTBsssVagDmuArHrbCgogZV9dU4BM9UE9W06D9BxjxH+0QSzeZ8O46Yx2pdJr+7c
sVqMa/Y51oNzZsfb1JYTo4j4qUrdVzmadyigiivLBHXRYSnaGq18nTP34C6AZzxOOHx7/mGt0reF
HrXrMpf9HlwK8vwfnPBALszwUY8NyogaZPmGICwJWDwxlbYxfgOO/1Tx3fzWJ/gLX8zCEV2wPzac
Hig+TOH/WEAZkRCjYeTRJS4ZvuanZh5pJN7/9Yv8Muv9x4soXeLwQbJpL1XcTy2KxCc7TWua6CKm
g5YTtB1iX3toh4e/fhkq0Z+KwR9MVIXHRxLGCCoI/OQfX8an7UgVIDi4G19D8aiZ/4cI8E/+ffo8
uIcwEfF1/fpdNe6kikJl6SUfuNH2jv/2t98/CQ0G3xBf1OJt+eP7D+zF/m9V2cWh7rBurH8YlD7G
/xd8AgRLMWnkP1/rXzRyv12Gn76fX641kVhQd1hKLxDKtMxL9C0R3cyFxs80Xv/1R/mTlyISUC0j
fov+ufvLpUgd3OjDXCQXEe9RZDKWKbHpS49tGMrgX7/W8rb/1QD7cdn/cFmWdvlPd5fQo6y3VZpe
StKPAclQd7XrhSrcb//6hf7sQ/18/X/5ULkduwgZf3shmAtkD47hln1k2YrL/+NeW970rx+Klp5g
yI4IwzAWWctPH8q0cqNg480vjbn107d+3Fj+x19/nD+7nX96iV9vt7mxOCuRkXrJnbfYf5Xa/8ft
vDh+aYIiGCD9+I8fIa5Sq5WakV9iVkDwAOkUe3/9Cf7kS8L8BR6M7s8CKDb++Aq5lnO+V3pxme23
wT53C0+kvf/r1/izi85NDOZsmQjpS4/r5wvhhhlIKGfOLmjccdssPA/rtq/hHKxx/f7t12JExARB
t6Gn0X/642uFPvgzN7byS7jU1Btim8JpY1dMLHbG3Y+X+q8sZoEB/eeW52v3zl38a7N/+Z1/tjt1
LIcswI7ADbhIX/7Q7lRskUsvlIHSIm/5Z7sTIJEJKRvdF3Qh1C88rr/j8Bw6oRQu9DwNbCSLhfFv
zP7wN3IP/Gth+CGKQYKOMx+nLI7ZX72yaVvjoipGcWkRqPhubu0U+pIrQ+vAAHHiuaVJVOwhpDEb
T3wy4wC4eS3ClxofO0B2tDARceTX9aKPkT+UMoMCw4KZwhnLU03zoOyFXLXOh94nYs3Yb2+S8UlD
aTi4vrOlnyXWJQEfXeOn6LWA5diDfBzyei+jMH+ogoCTdFl+qMG5KlCd1DomEpmZEbVu9ZHiHKS4
lzkYvWE/AiglraAI81uWQnwgUt5oJvoGNbibdhCQdgbNh9ZV4wxKq5vJb9/sLvjwM4CfxgTRK5jK
6uCwEKyqQrtrUyelx0ZBmKnQXaUmRgV/su21j/fX4+yawNiZbkDgITJxze9NpG5JIDk7LWOLMkxe
IsN8aAu3XGux8Vkm1rgBYPRYU75GVXPoFEeXbNb3KDy/C5HkixVwn7jjbS7iU0OCQpYHV/HsPhBv
alNdYvesDfFQ2ow0Zy5CG6I7SX2wnkZrvU3E6XmN3bw4BGEia4CPW9HRHaS4cVKpwxmNbiOXlqKW
DVDbpon0AnyYmO/Lo1D52Zmjq34qgoMZN9BrsKGNlqDzVmd0EhVyB5US0V2mDCwJo600jaFK7how
+Nw2bQChIkXYRHnjXFyjnHa0RxmbKnJk4BGegqb+NCpkTe5sB7dal+BWiSzII31yribjKy0sVAq1
KsQ6jA33nIZ14OX50iVOyCqBL5Bs8zQvjxBtL6iBSk+kzmXQCrC/ykUtNRVfWSLNVUN109XGuSxK
QnvNGa17xLmcrDTEjZa2i0c0/b3efVNl+ETno4N56WKKJQluNjBhNAFfbpovXtJmfrLxcup+8Q6V
CtGNieAr1251p/ySrKUdmW5dNTpenqjaE21tHhRhjKXKjiOePRmYl0lPLtLsRsJ83CUbJ34Wg/9o
kbu7b7Hfwe+1HwnFtnjbBkBXgzhepwNpXMHJ6YS4y6b2KGjZVEl8F0XBRnXp6yDqd8utCwp/vcFU
hcO2Trp1rQb2EZGfEKwJIsa1I9AZuVOCOqtzp2SdB0sIo/7hGHjUmnZ6LoHe0qYptyWutVXRztV6
GvtD4s9E7eXiPKTDe7gorxaIj5crCtwCWZaJOM5FpqWQa8WLbstBwNUKMldqwju0RdsF0augId8R
kYvua1oUYPlkfW+RhA34j+n5xNeVXxt03NCNJYaxixGSOQjKSFN41BGY6VpD94iW7rzgJZGg1YsW
jTe8DuZ+AFGUnJxFr9bN4q5xzW/TomQLZEhk4qJu05JJOxSL4i1H+tYjgZMM+0Ikcc6ijSszib1a
Loo5f9HOEUlr7bG+bmq/6tbxorDLkNrFApkfw1flVXozr7QCRR5zE3DUi0oPzNolLhatz6Lgw9qb
II8bb2NDEKCJzM9Z9H7/3Wd/TNUtDkL/eZ99gFtDp/hPtlp+7Z9brfE/OADEopHG9Y+g5aet1vwf
pC3/0qX+Y6zI6JzdFeW7znnPZHDMmfb3fZYhPdsvWQZM6IlEs//WPmuL5Vz3h30Wc50LIMtgjunw
VpbT808HcHrho6qqJrvJ9VLKU/PDHz0tuD4L9/vinB7HvncY9JQfVY+vuAA7NWr5PSgOVHP2+0R7
f1N2AR7ybFuVBE8SZZauO2mfRQubTotJHi9KOsZ+4fZYTSfCi0rVYaIkcVHzgaQgXSejp7g0U/td
U6RJWu7wXZZasQlhsHW0PjDjR1ejnJGiEpOgwZeuRWGti9Akc7aFbd6CvgQBWn9n3WUv6uqlMb+d
s2Ta4WJ410Z9Gw6tvrLHYG/b7TmfEzKzkhDKVTW8Auh/TNuJ4MxEvzet9iVwgKZCt2GrRph0CbAJ
bDg0t6vOSuqNPgVvtj2Tt2uBg3Hc+pYRw6WQhCGEs3FPJly1CrvoFgbBMRPWp2xBZdeYSkGDwxJN
vJpG3ugYV7Xb8rfdfSbql86MDsW4DHeS4KVo1Isbv5sDTRxpfjSu+1EbzaWeo2erGD8SSSyXYYp5
DXXoRuPNEnY47LMQxHzcarSBtC7YTkl030TmGT3ReTYrf2nNcOA2Uig+TA4OsY48wdJpDw+C4whe
8yt0n0xgNag6ARiyOFTBLtY6ta2CFPpMJzZOMz6qRjsSKsruardkiQLgw8R/KSfpeiyq9OLL3IBM
NuwcprvrOupCBjaps0vssKadjxRU9T6FXmcgNk75qT0ZNO6HJ9+xmd50N0p0FwE13dM0t9rVMkep
ZDj0b5ODYQUsZu0AP2GY6cOL+pBpaGRrAzIMD5rvDUV/JWxxhl1g8Dfr91ir71Rv3QyBOASxzfTS
iMlCKsjIkntXJ2YomdVjC9RPZMET5NtPHFeal8xGsbI6JVd9RTC6080vecwEBunVEevDs9bh50qb
4VFzsXHyq9CAIRhvzD65nzRjYqqj4BLp7P4NXYioKE9yci+JZMbdTqOxcooBpn8/bEZnLC7EBwQ8
K7WDCzZiXJq4+6Flw03MenxrfXISAPT6a7NuUJMk8XOXrEG3P0ITJhfHjUiAJzRJyr7znJYY1hx3
LqLUutyPuuFTujOiKYcTh4R5ncWRuUbhcgsyOISsWxG1ZWTnaOFwQi1QXmQirx2DebG6vyVjxenY
FPeSAdn0lYhlKw3qu8JuNuY0MrXFwe7I4gm1/JfQRYzLUn7Vs3h1G/ea2J5zOU33hkKWxxAq3Kgp
JOs7q+7CrnlLSdUlS+BA7vdR0gr3ap38Pu69mEOOROU8fRlN/S3QuquhaG/TUlskA8k2yts1Z72T
6fajB24TElK+UBiW01vnhj2Js+1XucAr03FYGNr2G0HM32yW6FVTaAmmKAoExk7q2HYAEBsAJnTN
5QurLvHPU800I1Ufre6AcKYbv2ZBvqL/PAI06UgGm/tj65vstHVwp8LxLY7oqCOykNu2alJkyECN
GlntFY65KozmJRfqvrWqjs55vklHpvlVwliScL6ah67gkXDUKa2jeFOM/rlImbLIzh89WwvufV+C
8XDvXV/uzZGIDJW7nC+m9M4v4SAHerUNWid9qRkwoyzorzVhG16XLg+2FT9DC4LN0g/JlmWV4sAI
38ccqVEniQMY8iML+t0ki35f4R5bswHclrKHcrqYwxF77kIBVLRvTAlXGd+kkx/J+ZNeUqXXTdjf
RhY1jhGDCWWsAyOm1jd5kPK7fX9vKcKw57x7b5jQr9yyhiuRGyFzl4oEwln7YrTCfhHW0c5xSb2Z
indl8mxXKfhFDkIa5v0gWHChOSFTLgzFonrRncz3Wgd8ZzaNCsIKhBlAfkgLWbOtMhcEmQiIUy3h
b270XJTcSIOfb7Fec9rmkiM5Rq0+mLBV2lEEW9clW0IxHT2Y5oCoXjIcDyUDt8JK+Zb6R4z+twN7
otfGTsEX08QIz6wAhsPE7ebYCWwQ/oyjF2YGbR7WiYxPE1hMLBT24AViGFZaoh6tdtot/FersG7i
oPwcdf65RsYvCMgiBjLMeFSXX6MEqs5oLzgvA4yw7XyJDTq0aQm4YTI68sdE8QJELT00c/UIYaZa
p7n5rE3y0kbt96FKt0yFHtnsBYRWxGbs/4eGDC07qh7cOdnTpB4A6DKcTFFuryY57PF5MsidAD/0
EipYvSQF2fZHBHltnREl6lVE9GynwrnT/azaWIwlmchDcC/LjBli2vkHUU9vSuNmaMPeIHzdeRhz
O2HQoh2jIHiD9EjyNnXlGJe7oir4fbu8IcdDXxWuCDakhX4g8ZBAuqJXKSB0xpW6wQLyVEi188t0
3M+B+RULtHImZRID6DrcOGOO7MAmObFVOGYEKqkNlth2pUeTuyL48VVRhrgyiTZzyYWtQfKuwwmr
BAl+g6e0+E0ABU4iNApt5Mde1YO17VO+6rYmmFt2lGqLwl0k+zgghChygKqJ1oCbZyypFWShb5Tr
QDXQKD2doN72uim8Iut7JFqTVyR41yZNPWdOoK8YiFleVmkPYT081i72jTxyvWJIr4EpWaugw2YQ
IONfw1K4bxVEXT9tD13QNbj93UeZdzdBOizEzHYB2GmdVymeJ7Nvt2OgpWsjyQ8aJyceyFgAPEAp
Q8bJaLCf822xhcT7SonBIxPwc0DVqJXqSwntQWPwt7azBRDvJl/2gnYne+Cjn+orl52ciaP1gYQX
wUFH4RLoR7JD8rU7U7GOKnkOMirxaqRscjrlxVpGkOI7Q69rDgZy5Uh4qXoXH0ur1hGWxfGZqPaD
XwF+dZzkNdAsCAtD/KDXTg6IXbuzYSKC8ikO0h2eR85csKVmiPmwKjZVi+ZysjrACknFxwGFBFyJ
dNiikFcOUHXHmYiMteGT8Nx9MRPKFobIuAkSc4ti+qXseXTDWr9NAwRj3AsnU0XtJrdihKNJea8i
rpFF35Lj5cg6Xecn2ij5tlaEAjntR5zBcWWs9VyNqNGzTjwiCT2OU/pgwKteD4RWFrZAAU4Txhng
RKGFGtZF2l2XTb3NxeisxNS0LIei4K6NP13OxmD4aMyM+eec1ceZlPsF9ntgYvUSxeQ52PFj2aOv
ajjl2QlLH/jtzgvdwSa/NeJNdvZOjPWXCjnS2cX4amac+XrSTaM0fukANvm+vw6T/M13kve47SDc
VUfkDvo6yEYGyTk7pYlfpLLvxlDfjBa0Wb8q7sfG3ZeSxraFPQPLb4s4m8yFiSRS0iN9mrd1f12P
xaGLygWG0xvHJtYh4wa2kdym+axepiJSzrnSrJ4/sFrSICdHeZ0FfOm/NeiPGnQZWfznGvQm7bK3
5t9L0OW3/lmCApgDLodwFG/2LyUo0m7Urfg8oDz8UGn/3u2FSif5EWccBKlSpx79uQqFIGeQyvhb
sxfp69/p9tr/1u2VNuMALCiL+Jy+xfLzn6pQGQY5euxJv1iQgZM9lE2DxbRKTrGfenJubp1wfvYx
pRlVm+6GwH3WMPjhPqB+K4KdS/wsrrKRjlVJYlJR36q+gAoprjoflUc2HsyxWc/d3oq1V9JCjn6w
hYt10WM3OBUku3nKmty1rTMVTho0gWqav6cS8/y0LD6gu16Rkqcbx9TarRza17nAvWSwi5hWfxMN
rbmpwFzyc3E19xCKqepPksntqrPTp1zrJjBz4jMqm69hNr47GmKYoktCypbxPnPGwUNR9TpM2nM9
Q54c6XfFxNIApHLPuZqmK00md0onyWjMAWKO5NlizOcv+s2X5Xe0DWforL2+hsND1LIRRSsOjUQ+
h3WFJMD8EMmLRTu4UcQNCy+iMNirBbPh2229Hsxhkp6VgClC42maDOyp/JFUma37pkeEy22isUZx
kfchkNY82WObrzYQaNl15VhuxEKoY9qwSAiI4hN4KpFU9iz2iuUBaP7Q3qIdhTk7p/VtX5jxriuh
OpR2yle1lJxNzcE8rIgsy3J46lmlXoq5NlZDlwwbWUtnVRREBrZdSIKtW2Qb3/WZCNjDdIssW3Lw
j8U6xlkZFqo4umgx6M7K6ES3K14PbtccQ5g8u7EOphVCCs4AFbYBsOOk9OJM/TLcwtlVVLhelfjB
Xlfae99y+QxQZxuw4FBRK9bkCMnxXgr16WqFtero7G8QSFJ8u/KQCjZpzHDpjWOSgKM3OWp+bYo2
rp7LnUxN2EZ9Y+1ITvjMRt3dAaDHXFBr6Q2thODIN4dxwB/yN6dA7mhMkdj7AuhBIzSxymlHr0y9
TWrsP5yqMgwM7+UElaUgLZH6hQiT1tHqq8Euhqtg6OqdGyLHhipm7kqyAzZcPFowjfUVMckEihdC
2JLmbsliCFdizhAku2W4qsnXfBcZdCJojhQQBJLARkOfUlEVbPxg0Gkx+LmCJ9ul7zxzwbGmsbgf
5iRvNyHwLUHUi4N5trfq+CuFc7wnlsm4LXRIyAAlmit6NQJxaxl5tRgfUk0P0BenOExNN0GLXT1N
mht4YvZhMNLB3DQhYOO+edWC6jktcoCwjjtswmyGIpkVBfIatnh7ip/0vLiJqyb6NtHLXxlhECIz
dGinlohx5u6WqtGhiMHAAcmyOridIvC9/9YJfzsETuiNrvY1xO2C/Y9eTS0+ouF+GRWbLIRy5eFx
XRYR98RXcegS96vgOcXZS1B85jwIx7qpdHxNBI2t8ro420J+GMp97lMNz1Y9snfWzsGp630xN/fN
7D5WGNc2os1Cr+rqDQzDaBX50bQzjRk5cs6xwAEZNQQNhXB4F8AiXtkBhsyOrfrKEvPbGNO1GHJj
HxXhMbH9i2MOJ200aZfTVORJgfJOgw/FWJSCPUN/+x47ef5NJW28D8wejZzsTDRQrjwyrLBWUhVE
YFrZu9tYrFmiy2mxVzfFoN2rplkg8Ul0DBBYrsYiKDcJrjPektZCOwQlV46sSX4xBLcZ2o9Vw+Ny
2y0Pzyw4fSCJivdtaYWbmCzTHe2M6C4N6nLtGIhUWWE6zOgKH5k1urtS6tNmjkOSk5fUKuHb026k
Ut/4dLQQ72Vy484x1P/a+mqmgEBnOR9Qo14E+uTMjK8hbWQbcxDGzhxA/5tEL28TGJ3b0LbINPJ9
oHmiKPaGGgnsLhElhumMVC4ydoY5stTHvNsw46k1BgpMCqyAQ2iaQnhjlRKVr+8G8nhurbq3Fupx
QBidrnZanOADziArV/iO8foA/meZ6n6boP93rL2oJ/7zUeeh45ic5Z//fthZfu/3ww6xOXhyYO8o
5BiL8eynfrsgUQcimI2SRgGGpxX/u5PHwQrLvFtAP8P6puPY+WfLHS8sf0CiMCAImgFMvf/GYec3
Ps6/Wu4Le0iCjjCVbkAGWugSfzzs6CyMmUZi22W2wiN675Xs2U1Gwi9mpnvbHl49S2x6kiUaV05m
cLL1XYQdJey0Ax7wtTsYtzlSu87Uj0NTviWdfAVQ57ECn8ZZvw5cuZ9DfHCJVkxeaAevzZTe9j7S
XJVlb7h9lceYsFqRa1F6s07jN5tQ56UJZyona/Pnwgxx4xQOEYrZjRMmjJIo0hHia17tJu9k/G4J
W2C+XFzK2qLl58Yvgw6vt8jVxaHPRXBFsiRlQL3tVPEdQRk9k5E+/xzaNBj7RIeE71y3rX0w/eyB
RuLnJOcTpOD31McqMRFhSTDwrlDdlbKWIWCvLuSzHNM2DZAGW48mENu5aL8NodqSKkrUj07/ZHCd
G+nWV+w7ZG4m53jAH6/pPvUGuWyxzaBYr7VnlzntqoAQIKz4GuIBg7ZyumL/aQ9wECG1JATRhIqk
Vy12v412doPdBuuFU5zL6lYU5jajozDZ+gVR2LYzx7tJ53AWx5ijINybOo6HVHvppY9CWGxVRyfX
7dHQm2n2Tp7SY6kRP5FBCCXeKz5P2IVJ/YLVP/q04BKVPVXyoKYGqjJJlMXKrOz+HAhn6w+s/5ml
oFR2PRBX2IWYLoBpNum6rfKnjrfhV2SbJhH9CDkUOytiVF47wFnFdEU+K3DRWKO5Ipx0XUwOI8PJ
vIuc4moY/O9YDDjlKPUgC3WnGTjHWNev3YwYpM6yQy8smXFEdXinWf7Bilt5jX6dlk4VPzh+/uEI
5GJ+dksI4Xco8U+BK8hMMSx6YHyofenrsNg132GTGAOPkmBryiXxzva9tIgStLrdegYMYM3JTqAZ
TQyW7rwDb2s03adjWeVaKpJAhF2+FJwCXb1Mr0OLb7tK6X2CzB3gNujNymxIONQQH63mkW6A0t3y
RD7gYzUnNE07mouCap8IbJ2Nx4Gv2uUkNtXFlSCq5VpnpN85zUuk7GtLWnfkqUaeHbmI+vR53mU5
zcycM+/WnSjvoUp8K/Pq3um58NYApciaz6Lzv/u9RqRPb925pXPXDf5+MEk31H3/YCcaBxFu+hWn
/C3xNkvjmymXESQNDE9O03FV052Zp7fAnDmPNDgFUr7RVavVx7bX1iJRjKFsBgxpFl0I5YL/Z2Sb
KbnTYgguPlOLYH5j2PzW9uohGPuHJNXX3ejcMNNOvCGYaYoatLLMSHuaHEZGbWpvQgJ9wx/JvlEF
TFQnjqWzMODkBABzXacjIJAN/iiJT5WAIoN8G2NsTikieQTgaEegD2+gdLwVM9E2ZWt56EgnLldU
4i60MebX9BuNarjPllidqiEOxjcCKGImHeVhid8ZSDdf8edfxhLNM1mpv+Igj/8o1e4YQH02GbeE
VFlEk8V+LMn4aZawH8rUz7IUF5sUIHibijgyMghyBNlbBdGc3O762ic9aMyhW2dLoBAFG5OfJWSo
I21ILrFDDAbydRARRdT39KYQou59qcZ9QV5RpSIqSpZGWonbyuwIpAjlaW7DS5MSym0tsUcT+UdD
nJGPIYliJBkpXhKSZtZKEpPQkRte8SNEqbDfIBXjgA+PxhKzNERY+CzRPWL10T2M9UtxxVitXgKa
iDR47dX8WreMTJYIpwC8Fxj0bpOxwIER7+5LB+dbTfJTZ2qAZRg1esMSC8W5/Z3+JEtF6RXkRrHQ
7YIKN5shm4eJZKnEaJ/ryjHxTHTPcgmf0o1BZ9hBINXcxP06+hFSFWIXK5bgqlQ3KQvj+xzg8lwS
beUn+uuQMLJx4cBYP1KwXOo3s1QrtzaeenU7NMfZfxkYfIbmLQO0FRPLJzqEjxGJWmqJ1lJkbBlL
2Fa5xG6JWH3qLPQbnUQuevI82ktIl7bEddlLcFe6RHhFEgOsS3RZmd71rrG3R8K+iLLazJN+n1vq
KlziwKKge7Zbxjuiao9Ve4ZPsGotEuMDG3f3kidGtEqEZbZG+F9HzzqhY+mSPsaUTCemqT65SzJZ
P3XJ1lzSymamweiXKAwtoswGIs0shsReo2hPrPQiYHY0dUBm5Fh8OnjHT0PeUn1Q1Vr2c4zqY1e3
EXmebTVPZ53Bihc2XGdQOGofOPBvIqDBrF9Hv53dC+7c4iJmDcBN08pDb4fntA4d562T07Sbx5Gk
j5LAYTYPwuerYJtZ+skorQOr0VH53DqosIHMMvLTamk+oWhjhegrZqeNtqeDeJayCfZ5KD7NSXz6
U/DOlkPPIxwhR9P3d2wayoKPzntsTL1YJ2P6MUbIwayAuHGBHokpGMtDoF7CEX/ipLfxZqjCDaqU
ggb9vFW9tnj+1FXAl12+t+KoS3+JlN9r2mCcSVe+mOUIR4m8Zi9JxSNfP7u4nn6WY3zsUbJsy2q8
xd61ix3QO5Zp59t8FFhNa1GuI2xFlObDS96OjCzTe0tOa5Vaj5mLiK6KGXzNyWGQMNuj9KbnOWH8
N271tnywC/nB4nqDZTD3EHURNk+Gta7VWxY4DvcSqI6rN+c8xPhio4XLVWuQlJZdbLcGUe6HuOjc
ZNrUY8v9MAQpnr2ZAlo1m2yktC+VbGDnGG9zw2A1HYadTS93hZz8zCH3pa7L69FObUYF2kaPKHEH
B1ldzEzOuKur/oond4+5XCAgDB/LGfJTHKWnQWerTfTryCcYOy2erVJ/GfxkqVnt58YYT8VIF3+I
XMp0bYlMtIKnbBK5R+bDYY6OtaxPzNS25WAwtoocZIEle7SmHmnJnOaRXkAevafSOhIll3LZp+se
X81+qid65KM6ZQSF01JjIdTCnbAiBpyWxHhoXA9ivupq0/QC7GaemsnzHrLsxvTRKTCg1FYanqM1
bYh51Xdu6Q3SQImQ5RNJayicnLneN9JAMSDid3vgDOOM3Y1dNiYwf9p5gds011lV01w2h6sUu+4C
jdolqa/tXMYHnDn9lofLwt0mH1SrHRV14k6FxcHltAXZvTSpGOfeVf+A/P23HFvIm/+5HLt/+wDu
j8q4+PeCbPnN3wsyorfRCzsgFiHV/gYT+gmt4ChjYYv89pOftMYLZY/DMQcJ/mMQ/PWvgsz5H0FX
mtgp3COIo/6e1phgFgqufxVkP7TGDpoq+tlCQuL7ldFoxn3eYGsnhjp1BHP3qNxiuYo3ZdwTOzG2
W3I9Gtokluxf2d+vyoYOhRKOvWL4xMh9Cpq1nzs64ShqgxonYzKd254SkXYl2vnN8o357Hbt56Aq
IHJ4A1dl6t9ziFCnvGepmHqzonvSV2ek2ps4CJ/acNgMPInbyHWOWWscZa1/JeP0NITZ0ZbJpUpx
furG3o0I9mNVCldRZpbUTDp+6clM16OQjRe4XUg/R33GNtJlpX1Leu1z6BfQvY+geRw4gpLH/L2C
BbhKhHZuRU/QM0Pq1ZAMpAO66n2ZhZOIjXc4tYlV7ZnPrrupeAqz4tZQKD8LtLD2xDyq6tp+E9S7
LjgF0YGkibuqUScz9T/nxXCe3ygda7JZJ+fcVdt5jJ+zigRoRJphbj30FoIyEX9NgVwWduPWIZAF
SAENxT5oHguN5Xfq0Np0aZhux5a42Mql1VWr6T4LWosp2SD3DbhEz2Q934i8s2l+y5lQZZ1QKj92
N1QzzVq2wT4JWZwz+IBdp8V32PwNeEwpvcRJskRHjL+tgmCOGpUG8zQaywma8yNHgruiGfHQ4S/a
dSP2XGw569psI6y9sbXvfPSsT3mg2cHJaObsmahODX02sRN8ff3sjSbThX6MaBxbzleD7XAM+0vY
kppmZk1rw6ZrG/dbvZDQOJLaGoLS1N1HUve3wOioNwVbBc1DtOfowrclJd4pm43o0cFDzeliRMXu
fksIr6JnWkaXQcYGEMeuRkbuPLj5cDBBR6LE6HAs6um+1vX/Ze88ltvIsnX9KhU9T0Z6M+gTceBB
0BtJ1CSDIqn03ufTn28TpIoSUequCw5wIwo96ChJTAIb26z9r9/cSg1oWCN32ryHabGEFOJdwUOl
k8jJdV6lDq0/xlKr2tPeH7IbZoCFpYiVER8b9xfQNqq53XT5jVe03yqELBsrUltYHv5TrgDejvog
c1YqZ5KdAerKyC8hbSlkp9bNqmzccqWiur8uzCImYMVKbyIVgX+uBP601fObzK5ndW1Kk7EZCeoI
jFVvpiJyVwIlxSOBkKABVbjjTiXIUtOEuNi5EaCpr03FXgyBC8lnkO97N58WfvfJHuDpa6k8cHxA
q/LIip+ovS6tYZt1X6MQskY6Fi61b50uidCNHiLNqFYxEvHJWNjHUUd91I61PS9rZ9Rn5UiQqAnv
+bLTFPfER1t5SsreWUUnjroY4ZSVBazMpC0XZHlgZaim1alkj3A/FPhKkO/H+T+d0G0nFMHJ786j
9I/T+/pp13HED/44jtQjmexHxP1kYcm6yV/9OI7UIzqagH+4VnEoCejwFR+0jrjCAQLi5iPLBqZ0
fx5H1pEis9fKBv5BaKHRqvwNfPD9YUR0N/FhhoqSxlKfCbtvWqFV0zVFYg4dDMiLkmyUAd7Mm0G5
2B5sb/WRvNM3x53AHyEXY2QEdGHhta5zsL5tttLPiLTGappzqEfHgfVJkkmEvKz0leJedO1ZpWxn
41/qMVVhD/bb3yje0ZvPpGIAEbDZNKhvG2lC+lXtTEjfU8W1MqsuuzKzj9vayM/MCHvQylyYIQ3G
wu3xka2T2uJITM2vveqoa1Pjtj/QgZlxxdAmmu0DQdFjtUE18lJ+bKXou9NLX4TlcqaQp0GdD+Tl
UTamA00mTfVZuDHB4okXeLiemEvA0WCBMa+28HIu+e7Qp3D1A+5lJc2RlGYVZ1RwLXVEAjfBld22
GxDkbGIFUO0Kl28J2C9x7ZxKvZ5xr5xgK3PpYpI0IdxplWXKReuTd22b65SY8kkUehsiPfH9km5L
ul8E6n5tR+2it/xVa43VXCHZNqhpGub2sR8YPWa0WYfbQVktXX84zbAYu7ZqGR0M6ZRVep3RSFqZ
BRcEFC0QfHypvoTtxB80CdyM89jTT2pYyWc0j42VXtVwQBut+BbJ9olp0jHSCb60gnUfdael42Jl
Ep1xJf3MyQMsybaItYG2KEkuwjjuMab3ieWtftrn+rELDNRG+UlNoCb2TWsu1RfyWExTt5gF/XBC
gXHS2Njd1mMiczHoNlUrfy4ada7rmej2jrcGHL8J4BLRaU16kUb1EqOKs2iMjuUMDLnPuQJFNZgY
ghairhFr0b2M51Vo3eKGQlKABIdPTfJm3TRdTWtHhS4QFMNJTDrzooJmHSePjtSd6759VTVophSf
6DXfLxcKBhJuHFw0qXTdtSnhPnwtIIBzO3AmVlI/Wj6GPooZYqvazZ0mgbXeK5jTmDPcGS7rJvOB
AzjpOn3Zle1Cxm+uNvEBUeRZlmXXY6pfJG5BQHtPi6uOo/aqH/wr7CrXJTbJdm5/wWQOUYpRYogh
adzwyu+p1jKbHPpW8LhHtGe6rKOoaZ9kElBTCOKFjnyDHQy7Iay5NC2Yk30Nruhd+EF7qhuQooxk
2csGWAlKo97dVBURb1ggVGMtnGDOUMvP1E5as1FcDrZXw93EyFbT3QUV1Se9rIRfLIF8IusVPHxY
RZ1BUlhMvQGmgi5AOo6q8abKO2rXuOYan12HLR34EDZfQ6E1bWz13mnCe25ppxlcRbBxLA+6ipuz
W3XUJm5rr/459J4PPf23EpTr+7S+/2Ma35f3729h4kd/HHvKkcq5BzHEcCDz/HLsERXKPUrDZfG5
wfXm2EPMaWqceFvu0BsOkHmEaJu8G5MW21ZC+neOPeUdB8jmxoRTJPpjg98mtKVvDwlL8RTANyMj
rKeMJ8QsqlMcvgZcUiCnqb2nrME5FrFGyFqCCTeOGP5d4ljHSUuUBl6JWUzPvSnW+C2ejxKNdR3o
GZggOyE+i25QUH4aZBje8O5mdiWuFlI9b4foZmscU4/YbCEuSLPQuuxBhjxisUTeIWYkeGnYRieD
ScpnI4sM5qPeLn2UVdPIYFNK5ZqGDyFeY0hfSfGwBcGZb3Qz8q1kA5mq2SUzydVxmcMOZBho72P1
bsz8vu4hSsu3rYIhdjjMO7WuZjV0VXF5xL2uNB6wi0M/IfpVhSMEcy23FHyyYPik4YPD9XA+uCgI
G3ouINb+mj3HXcc5OwN07nmWSvKSflW8MQypO8HYDtPrNoFdXoa3QZFEyOLgqnOEnXPBmhqCg9CN
0NjNBu1TAekhKm5NyzvPCwXLaA1jsj4oFqhJmgnhX80slWKB5MjkoYnrWlQ0pzk24tNoyOIFIYRc
NYxjVP6fkrC9cuj8w4kmxWHslJWlFYCNUfAIY/bUS8czOhig8RZaySYsv8S1NHUFPzkK8pPGt+ky
omKaeggjpbGvYda6iCKzUJvkdQiErZprHKouI3dAl9SRNqiO3ryARb5AjPlQqMB4qlydqRqMokJa
ZnJyktA7oSzZaKgxp4le0R9jzrhNdVEEJumcEUMjA//OdZi6VepNq7BZFoV2ahl+tKidTIIvHGar
SElnUS4ty1C6iPqsOkVdhCd4GZRshOaVaqqnTh4LPy/kCnpCkCVE3Xyi0SaZxHpdYRckYxzQuUQY
Vje9g99CG6annu5+HQpi/2KESF6lmTOjlj/pRfEVa3kL74cQb/TanNmBdwkx50Tpk9no9WdYaj8i
usxJ1KoYw8pcewWa29E0TuqmOg+yqpAus8yKx6ehJ8faSpKZE+WfoD4VUMmI0QtG/TSFDHsc1s5d
FslXtVE+2qRal1jD5KO3oB6b5VV37NTSopTVTRb7Z0GWHfchiCmhIG2KdVdR+dwy3aZbm67xfTSl
hkqsQ/oZNK7VwkdpR4Qh46lXUNko8FgXXO56wlxNfq++zONy2Yl6iOw9+EXaRWncVaJeShrnNuWk
jimkSrWk+KqNdUeJ5eXjRTOqK7cN4CwbzSWbHTbrmMWREjqRAo/ZR8EGe/qEdC1YwnaNdDu4shRL
oDjXY97jVCaqPl/Uf2pZs1ASK106nkIBJOpEjYIxFpVjIWpIVVSTmagrpYaZg1tlSB47VWdC+WlT
hlp6+j2jLE1EfapTqI6pd2IQsU3PlBrWENWsXLoWyZL5N7uR3BMn8k/pSbJNyPJFkpEf2liFcg6J
5UkboTFjOPLUVBLBtWZ/BXMvX2tp+1XJEN/p8pchsE7tuFg4gsJNCK4ztfVKhzrjfU57p5kB6ixy
e1i2LsqyvLxwgngj0z4AXm7xp3LPQgt4JzCjVYaD57ElGbc2onh+czvFGeBGkRFZ+EYGEapQ8jkg
fT8vJPW0ZxlcWJlzRUG66mM9mKZxCysLVoEqMnvxkMfs2qpnfFb6HxGaDAdTUL+A1Fxj0UtofTxH
DvHdcx6C3Lqqau0qYkw4B/Cs89KY6sm+AAgj/xHfX7eN9EnuWuWkHenrd2249IsCk7Yw5mZRS48B
j4NbXswMEWloeGdot2GRN0G70SUlnfOFDitD7a+EeFdJcn/mYSAww09whf2RzbItvTX+A6TmziJb
2/gQVwGerK9yNQZrtmNESuh/PQIcJb+4VgN3adJgJsncbOY9eBM++9VDpPrBVALALg1cgduiQG2O
K56q5teN0Z/o8PHBLIplQ2fXiPKzLiPCK1c6jEf7KxnNISatw8LAkC4rnJWkSN2NPw7NomvUp8gB
Rqksi2a7FSI9g5j9Tz21raeoYX4DImQAnrtKKX7qRymlHmmwJMGkbUPk4lGq/EAQtCNCAHHHRxKn
bz31XxEE+wghpm5jCayIGkeY+L6KegG0LQ3UQYezhBjXVP8WgmBT5f1y34a37ehEzWBbbFvC5Ptt
KcXZEucRxrDnaIBwMjVorXBPMJuHMmzmrY5Jgpy40Upy2d9Cxfnk1jiMuSWwMNfgb3USX1tJ53Bc
qrOmxtTIzYNvjSSvq7Y4iaTQm5ZwOydB0c5cE+kJkZtfUVh4y0oloDMpinXRelNtDM61WlrjeHda
RbgVlIRXcjngiBnAvqzKXqXo3cZOmllwjuvOzKaZNF5EuHBMOQyuVK2+Q9lI6k2UXg4RXI0sR6ri
c6q6bVhNwN7RmZi0gr7EwfAVfWdD+m94VZVY4pUFIo3E2CQyVpaYti6HLFNP5Vw/R46nT1Brb0YA
hzZtNnblPuZOtwlU86s6mNGl3sMK8FL3tNMht3iqdIcgas5NUrkvh0xA4+SPV+WnQJUfPWJjJ12u
FVN2sNvekh5hTPBBAG2RQJ0OsefPFT6DK0enwZjfk7dTLVoX9lA34Jrrq4WxTCHTuL2Pj6Gd3A65
ew4I9DUxETJHlnrS28Wy1qNs4mBBMKGHubArb1m4xnmkUk0a3bhqOkWeDqPzKTRhIwkvg5beXG23
08oOL9OEC2Sb9if4Rpx0AORzSERfAp/441alBCuc6FNRDdC1ovqLMeIeayLuravke2aXp5hmeyd+
5J05vu7PUmz+uqqpp0qtrioXCKIqvBs1Ltdyzl5nW7Vz3JlNPldN/xFfh2vPHZaQuPs5R9nxkKnP
sMdTr+eb0UzBeerP/NkqzdgW9dbmMFXJTPTDmrzBMD5x+uTGPMkUQUDD9NFkPc3gbPszq6m+J0qx
Cq1yabYF4q2m9HCbi06VppjnWYPoJ0Kc3UrVtdKWS8IU7vRB4SBHOJTbxgb4wJnWaIZmaZpcNqE/
LIoK66N6JCgGxvvgQ67R6T4hBC5Pcwcz5zAhokYdtKXqZZvI0BexAzoQAfzqUXcc+nWIrGg4Kx3G
Xnc39YivrGRjF/rQeFn52U9rDctcB38HE/7xlSq42d7Ehgx4KedOcQWPNYmXSh8sak1eIJVDPqC6
3yMPU0yDNCc/w7tQJvPVSvtPlVl+qyOMTvIsu7Q8XCn96BI61NrGiXRKD2CW9xbwuAWJI5YxwDfq
M0WLdT5cPi8szEK1PsR6uid92UXy58TWOA2x0Z7mQTKraZJr5oBPtDrDzOKr7WKg6gy3fNH+xA6l
9RBIJ2nhL/0ISiLFMZ5rUy/EtxeuBgIpfDChpvdAYrD6jrW8/qwU5cw3Bg+jnX7RIoaDeRSeoEjk
/I/oq/fWsgNtSvKEL+RTLXzJ+wYWFrnBWBIHEiKBKLVmQ4J8L3C+JETcoBrwT9rcUahFAod4XUwF
YKGvnEI+Q7rwUIHKyNj8Dr0FVVl3Zlo+nNKmWZN4AYlOhYQOt5fvFu8cqVk1VfmA3fB52NuzKtRv
kL0mE2coT8bIMmmipXM9YhXKNqx9+PsLsPtro3GfCrh3kPuSde14NjY37UrxUJlLBVAb7Em63+3G
h6aARtieEHQx9fXmtLPSDS4KKUxDBC6efYcvJ2IwWzgaTcpBXjpWcxGY7WdZzdciJtpsZWsehTH7
X59KkAuyK61xaqKtSsyaPUQW4QoJwiQP2jPXHG8KiPGFWl+6anNcFu3ELMB/emeYjSOUKLOca9hq
I6poZxWUenZhbeEY9UZOx4WNXePUGSQo/7JgY8LyUJuvWgBLrVMNba3AnlFEnpXnXSqjfeLYQzsd
sb1dmGOHYU9EwwM5ZZR7hI5IgbPWPKNBjtBfaLG0iIirJoPiOyT3RZrks8qs51VpS4sgKNJpJ9Xn
Q51f1JZ92wvngMQwEE0nhjPvQzX+EqESmnl5+z2smg3OqJ/iJuXal534DghbUwZX1P8zFRgNowkQ
SSU/8/t+UYTjbaSoIzEn0Sd24HmVGpel5GbYTzt3kll+7ot+0yU+qUtNYk213J7Wir9RMYn1e+Oc
sOiNXosLqT4gXHRCLHtczDxXsOKjTzD8u2imSKmykEYSsu3ensdysFaNiEtrl4yzPvMf9VZrZvBa
IXhCEXXG8VwpE21OueBhKqAseuCGiasV3626jaZOHZ3SZmO7BI6eEfb9OQvViyxRr0AMaSGin+39
6gH+8wwkmEJ9OK/Mfj2q7F+lhTw2NdLbfpA+5X12EwcUv0gRZ3nMPdCmudBGuErrow1EmXN3Jqjq
sqxDQsdiK1zpwgLaBCagmabQCd+8qad29B9UYSD4c78d30e6G6aBY5hIr/25PKkKujODo8Fwuk4m
X4xFe1FMuc9Mnfubq+oUV9J5Nq1XwYmx7Gb+Klv4x4a3Ck/95T8F7rbApf/ymwI3eCp3YoX81I8C
F70gORNYwlCyQtmgwPxR4ELmYFbhDaeQHPUMI74WuM6RhSE/JadhAgwaDg98LXBJU8Qd0cYjkzr3
uWL+G1jhDsYGekFRf4NXyqpKwszPM2jU/MRXs0A+16Ac0zwY8UxWvmbeI4lMowHIVJrpCY7dMAU7
B2ZSzp+XqnUO4fC8KXJiI7yruGm+ktYwRQDVL6vI/5IScl9w99RSm0MBAKey7nCogzjUE4hkRZva
sDAurthIVQ8Kd5/ehDLu040jx9MCs+0Zlr130DdnROhsDLjZVCj3o6AGhuMXxMHFlHjeY5+TxOlD
i8IiWFU0+yZhOn7hzFh1foTLe1SLTtBdiN/UaGcnhBl+4daQ0CdWv0td+rkom0+RkqgTvTEWpSMt
Rmu8gIlmTfhkS5j4zbRzcAUOoKVpyH0nltut64BiUhowUUGMZhWANhWmPkNifyo6bK9ybOXXsNEV
kpb1TSjHtPY7aQW1HP+LoHRXDSGGmd6vVfjlXW5edXlzRf1a3sbGcB/n3OJNWuOeL3/GOIjIyow6
Qu5Psdw2Jp1nSXMjTFcQl8Np3zQbeIdr0xEnlGscD8pjhSbJc5vbAZSVigEJzWjTipcrqBOgbfgP
P2kWAIVjKLfmSBJWBzt8KtGvqCv8IYauNQmkG1ZhNSxtu5vnGDE0FWPmeTHJgJyNJmKIsG7LM9KA
FH/uElC3JFLQ6Dd1FgyTUc/lep3ZoLa1xSGpqDVUvSKTS2uuPisgq2c1ZNwWHceNodYz81kv2T9r
JxM1I6Ywpj72gCGgRjinSVMUc4DXh1RoMMF+1ZkGY467PwpNdEmzbqweTKHddKLiO6RYczIg6xyE
vtMSSk/PiK4soUqwNOtM8rGoqIktQTqLyELyv8QIRlOhHG379joXWlJHqEr1wngMkZmqCCrGmm5L
iwDVMxGVcmk9lYU2NaowHhJq1VDoVnUErP2zktWJVrpf3tmRUS80SY9xYrXvBuF0kOtmKFRMj1yB
aAjhFc3MqZ1ZKpSzstDQxp505t3FLd4A3jFO0Y86elsD3a0KaGpE48ZM02WY5ZethuWMj1I3FwmH
JtrdGA0v1qoAKrL52c2pgA3+xFa6z95YXAbofwddqri33KWGUeFyKGUbCfelYMajuMjiviHR8SSO
Mp5Ikl9N47KnEhAxUKFfXMFU8taRD58ZI8ERQ8EeY0GC7cpprLelvCiGqHz451zZnisc1L87VzDV
H7JmRxeKn/txsiA31/HzhLpnvrD6fpws2hGOougkt6fHG3GWDmNDdqDnCT4gMUiirfVysiBSf5Zk
AavosuhrWX8HOoFC+GttAmricISJCCiTtwIh8S10ogD+N1FpZhd9KVuLtOVqpOc6ZpN6t/IhBEza
QUTIyh1njzBYkeMECxuYphEhNfiyBIlbneK6CjanaQX59aa+MvqmOusiN3/MazdZWsInxo8tbtyg
kME0pzmt0TOW+ouqTOrzIgz1O0k264XiQlacolUknCF107PIyx3U4/4VsD1FqaJgxOX53XK0zeS2
tgeDJWiV11TpzWld+daa0N0MGlcjRQvFgLOnNTKdb61SnzKjib8YcpyuPKNiKedudd/C3Zz7Mtmz
VkkirRUSgtj4bX7ZCdOiBkM1gO981naKDmdN4prwQHyJr28UHHqGflFnUbNUxhpDQ91zQv+M7Apu
qAXRpuW55ecpWlGl9699YkKxxmjwqhhroOXuDPcfHIlkbBIxgMnizrZgTLc50JCBJ36wMSUkKJOg
IQ01BLNIEGU6UN7d/s7sYu1+kCwjm2BdlS4AYDlSGjiBdZeNCHIMBPwp/u+IojlXAg/ltZu33jdm
UjDlujPeu5U/PhGs8QUDnkXqBceSBb6dKCY8agMHLSnvPKpmpRmWEVKZjafUw0mU9TntGAcsrU8y
CVVU5wWLKqm5WtJFymkmFp91K4jXsaPcahF5cLmEhMKXu3Zi2GWNAL8yr20/5+Io1c5tLhfmWc/d
dcZpgtZOrQ3clio5eSKzwPkmWZ10rMW1Ncn75Dy0FWlW1m2/bCWp6uddXBT1jHig/LslZdUaECnF
MMAWBMXR/OqNioWwCheR3o24dYf4E1VSEd4pLiS+brSGkyoas7ux6aUNkxfwziIZE9aM+wVP6O42
FTY3TdbDgiHr4MIXBjkpZtfxLNX1tppUFSEiLY4C3OV6o5p5JNfgOYMSg9RH9ckx6fbE2rHVd9ol
mSXc/gm7U56wQh0XheAeOOReTerOfsl3/4eZbfx2L76j2f1+HxY/82YfhggGeRqrb/ZOoZ/9sQ/j
V6nCZpN1y5SBt3/iZLMLk2MvLm60en6GsDWMjUzwZuykgLL/li8l3Kdf92ELi3AdUJpZpMIL+GUf
hu8TprEa9udsmcAdUEAtt7ypVcTyoWCHjoj9b4JWic/VOkmuK8EilWQFGGd0lalCb4RwbMimha6d
aZYuz+uY6+xghXTRWNi1YKn60FUdwVvNBIMVQ7P+wkGYNQVntaZO42Y3OpTXUob7WkOCbQM/OyeZ
mvJTMGSp2Mm7Jixz7rXwZytFucUyOV7FQDl4KWC7YDRrDdKtV8C+7QUP1xSM3Fhwc2ElfmWLx25M
RB8J/m4hmLy+4PSi/aHFHaU42zEE54FC7izyOockuExAESor5Tk+OSdeNfY0HHpSQYwlZTmDksN5
FWJY3SQnDUnMkQN6LaKZazKaHRHWbJDaLDf6PLI8ea6S5xyR69yS78xonmYi8FkW0c8ob7EDifyv
BqnQvYnjHIbbnz1i1YhoxeJOREi7ZEnXIlQaYIcKM6WNanqQq0eipyWTqGsRRt2n5rEJeWxS4wSH
HoXE6lpkV/tuh68FcdZ80eHUMfPrTHLPdLZ4/J5XZAyCvxKF7Q7VhSSysSORkl3W0MELgrO1kTiV
0R3PjIyvtM7JZyFkOyJsW9XKzyPh25KbI/H0MUYgltsU+dwWikbYGWw3aI/WEDCNaQyJe4afzLkh
Er7VRCA6AM4i+zsTKeBoS+9yb7zUiQcPRU641I8ShL3IgeckkvAwqbHPkU+F2jcBeAxri+yhueV7
G2r+kTQmpcTewsBQEOOBJwmIOWhsLlXSAFrGTcbFCJ+6PD5uIahMLAM3CTVRTnA1CTkBEV65ssK1
wrCD5WBEc7tQyIKXRiRChtFOW7ukQ+1F0BsQZQ4+Crggga+Qhc4C326qdpIQ8Rir3LU0VAUEPHDa
jgU+lZmpmpdfxWkKBSXQ173toD2NEvkm9V3qbB0+aJb2UAxDzOIcE8NRF+MwXU7hf7lPA56dAVqH
dWQYN2XtflXTtJ7CLJ1i6H6GTjRGdmUA6HaNTBvYXEt2qZ9bNWpc2KD1FHa3CeSlX7cRjsxubZwQ
t5RPHbrOU1kyjkvqjWNlyDaFHivrIkMlCWt0GmtfKsU9lzpvwbHVY8YTLOuiDADMkhImJ+axGMzO
7CL+5sfGws5yljrLJM+tnoElLs2vjnury9eRZNkz4DDl3Kd9M3MbyiqUl1xfcIufNLZ71hb4loWO
OVfxE8EBomWeQ52hG9ZfDgoWetBQo+NiGG1wetVdoTJExVRl+nLwXGcmSzip50W64VZszQev0Y4r
0xuPi1CRlnpWyPOsyC9NySkXYzQcw2L8gmOldqGGMPzZ/aK1FGCp6sPCkDQU1L3nzs0wvyus0Pte
pVA2fJbxpRWGT2M41iqW51pdTv5/ucu8HPGz+/p+nuJbOFw2T+Vw9VRhXFm9gkfiby8yfFtusv+3
f/T7B70kKNwM+dO//3X/mATpLKjqMnioOY7QPfGu1o///tc2hFaBR/3T7ej5jT2/698+J77nOc0j
v0EjTVbYQbPxyM8vrjkY2ngvfy1BMT/COAJCnug487vejNFfjcLvP+B2OH//b3775n8dBPnXsuTv
D8KzuEuYlVnQUHkxrD8PgnqEnz2N95cBP7xBENfTPWeCdaTBMADYxHRk5yAoRzYW4GRAbQf88AZB
aCf2HARb+LioOK9Y2+XAovt5JuDmYoMLcFM/hOXwdkswDGe7RLcqiR/71H/YDviAf+4G1hG1NrZL
YCI7dwN8bnC5UWGTKNtJcgiDsGtj/JVv8/f3BJ2eg6pqBBTtXg6KfQR9mRWjbKfKdgEe2qIQyWR7
LwrrCM2SzYVJBJXzYnB/XhTqkYq7kSWQq8M8IrZv7O8tDLH0/1wZzpGhsOq5gG7H4N0RoRzBrwJl
VA9zIojjfe+JYB9xN0Z2+1eDwPZg8YKxtW0HHtpqMGRt/43BOnIMDB5pKW73SA6dn1cDogeH/qHj
bEuqg50P+5cMtuAkEk0gwkJ+HgOZifDcJd0eJAc7BvtvjmwMQoaJAOvXMaBoJBaMhvHBbovbVbrf
tqiKaogtYbsYxKb50/VBtFFsILWDLRpfCrl9BoFKwCCAzrLIlBMvZvu7QdAdVLCHUTTyHf16hxLy
2T0rZx1FMgitrb0Mwq/bokJtif0xJOEDLRIEo2PPMSAoCZ0z+OtLdfyuUKJzCBubOOCDvUJtrzV7
rAaCpDgd2f3B+J9f7wZBRxSoa1SLB7sv7l8k4CQDUYmZsB0DUYT/vCVwQOLtCaaAtH+7ZRxk5fyC
+uwxHzTqJcGbovb6i8oZAwT2DawptmjW4RWN8kfAbBYesAZdj5cJ8ct8EJWzjcWDrRzqzqDuf0SI
c5IunfmyMby7RzIIKoQ98lwP9YwQCuL9zgjII4yAgunTu3qRExRNM44fL+NzqOfk/qvBOFJtFQdU
vFBed79fd0eTfZHL9MFOhP0vTyongGqTfQ2WL17vCibjCN08WwY3LPE61DuUSM7Yb01oOt1/WFYW
uOP29X53JNCIQBAuEs+vA10ayrai2ee0xOFAxogHEsRfDIVAqB2TSM9DPS2V/VF440iznrG27cx/
d6HioMCNzyFDfFupHV7JoOx/WppHfDxg1VcA+tcSkkEw+TsAx0MdhJc7/x7LQVwmIP1zWLwW0r/s
DKqKUT7bJD3KQ90T9m9PMts5JaiKXq7WO0AWRzEUdBAH0ZTahS/svzHaR4YF+kzJsN0Y310rRaiU
+B8bxyEfl+r+5ROkZXF1hM28HQqe+FP5BNSCl4SMBfuh1gz41e1ZM1BH6/Qh4P09f9vvyyeIC+R6
UWKah7o9voBAe2yPGjUksjaDOvL9FFBMzQaOe2lfHujuqO5fPFpHsFPgrxC78rrwf14NoHKmbqEf
e9k5DnUo9r9SkEIjtgRC3HcPhaoBvRG+q4mr90HiTcIZcs/LBNE5OtYWBg5iz693pyVqQuE8pgl7
54MchBdgdJ+NATKPbJK6+Iq1/Lo/sDvqBEtDXjjw03LvywQlpO7IYO4iSEm83uEu8hHdXFraLxeX
w7tMCPfwPRcFXUpT1oCWtl/3O7CB+cBfcgenSyVeh1o4iIysPYfCPMKKVvTqXihev+IuWMdjuKuT
lrUtWg9wPuxfTUP7tHRFxzh4uyje7Q/0bYFikWsc6pVC4Kd7zgTwaBJldW7Qz3P+/aKA10QFKbTn
h3pSbM/xfU4KMHcCqVEfvnTwdywHGaSW/fFgZ8IWJN5nEPDJojHNneqF97hrEDCBVHB73L4OdD5o
+9eQ2pFjy/iJvUBv77E3SgvYsaBOh4rNa3vXDLDihQkFhL+X29Ov2BtnBC4QMn2cQ10U2v7bI/bz
HAAYzr326365Y4K9AduDzmkHOxP23xmeb5foh15nwjvYiTNChRXvvDDwD7Ba2Hs5gLXA6ARO0P6K
FY85oQ39B5z2QDfGd9rVv08Ih/xq0ZWhHPh1HQBSW/DA6d4e6KcXotm9ayWc50zKpb+qmp+hKFMH
iznQQTD2v0XBXOKOpMEi3l01CwKDQ5VAENOBDoK+/44IyKSpKhqZl2btu6sD9yfBhzzcgtHYG3Rk
R6Qtb6IQ+YuONWcjagHKAwR0h3yfNvYuGAWhhUYlKPTLVXLHCSk2TXr3h7o9vhC097lA0KzVyPHm
vry9SvJRfwWhcRhEPidcD9iKD69MeHlj+wwCTD9bBIyDt71O+p8GAZAJCEpRyNc71EHYv2oWGLwC
awcW2/NrB/xs0Ki1qaf++0H4L6bLD4Hy1A/ix2dpcvBU7VIw/9U/eNXkvv/7N3zxZ5XhT/9SSJW3
v3zLKhf//T8/K5efp/ubv32d/s+/6eXnXz7i+1/+0y97/Vyvf7jCWfC+fPCH578YXt7oGRGR//7X
/8b83+P9r2x30SF5/bPdMusfpdLvn54H6dPrg/7UZAuZ1Z8f9b2G+797eHL/mJWvD3rzcPaVvR8+
wUB71xtnpu797Ol9fN/ylVSvz3rz3pnv+z8/i5vq3VcKdEVx9wEPT+uSYJusqnf9Cur+vX/F7Cn+
4ywrd44/e8/ez5/Hf8yyksnz+qw348/BvPfzF+VTle56OFXg3g9fxk9p+vqcN2/8I5brqkm+ZfFj
/f7xgtO791tfJ/lTGdzHr4/6890rH7Fk1wRa7nj0R6zYzVO5Y8xFL2zvQdkEqbdjIxDcuL2ffXIf
7djDBHv+Ax5dVU+7xuQjFuhJVv3xv6n3FD/tGpmPWKKn949swK/j8GYifsQSPb0vg11D8xFLVDw7
z3bt7oIlsvfXevqUPmYPwa7dS2i2P+D55cPT4+uD/hx30c3f/+EZ7/31OW+e/RHL9JT4kR2P/ohV
yqPrp/Jp2PH4j1ipZ/f5jokuQMi9B/zsqb1/XzsaWId/wMPPy3u2gNcHvfk6P2KJXsT3D087akeh
pdh7WC7iJtlV3Anx5N4PvwooHavgccfIiMbW3s//j+Hxz/ZKe9wJCEb8Y/KUBjvT6T9iqW5/QZne
l487NzKh4/2AYUr/mAVP3o5NQVAWP+T5C1bAQ1A97PodH7F8xUAdZ/dFs+u0EiYQH/IpTpqg+uP8
W1Dluz7HRyxm8Tl+ly/9ATOWKM/Jffltd5jnRyxrPsN/iAv9mE8xLZvx9Yv9c0/VP+L4vfbvd94J
9Q9Z1L9LR9h7aILfWmTv/fgsvt9VPYi++P5L7He5aHu/8/oeE8r4vqle3+mbOfMhS1fALDvOYdGC
2Xtobp78+12RcaK1sf/DqfHxGXx90p/jIroF+z+9ITh4xxEvUPgPeDgAUbILlxP49t6P/8QTml2X
K9Fc3Pvpv7FQ3ne23zXfdlTKxn9epbtg2R/ti/dg7au7464f+xmLFv/iIX66L//n/wAAAP//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extLst>
        <cx:ext uri="ext:featex">
          <cx:featureExtension feature="mp" drop="onModelChange">
            <cx:offset top="0.0083333337679505348" left="-1.25"/>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2"/>
            </a:solidFill>
            <a:ln>
              <a:solidFill>
                <a:schemeClr val="bg1"/>
              </a:solidFill>
            </a:ln>
          </cx:spPr>
        </cx:plotSurface>
        <cx:series layoutId="regionMap" uniqueId="{00000000-5006-4EAA-A6B8-37D994DE1671}">
          <cx:tx>
            <cx:txData>
              <cx:f>_xlchart.v5.2</cx:f>
              <cx:v>Sum of Quantity</cx:v>
            </cx:txData>
          </cx:tx>
          <cx:dataId val="0"/>
          <cx:layoutPr>
            <cx:geography cultureLanguage="en-US" cultureRegion="IN" attribution="Powered by Bing">
              <cx:geoCache provider="{E9337A44-BEBE-4D9F-B70C-5C5E7DAFC167}">
                <cx:binary>7H1pc9s41u5fSeXzpRsLCQJT01M1JCV5X2Jncb6wFFshwZ0EuP7698h2MhYl99BVrbr16l51z3Ql
1IEO+RBnec4B8M+H7h8PyWpZfejSJFP/eOj+/BhqXfzjjz/UQ7hKl+oolQ9VrvKf+ughT//If/6U
D6s/HqtlK7PgD4Kw+cdDuKz0qvv4r3/CaMEqP88fllrm2U29qvpPK1UnWv3FtZ2XPiwfU5l5UulK
Pmj850d3mcifeZXJ5cfNa+TPj7d5sszyD25eZ7r/+GGVaan7u75Y/flxYxjy8cMf41/b0uxDAsrr
+hGEKT8iFja5bVP09MEfPyR5FrxcNjAhR8gU3EIm+/Wzl8sUJKdr9KTP8vGxWikFN/b03y35jbuA
Z/Hv//oMHtbPYv30AwDiz4+fM6lXjx9u9VKv1McPUuVPD6vq3Xx9o59vn57MH5v4/eufo7+AZzX6
m1cQjx/sf7u0ieJ/QdiptV7tAWBxZGFCTWSZ4unDxwDjI8syGcYEoH9+r54BnqzQbnw3xSfAuylw
YOj+O4FJ87jcA772EUcmJ5zRZ3ztMb7kiNjEtBmYhtfwvkOj3QCPB5gA8Vjk4EAuZLaPOcyPmKAW
w2/NYSyObPhYlm2OQZ6q0VsYb8hPgnhD4tAQTpePebWHWcyPKExRRDgAuOl/EUBLiKBI/PLPG7N4
skJvALwpPwXgTYkDA/h27YX3AbA4wpQQAl72TTfM1pGYKcZx1mSNdiM8uqMJCI8kDgxhb5V8uMwh
mv/7Z7GJj2zLhOmK+Ru+2DwiyKTgi0fO+F1K7cZ5e4gJUG8LHRjaZ6sq+/uBptYRtZ9iarY7awKH
jOAlgCkP4dhrez1Vn90Yb0hPgHfj+weGLGTLy2ZVLdUe4OVHWDCw1bb9DC/M1rFTZhwJSKtGxvpd
Su3GeHuICUBvCx0a2jnk+uv0Sel9JFH8aboKSu03vDMB921yy8aQPr+ez+479XoD812jTIF9l9zB
IZ/Uah+YC/DFMIUhq3pjkgPzhThlwrTGmE/V6C20N+Qn4bwhcWAIz5IPXl5BYrUXS24TwSzyQo4I
sW3JYcoDAWo9e/IRB/Yu1XajvT3EBMC3hQ4M8zmQwXvhs9mRTTGzLPySZ40BX1Ml3IJ/8GhWT9do
N84j+QkgjyQODOFFssr2EXoDn02QhQWB0GszKAMfLTi2qTVKriZrshvYTfEJuG4KHBisx3X6I08e
9d9vq01gujgDBmQbWfMIM0wRsNzP4dmmP36PSrsh3hphAspbMgcG9F0loaLW7wdnyIst22JvsCTk
SEC9CkNotgn0O1TajfN4gAkwj0UODOWTtFhVcpn8/TBTcmQLwi2T4uf4mo7sNbaOLHDUFgbee/0Z
gf0ezXajvTXCBLi3ZA4M79tltk6gq3rYA+LsSNgmNhF+mdhbpWbIqAjnCG1x3O/SajfaO+5sAt47
pA4M8ZOs30dixaDsTCASs1/aCrbi7DWHJhjjfMSYTNVnN8ob0hPw3fj+gSF7Gy73woZBIAaFZEY5
fYv+JEeUY8T5OlJ7zYZN12g3uiP5CfiOJA4M4TNoQNsHv82OIACDphDTeo7AtiavOGJwDYqV4/LF
VIV247t5PxPg3RQ4MHTPl/EeipAUSk8Qc9kIWgaePlvFCwivsYUZt0ezd6o+u7HdkJ4A7cb3Dw5Z
pVZ7ID/AMpvQBMQFeYYWjWNqgmDicmFyNpq458upGr2F7ob8JHw3JA4MYYgbP1xAp+k+Qiv7yOTQ
RQAdX2/mx4RwbApzlDK9S6ndOG8PMQHqbaEDQ/s8Vx/+nQWrZLUPb2weIYsQyn9543HahKFH26TQ
HwZGff0Zof5O5XbjvmuQCcjvEjsw7Ncv93kt1YerH1IV+5jv1hGBSBqD1X626oDvJrENRh0oEujQ
hjhtI9x+v2q70X/rHie8AW+JHthbcLF8hF6T/XAmjEDJwn6pQu8AHzFoPTDxCPzpGu3GfCQ/AeqR
xMEhDIT3HgC216QYkN3opQQ9tu6wwMaiGAI2MSJKLpYTFXoL39fik+B9LXCA6Bb5XvpInsI1mL/8
JSgfz2CoOAtm2pxASvb02TTia5inavY20hsjTAR7Q+bA8IZlYJlUybLeR8BmQ5KFoM7M3sqwMXQO
rUM2ezSl36fVbrR3jDEB7x1SB4b4xSp7zB/kXppKoHl/TXPb9kspazzFCYVeMptRKkZp97uU2o33
9hAT4N4WOjC0P0no/VXycR8EGj0SHFmUvvR2r/OtjXgc29D9bSMgR0ch2buU2o329hAT0N4WOjC0
L1bVA6ztdf/21c+AJGKCcfbSWLIVnAHhxrGAzNvclXpP12s32iP5CVCPJA4N5xxM+N8PM6zLMQUS
UNB4KUxvtY5BxcsksLoSA6H6OsO+mKrQG/huiE+Bd0Pg4NDdi3Ne72BgQefYyxReu+BNcw2N3tB1
ICD8HoM7TZ+3sH0lPQnaV98/MGSvkxr20fj7Jy7UsgRlNrRvv3TzjrGFegfQZjCz6aibd7pGu9Ed
yU/AdyRxYAhfwEqTVbXaQzsgZUfMZuv9R166DbZqWviIWQz6EcY7GLxHp90ob40wAectmQND+nJZ
7IPnBCstoOMAWgqeSe4tlGGbCihcIqBRNq30VH12I7whPQHdje8fGLJ3dbKs9pEwQTsJRRjor+ct
CrYTJvDAAhrBsDUKr6ZrtBvdkfwEfEcSB4bw5apZ7mWTGQCQEZtT9FKl2Jq9wHhBAQsi6FFPyXSN
diM8kp+A8EjiwBC+qpZQh95DpEWhWxuWwXH2xjZRQHpwCzYhYePy83SNdiM8kp+A8EjiwBC+TpYP
e9mBhB9BDrTG+MVK75rD9rpbnzyXKUbZ0nS9duM8kp+A80jiwHC+XT5UsCdYpvfRUsChgxe2jIKO
gmcst/KmNSOy/gc2sVh/gOJ8TXu8T7fdeO8YYwLmO6QODvfsg7OCpVX7wB268i3YRQgaCn7P4Q0u
hADuiCBYZTfy0+s2julavYX41hiTEN+SOkjEq2xZPe6nPAXLI2GjAswhCn/6jC07+G4CqRVY//E0
Xz/69yj2V8BvjTMZ/C3JA3wBPLkK9jHjYZUdhu4SWGk3pj1tWDQLyzT4L1uwjf1knd6GfXOIiYhv
Ch0g2HOI0h+kesh/PfO/Y6deG5ZHI2RDHv2GbSdHJmxWbHG6Y5r/1mhK6vA23NvDTIR8W/AAYT/N
l2W9ryYymOQmAYB3Wnjw60TAeh4hnhP0rXgu+/AO5d7GfzzIRPTHYoeHPSyqdZbVj+VeekTN9cRe
dwi+vacJE5yasGL+2TT8MjsvO3U/ra59h3pv4r/jLqe9ATsED+0dyLM8XU6xru/eoN2kggF3/lZ5
5CkCYCa0CI9gn6zRG3hvyk8BelPi0BB+XqQOHPo+YIZOFFjhAWv23upEwUdrBh0o1lGlEzI3mF3u
VLXewHrHIFMA3yF2aKjLVbUXwGEfI4YobGnzzMDsWsoHF8Hsw9kL68/YpU/W6w3EN+WngL0pcWA4
fwH+q94L0LDnL8BI0Vt7S0J/OGzvjRFDo27hd6i0G+PxABNAHoscGMq3UsWyz+u/30+v936mkHyR
X+cwQBK2Sb2RIwYt4xas5hn56XfotBvnrbuaAPSWzIEhfbcKl/uIx2AJNmxYxGDF5hvBOKzngX2B
gWBdF8S37fZ0vXZjPZKfgPRI4tBwrnNoPtvLqRuwcosDbwpZ9ROQW20N0HwG/htjTkYz+u4dOr2B
8niEKTiPZf4XIP3XKm7c9Pr4pH//spw7+LT3HnwFnDgce8Qgp96NLrhlhiHrwrDy8unz67efk2rY
cfv3YV3PpbNdOu1G97Xsxj0+3+JfP5T/dQdb3efJPohvOBPHhs2noGNs7GjBE9uwWB62jNyEbKoi
u0HbkN6B2sZfwYltG98/NEjrH/vIgdfLrDBsCAit2k+frZ1r4Kgy2LWGQy/oCNmJ+ryB7GvpDRh3
n0N3//r7/zeQffuEut9H/XlLvZw9HRL46pC6v7769HDgbMOR6EtjwA7r9rtR8+Txz4/Q1kkhUQUO
6vf5g+uBNtoKXHDVavkLuk2pFexl9udHOG8QZi+Q2LDbPuxQRU0KOVG7erkETBckwxyW2lrglNdn
qGRwkEsIpxgK2BfHhEuwVsd6KpJ8/KDy+ukSP1pv8g7HdQgYlNmwjP7XjV7nSR/k2e+n8vLnD1md
Xucy0+rPj3By2scPxfP31vpayIKVXxhW49sQGMCxiOtu1eJh+Wm9LxY8hP/TtX4QG8w3r+KhsPuT
geUp/dGEVPtXhLk0TS+MyCDH3LcT16jD294MTCdmZuFlpEYO9pl02qSMZ7XQpqesFB2jNo483tHK
rZt8ifshcGtLLodSdV5KQ+VVip0laVC6pR9dR6X4UgS+nhWpMp2GKznj/YCOpWDKi2vsO4LFjdMa
aTMLK514IdNndVYIB9vya4PZjaTZgiVp5eadlzXDQpa6dRqUIieO8pshaL/kLD9RprIcmeTMJdoI
XFEq35HVsBRRdcNYiWB/XMIckZBrgnRyUZtDPuexlXnET3I49bL8Sf1gWUe1dlPDnul+1XbE8nqr
nDUGDbwkzS46Yn4tsqBwFG+LY1NlqVvRtnDjAocOzQ3uDFxULm66MzrIaEaqYVVzf17nzRkW7QLb
3Rz27FgoqmZVlXskwo2rkyJ2q4autCBu3PqDI5BDBnqe9cPxYLW2Uwd+5YS2dptU3vE6ybwkKY7T
OJh1eXSXCMPTOrspKnQWGrXrpzJwKyu9aQDSOjXDGepklS20gfmcs+IUW+mPTIWJK23/HDXiPGtk
5pqJn7FTTkl1gztU+N+jKgnITNE8yG6MQffFIsVZ7wQoRt/6IRK5w5r4gVh03oVV60hSPwgVzmF/
+8BtOVyWdbsqTazcSHXCSZvuWPfhpZn5fGa0XT8vdfizNVjlRLy/Z0jc6aG7wQ3+TqviFOXDvWwi
4TJL0ZkdmI+SdKctCvrvSVjGjtSF7Zo0c3lTNY6FyuPIqm58kRzbFTfOa7u86yXcVpHUpRME/Mrv
lHR5OPw0LcurQx07VszETLMeHQ/2Txzl5kxi/aXRSeilhUm8hJPLOBB0YRnytPKHRVdgy6vSpnKN
PHwI4nJwk7of5ryNCjfqgwUx1L1s8+Mcpo2b8axzeB86ha2GmQ6ywsEsPula03d5ZVz3vvGt0uiU
FRR7EYk+W34YzDic8uIov3dgNnuEV8eJHdsu0/lpZqnWCdPCrUtuOSGLf6pQXxWpuWyUf86SIXLi
PrqEZf9nBQ0bh+XiLGsT2yGUNm5k2k4VytCJdNMuyi71HR1S7BABB7nG/H6w81maWCdIBfc0psXt
YLDQMULeOQmxPttGeNsRw0Gi/VaGpjwpQnEydOWZH/DizM/VN9b5C8ztW4Oxk5DyK0OomxCxVWEO
l2laHcc5vJsD6wevwFntNST41DT5Ikb5cVDLRRWFYhZ3InNg9rDvqlEnIYnqTz5vQkdmyTzt2jOm
VTx7fW7qhsl8yIu+kkH4cvTt7z/+6y5P4d+ng1T/85frk3P/86fFKl/H0Wr8pbVr+/2t/xzGunYl
v09mHTmo5+N3fxn191x8l2tb7yr/tmt77ivfdm1Pe9G/uDZow4H96RGlFFq0BGz68R/XBsmGBStg
1iuZoMNWrL3eL9cGBxqYsBsYWrdeQ3/uus/jl2uzwB/CVn6w9m3dt8lgO7BfT2EDJ/Dpu1wbRyPX
Bj8M7aFP6yRNOLxqHVi/dm2BX6IyS/P6ckhy6XSy/l71bejEsbYd1CReXyVfLexLt8/9C1nx1rNw
q9wqa65TlZ/YwjccZZHAEU3pKUOehXV00dtD6+RE3iIUPzaoiWGuN7YTGW3q+i25yIcydXzEAjdV
xVXWoa/twL4TZX4TZdA7PBTm3E9Q7QhjmCemYczKNgwdUhmOHRiVI4voi8Wz70Wff25CSZxcq8L1
GftSlfok67KvWhhf/aw/C5l9Ram8aOLwXOfyu8p56khhX1fUekhEwGcp3JjTJ5ItCMlPa5zfpz3q
Z2ZEBxi2j90yaY+5aD/3pKhmgW7npjlo8Dq0dc1WJk5s8McybCyPJ+xc6eSuzYbY5YE1s2L+KZfi
sVTiWlpd75CyDxwURHrmt+0lL5pvKM4efJ3f+yW5Unn2YJpMuHVcBbM6a+1jZafXQSGOZagcMwq+
J0Q3syLhhdeyOHHaIn9osbiIjV57aQ8OpCB08HozFXNZgokV2D6H6X5amv55FiTeIItq3uftHFXt
aSDEcUCsT/3Q/JRmtLLT6o7KYOHT4VsaDKmHbFASQBKospy2tYVLUFQ6pCvZDWvURSi6nwn4MM83
0CJHPnLrKlJOishXM7A+mbr3PS7jOzMgP2vCmpNersWtup6btP6WGvWxysPCgZVg81rX0vNrHS0Y
S+5zM4rnpKgvSWghR8bghEusLQeZhsOGeI7sInLgtK4FuL/cCeKiceoCUEs1aV1iMa82JXXKgc+Z
VGrhq+JM+ml5OoC/96oIPIPVDp/sxFq0mTWvS7N0zcHnMJKsHKQ77PBBRV5Swxtn2a3h8gFe4l4B
hikpgllbDbd5AD6zzvg88Ju5j+rbgdNT2cbUsUmSOar0Ay9IosJp6vhB5903Dv2hjs2KHwjnlZPl
vlu1Xee0SB6zsjLc3AiPUWZEnmHHmYtQvgC3usBI1q5ChjjWYds7tOGrNCrPeZc3TqGiYlYJfcKC
vvdI3WSzIO0+56V16pNKOvA2pg6j+oeqReGiCjPHHIrhOu0YOTOzOPM6i4rgJCEipF4ct18Jj6tm
VhkqlF/gMfj6img7aGdMQojC/BRldzaci557pi4G6ogqUaGLeWpfG34o2XVfyvCall1wL+tiphJ4
hRwzNP3LQinwmqx2eds5yAqOQ1sEt2GJDDcQVneDEuPUD0pJZ53dUMupeTJ4HWeqPKlt5DOnlJ2G
2APRJPVUT13cJjd5zrpygSJKvsUtQvIiyYoa7EwSYq9j9gMK6jpyY9ZX6eC0fi6GmR+bEIxKSezg
Dmk7UffEbwLfC+lAQq9EKfO/x5YMzQtEqtRwEtHVhfv/3eVTJrhuMH7bXT4fHr/tLp/akv+TCcK6
XqBx1ufiwrv3yl0Cx24iBvtTAxMAm+ysL/1yl9D5Dl+1EOynCBU3vF7z/ctdwiFv631xf+eW5nvc
JTjEkbuETBCa8cAzgzuHxVEIbvi1uzR5GlVmTforroPq2o769JPEhf0tT0xy2rdxfN9jbc+5btBF
2xe+0wxN6GGrGb7YotW3IcqTxTBgecZE7s9sQ1ezTJbhjJfoMklCcdFQ7J9blqhuaKdBvoGTwL16
0HyG8qI7Nrg47chQwtwO9TEuaPwgfZQtoqz1PdSD360K1X1PwzA4zctwcExDRx7JUA/5Fi/cvuq/
CFK6YUKXvZ/apzWDjEbnRnuWxbmYVXnbuZ0Wvtsl6Cqmde7UMo5dwSBfCKV1DCt2tZMLqsFQRoMm
Do+iVdHj1rzRWeqVwxD8tKPiPuwCfzb4jSvj4jTKB+F2URafkEG0rjZtch3gANxffyprWs3NIrux
8hLNJNLGQrNgOB2Cmp6GIbJnCU3OsFGqE6lN4aEwNBdxkpmzhhD/mOGGO9IKwMmlRev4eXMzVFHm
FIlKnNqwBsewrFkU89whgbiMqBU7TQ9Px6iN8JNsC+qlEuMrpQj3erstTspQndYk+l4Wduekic4c
OIg9muGgOA2DctCu3wBgRosrLzFiNPcZPo7AMfVGFbid1SxSHUNIMdTFssmD6KLT5sqIcwTWJcid
FBgNr80SN46CW6AwblI7oE7cdQvSJF9I1GpxbgotnYokV02Jr3PCv6BA2W5CIWMAT9sR8IR2ac38
An6HsbhwksYMLpSyCtfO0jNF8cqy8nquWHvbhHHkKALuK0aZ6aQpurIDcQwx3wLs7HnUiYuiRYsQ
12Q2JAF2mQ9m3I/mQyCv0gFcFtPpXJhp4AxWf2H1hVfExmfoQIZwojPPmF/Dldr/npLqB21x6YmQ
P3R2vsit/nMp4tDp/MJ08kKljs5In16WsZUrFwic+sHkA6T61KrCuZ9356LNCpgVqYzPMfjE2qn7
JD8thE89G1fdecCIPPl/0Ri/tqpgHMBsvW2HX1cinqsYTyzXk9QvRg7D8oL15rQITi22gHqDAX8z
ctCZuM5LYDs0DpWU9X7EL3bYhKM+8HpTDrQun8CByK/SFgImGgaEbmYOJnxtvd+RtmD4jWKDkBNQ
aYXdzBnkT0AartujXpthPdC8KOu6u8xaKmZN60MUmdPIhpfcbpsbZlj9adQ1WTyDDETf69xsPsem
6sBsiqz8+urp7Uii1vvjj7WBDAqoS9gwyFzv6rqpjZn1RSzCurkkZYYvg3jIfKe2cxa6XaNz4TSt
Wd/bTWHApE65BkovquLA8Qdlmy6s38sehdZgbEUY1h5JEvx5sAyOFz2z/BXuDdzN/1pjAgztlsbg
YmFPcWHZcMTWOit8RWia0g4B215f0s4KAo91Q/K5AbKEzrXd5xYYyA5HHlBbQMbZrJdOHyO6ANKm
x17V5Pox7JTCrjQKy1NaQiiq0xA1jl1ZQKgFeRRex7U4TZUAJhO8s/iiwvIsTlqrm0llMMgkwyZd
/PVdbcMAGTGC84fgqG1YBfF0069uyu6NoDXA7F9m2hdf8gBYIMeMCbwaRVZ3121XidvCx8m3v/7Z
9bv2+l2EfaLghFigmgm8i/B/a7Ve/ayFusAsVJBdZnzAlzgO68tMVa7kfvjlr38Jps/WLwlYyWXD
Vu9QL+Gj96zIzH4oqzCHzBGZy7LNq2Tha94TJy6AoCzrZHAp6nnugpdr0//20oypArhLsj7+xYQT
kOFktvHPA3MvwyBL5aUNBnyZRrW1jJO1DtaQqhmr8tzpEUC/AKq7JU4Z5/ZKJ0KdtKI3zztGK+TS
NspjNwIv9RkISkK9kPf9qjCawkPGkNquJXKzOrYoG2rnr5/e+qzH0eODOhKYDWiYJkCumOvY7hVQ
iNVWZlm+cYFrP13KSqvAwUaswSvSvs+C0zaU8Y+Ai+K8G8pwznKzky7Bjf1T28OQuxA1AF2aR81K
VtR+bKwitE//WknT2gIZ6h/wEq2bumH/QSCINrVkFZeoCjW9iMyy8IG/1CIE1lR3VMx1U9du1ZXo
pkl7q3bCMLTdCmcLRapikZgFcN9JmX4qEivtHDtpg69tlOYnvdLaKayy+MxUzD2/zHy3zqNIAgNM
IwiaIpVdtoWhrkpjoLMgwCJyjMEHap40YXpsMZ18IlFwHfQZBS4TiOFL7Zd3mqQG9RjQkA6WPQHb
YNbD4KCWR+dJaPF7SIvN05BxfD4EXSPcFoVmChWjXp4YvOpTp+354OHWMrwh6h4KVerbGhl26LQp
hNG+KusT0yfkrgxxGy9828DSGcLY/wFNtZB+y6w0vtepnXpFochJnGfFCS5F8iibgsG8p2l8K4Xf
2U5TmgHwz1XtQjGiWGCTiKuyTbuZ2VblHOMON7MEjoIO3KYNeOk2JPRnqaKVVxfiKvSNAHkY5/oY
XA1wDBmKmMMhf/zWpSg8I5Uobi2qrUUtoBIEgVc6LDnLq5lCXTTMm5gHc6Pr0JKopP2pgqKw3IFo
oLiygDTBvNNRDpOjbWd90NR8XuV+6CWapscZfBWqOyZUOliTrlk0FUWGa/tQ07Bzq4MIXye+S7WR
pYuKxbPArHt001JsQkGmQokTwZuk51S3Qi06anfnLB6GxL+p21KnqdPLpM+qx9APCRnuVWt0dhpC
Zg+mPH+AcC3StHKAngGC5VLHOo27UyHLYdGIWvsnaSVl4UQkyW+RbdCTqKe0BnZdJBACl0h0AFfK
uZf5PvhDncRtOWNxGyC3SjT2r4ABYHZ+HEPkHXp9lwh9zpSm8EZBvo5V69bgC+fMCCP/qoGpA3RU
yQsOLxyNVTrPElkJJynBefmzrpHMNXzo/rCcHpIiE04W99PUDUXd+nNg8ZN0pnyICuZWFqQDkDoW
WMyMxGbtpmFlJE6j+kBdK2mk6SwPJP9p1I0tkYdyohfS5DW/tAw/8E8zamvbitysU+XQHytoAKzC
WRGEdjrzVTOUc1GpTM77hKX9MVIKSg4WAZrRtTurTxaVLKUBSZVJvhpFOmAPdqaMUw/+h4yrJEKG
gkeeZV+jNBXpCQWOJ5nFoWafhlpTOo+MnOCzsA2VnTl2SEK98KumyG7BGdPTKBhIPK8L0GCW6yQY
oCDSQQLGo75oL1Iop/gzA6ZK5fkY16dAhUIsH/g0qD0byliFI20F8Uk2AAe6SmJYqeBxUCD1aJ+G
5QkwUuZxIO0YqoRxXFJP5tL3IAWILcdoq0JcR34bmS6VZTQ4aRENxhnyE3OOCz+AzCUUdjHDfTjk
J6HEbTCLhRkCdQnfc7CQIoPXJ6Cl27XSGBzdSeN7Beed9YYjYR6RSzxkcpAOb0yD3vVJS+pLVog+
9zJR6gurzsAlQb4Ug4BIgZif+zLE2f2Akyw8Lfs0gfphaw3yDOtA35kRsZZW50Mth2N4eed11tl0
ptggQfkaR6mX0DJWQFz5UNuS5X3SthBZREHU3CqLtT+KKqTHjd1Cvgu1UEScjPswjpXkUTfPqgZf
Dl1BzRulLXyHtQHfaJmhuKtxb3eQxaaRPK46QtqTzA4UuZKGLb5kqFy/nFFUqgXQVKG67npTcxeV
LWATthkoliswumfgwcQXYEbg7U7BSlYeFMy7/EQr4ZPrqKrj+BPhmTBPOjNq6wvd6XXwGfbdtQVV
7W6Wtyn8dJ4PQ+N0JNXDAsX2+ubXqrdgn0CvIsWXppXBXdSlBY8qjPN4cEXcwNQpEqBNb7LKhilf
1RAVBHANbCrRWXhVYrOvMocWwHychG3V1RepERbKkaguu3kHG4TRWd+UZG00YDK5cEdgQDqB13Ey
MApffDjn+5Q3UnIoDFgxvBd9wJZtRkGNror6T1R3SJ0FEOZGZ3mRxdEtB2+xUBnCl6UIyntYHc9K
JzShUnCa80DUZ36YBw3UNuyyhQC3p4uCwGN1kV32D3ESW9ddraCmVqK+ib+2LA3Uceob6c9+EGsb
Iksob0IewOlMkj5U84Kl4quB/HSetkVQOrYJZg74eCAYoDRxJtI4sjyLVASKyokFVcQmJOJLFRlN
MEtIBtNkMHwqTswsx+UqBYPcn8KpxzA32rXFnkWWAU+0AzJpBk6mLc9wBYS6C5Va3YCnpQ2C0LuM
vleiEXcGcDz4dBC6wo9aZT0w8hjbzYlsCQzVpTgcoHIRsOCkAFha14gFmw950+iLrreT26hRpcNt
dWymXWMdDy0DcGKE1bAokjjPLzLWmeeGRmY+C6F41JwFfVuELrdUGt5BJKIekcjAjIDpVI0Th6pV
jmgbXoIX6MvbJCix/IbzgfLGGSAC6z8XmhoCBlN+NQttIwZ2xi/aH2GAjMZNbAUlXwmtHjedMqCE
XNUlNEDIoYaXVBId0esuTgbrMmVFkjhl0SB2YeLQ7Nweohs1a8MCUGuBfw+cagB2weFKJTPc0a7y
mgQKxIuBl/D2x2YX2F7v90i5fqFY+bW1enwXhRW8a+DpoAkjCVJ1nYkMg4ElhYjmPA1Z63T1PeF1
yzFUzhr7s0WysvVaK9DmheknvPlU+kpU4NzhjZ4VkgKakDj03bmkOv4f9q6sOVIcW/8iOgCJ7XFY
crOd6d2ueiHssi2xIwFC4tffj1q6Xe7tdsTciDsRM0897c4kM5GOzvk2uvNA9pxcutqu/X2ugVPH
hdYWu6ik1c9pM+SoGejGpvGiriFNiGVUsc3Aw4qns7btvREU+974flDENOfBxdeu9Luk6PLbNPNN
EvOeh31Py/5v+N2L4ovshu5t/Ejw/vRG/4Es8F8KnL67J94jMN90Ud7qzfuOa+NxPphIYfmAkMjB
IIWu/wee8pUGjvDkYwRpATnxMZb8wLXpL1jU7lfVEfWRlIeB7weujfBx9KjfIhSdr3/6B3jKx8nI
g9PQc1YjA3IFIvvjZKRtiykpW5DAK98J2I2tMiAwpX893Dj2H4zoHsxPq2nVdl37I27joFwJv6T9
0Z686K7iwvKTJqih0YEPzpPoYtuJ7ochX25KF6cU5J70oQwD9qnvyvAgmYnOnKBBZw+kQV9yQ66J
6RRaY8OC4UxV5UA+K/CT4eWcC6U2pdPRVFFVxH5l1ae5rAcnK/q+c3Hs1ZNKQovlZVwMeftYVCbK
PACSdjq0X7yazseA9vWJTnZfJ05f1WbT5ZoktZpiqx66OQ4gVCEnWzleda7q8iTHakbH02r0nJew
/7x6Q//SCoZJxr4NlNgBr4ISxu+2ro1vYfVFFtF8EzWZp5t9boxISdUU6SCdtDbijYf8eunp0XH7
t4mom9phKGRUlp+CqhvSiFXThRX08ijQiRzqAlhu1NTZsrhD3FoWeaOY7HaoCDZAEdFnjcoF9F2W
l7lzeEHG6Di0w5wubqhSVizudmyDO+NYj7XLRYpZ3pPxODKoaSbiciyLvMlgfIL6jK5vMbobp/Ll
naQj0akftvx6YMrKJoC1WaRt/UjrwuBXdLsxHqpJptSSJi295Vr4Y3jgluMc/3qN/QG0hbeDlhBy
QSASWNY/z8/CSMGYDuVxyJqnWcbOzXITxFYsknHX7nIn5inLmm2QgXiJvQPdkMzd5Un1N2v9wxwf
ImVppYqg7PA8aDjwrJefP4en5TyxAWBN7rKDqblOKibyuJ8pKJOgijKhcrKRrg+eNg/tCxbI/ODg
HvmVaBITmGOUg7QJ3eXziBNhM7joLsax3+Th8jnwci8uc4sDRNQPou4hUJLCJMFQkhRyRTd2eNnE
HteZIdF2dtqkzJdE0DAHih/tFoiWjOtu8bBQJxajxKKIKJRx7a7UNO0IlXFn99k8s3M3B4JftYWT
qr4AfVAOKTbxcdbQdAlWVvFA2B2DXsshzcWkQzu2wh4dJBZaEAm6mezy5q9v8c9FBL8sMm18PHlh
DR6EyDP6AP5GiztHfZPLo62acotCUOPL221iFTzzuoLGVLCnv77kau54hx39/pof7qalVSBVxYYj
JpNPXi4TPbEuXYYATdJ00Yncjpkve9AyIvHqYYw9oMLni5x4HFreeVeEjzbkkRgwrTdQ0JteiAu3
86/sfPniMfG5mQuRilb0Z18/+L/75P7PO5MJ7sCfUxxrstWv6SO/P5nXF/84mVfrFlppOHKRnoaj
+T3TQZCxFIRYbQRMw9dD+8fJDFUXom2B+v/2qh8nMx4UA/AJimQHnDSSE/1/wnT8DqjH5aH5gYVw
fVPw3x+qSG3bYZnL5bSMDwKbF0Tw3xSq9R1+g69XnzG8yCG2ExAvINh0/QTvUNGlz/0e4ykIUG3F
0sbYCt2I96LU7t0N+N5CvldR//xNfn+dD7u2s5xeyMJzTl6vEkeez8HLX1/A/bmL+f0VPgDxzBFQ
W0OOeXJXvI/eBdFbZ5kksk7RhLnJtZNBfeqn3VRcjtB8OcVryTeMXbodmOsbNvfxKM58D/LRvI0Z
Jt3yZm54qqPmb34Kx/2b33zFgN/95qSw8nGW629BsnxpMLI8TKpIOoee5hzHQQ5prnkLLIDo+MfQ
L74JUNBm/7Hsb30k0e9uOjxsMKPj9iM67gP/04bMgUIhMCejysJJHOh4zivqkjExPWDnJCrtdtqX
IVouPcTeNF879ezHc9sBHwVQD2m0gB6vn2y1GZl9mCP4rLd18+g25DDn9kBi1yqdO01QoUkVlSHO
uDEGmpFJX+77CVo4BYhgNKkazZYvJ+UXWQPVfCesePIx4+nosnEv86Xc5NPjkNdoPm4HtjYtdSwr
P1UtPsDc7QFeJcFSx6bs08q7BS8oUp+AkhbQCRonmZzpPLDRNfU7Ix4HnIrGgjRsbgH/0KuyvCh1
s1Wt2901OEh6Avy7g4qa+iktccYqzWKvYDSlhQhTO2xo1lX1p9HqcRYuMo68HAp8Rs//ejGTj2QL
BJ7vN/7HTnkuoqEc9bCc7C3Z5fvlfHwg23AvT0PsnI87kcgsTKPEbEhykIdm06X6k7WvNuPW3oJe
25TfRsA/XzJ/sGLel4kPtAStAfo365Ltqn1Xxe0Mg0IsNsL+m3L0Ryvz/XU+FLywaJaac1zHauP6
Vr8IlkD/BiG5n//NJnB+/om/1Yv3m+BDpxhhx0gSFe6Jk6S8rHQ66UQCdx4yKObZaf67r/ZHFdAB
t4MAiAguko99S+M3Oghq4mIKQXe+PCvr8q8XzR8VwPcX+PDb2W0B+Ja5UJKqdILMBbrFQf9tY/sH
C+H9RT5U2UhH/mJCXCRSZ4s4jP6t63/+6+/xR0fS+0t8KI8GZ7WUjeeeIE2ADGmObf86Ko8R198W
27+7O/pTXOP/q3B9jXN+95Ov8vifPFn/qiHDf0EP/Jv8Y4Usvr3s18YIsaHrQ5JCsBAhJQFW2w/I
Aj0TvFW4DVC1Q163nsTvGiPgB5h9MOSjXVn/9FtjhCAbAg4WD0ZECi2sXP8AsgBq8tNCXE1Z0JgA
FYEzH0lZEA3i7+8O0VAzEU0hn04lbCyHsI7ohWz1WdjWaMEnee83UKOVY7Vru6BeXnk3COtqMga0
1AIhqaPrq4j3bTxW5mpk9NANTbcR9VDEzmIgZagca1tAWBXTHm1CpfgefJmdsD6nMRBNxhNI3ttN
E8Adc2NY/ynipostPNkkDkBalEnvDvSgtLUcPCACPE9MaIrDVFepcXNrN1ryjUXtAhWFnW+N04HP
dapoX09M3feI1j9zC7+6CEkLurK46SfC+yyEOH3TO2GRKmnZaaCiFuPaQmBmKtzY9SMgnE50VgVy
zATEXN7ojhtP98fQg5tFEQySql50jAYELAhv552ch6MzDFEytuKTxMBnnDnjNuTEg3thU3Y2LyOP
x7Kf4gLoLXxGYTJPw5S1uMMxy60xw8XYWz53/mdYmlS+EWtzABoXDBsfnF0kp2tekZvwa1PR+9wa
rwqnFTsQsUkruL8TnhnaG3+0I1i0pjxQMQlyuiXOrMoYo+5blU/zfs342E5tVaVL016acjj6tD+0
NT8K2z0LR2vTDfPBavy0W4COinYVKCZe0b/MrXtdjNGnr3vm3109/vNmq/WR038+W31L6P5YO8Br
4VW/1g7768MwPd9H9glMmKjwv9YOlBUggGBqfZjEMF79VjuiX2BoQRXCW3nUWSenX2tHiMRTxwNR
40Lag4HsHxk6yfqU3Xf971dDJ/BOwJ0Ie0AiwMfaocysKESo82nUEEbSsXrolLkOwIFkMIWcGkeU
X7pCteggyS2BRiJRxMpvwmB+s7i9cYFNxAsBOwmpQGa3dRhDxVlnhcyfJascHFqBjNXUXtOoZlsb
Ut/trPKLsIHtkPfB80SKG18tD7wZQaLW44Remia6g9aiCvoDWbWSTcDLmETtZqndG1wrnUdnioEq
gXqajIONCG17vvgXYxXdIZmEx23FXsohvKAyv7KpPnHQVl3ggIhR5srltr2hIVFxSdWldmFVg0/R
h1lBA7KsqyRnbrwsIiFiKvc2dWFZ7Z2dwwE7RWM3ZFUBDfJkepKRKt/CfgKMiDTRDuLOW/DT0IxF
6URINvWDHQvpFUnRwCvrgAkGEQhvhb3ce9FL0+WpdDXUqs0hUOPjZKMa93A3xpQUMFQYtPq+Am4C
w8yrAmmonGATECuAo5PfMwc61Ci0kjqsRUxlEwO23JVucJqLAEAjS1gn7zvLe54mcxZ01daqFswD
QSIGZw+K+so1BNOd51+H+IXyImCx1UmIA+qjpNG1X9jPlV7sWNuRA0ekAyNpMN81Lv1UhtHR7QOo
l1ULAGdyQGrp4Mwpw1urhofSX+x7mC3hymnLs4Xkd72Wx36yzpisonio61dq8c9aWbc9mc4119cj
eDfbtx4nq4QXCdOG5xmVyJ4FMdxYYebCTxsYc2NPUA4KGl3gNp3PZZAKWaY5fXN6aIBdfJ15WjZ9
AEDYpcVNx8udX0LubLNgu5Q4jmTbfSat/4k0g0lao5/oNGN9OULEDWshhx67c0fVLzlWZCRJkwKv
3Tq1D2242XX++KIsWsYuJ7fewLasKKx4ycWlY89j7FRKpzipeSwtA+sKn8LYkLCHybG6L0f8SAss
LUAiwSjQxr0e/T4DerczdiOjbBjbHraPmR3dqbvXw6da7An23KcGAugO+pEdB7ccLyOFqcXwKzPL
aJ9XcLV0waC3VGFatqeZgjt2ysxMHLSF1b95X1XU0CLD0ZvzvDQZZCtiuVOAB2FZVTocIhxdFb1p
cwLjsMXIPRxQXUad6QZeuSXODY11S70UvCU8rGUJZUS0hXxiSOEAhihrlvWh6GmwQupO1s/kU6e8
Esg7tlvNsaTbefRjriEE9DwCbLJJoSzTN2Gv/bjj/KT58uKOOi4EC9OiEBt7ntKpapxsge8ma/2Q
p6tqqA6Co6Y0HvsiWezwofDaDQ89OE9DSNTGcV+EBLiNSWvdXdbFtOmVNSaLNYALH0AxqPFAecuO
daUhgfVv8Os6WxHR41DKSy2mu6iKdpLQNmH5/Dz49L7ryGNjB0BVc5GUNQE+AVX/xp+LewDKGNGX
BmQvgTYgVxEmQRjhKl6f2/Oyxb91E/Q+PUBl71NvQYPlCiuTpAJ1Lu76MrjvBWw6kj7LAYo6uwlO
/hgd/KmzAdtyEhMxA5oemZXYufMM8dR16LbnuHkijkq4G8YquGuUAm1fA63w5pBnIoSCdbFoCqPl
EpcViIsRm8lg6wULvid392AlIBbj43U5oQq4zgE65jO4zc4rr5ZJEAVjDHwDaLpqopgUDZwDQVim
tHFWx9D4avFl3HSRKDfjFBVxDylUm0dWpmBd3rkt2HaWP1mmOefVcmcZAvxdmy+WEuWN6TXGynne
9QNt48ZEVRow8WXu7CK2pN0nXdPeFaF/xvv+S7HAoM7ADd3qVu6s1r0L3AmeyR53ow7yjZkqOw3z
EGVj3oMHy9Pcn3Z9idOhH79E7ozWtKmx1oZmmr24tuGWPEjbQT9r16zNwD4OmyGHNOSz2wzj/xFP
/J/XEdnADv68I/pX3Rft6+87ovVVPzqileUFgOaD98QjlTA1veuI0CyBf8X/vsnm0Uf9mKaQYwGB
EtBk4oEA9ddgih/TVPgLTmc4kWCXiiLMWv9MUP+BrkJHhEYI0mkCLSY+p7M+du/9NMVkMJclCeuT
5YhPrEA4xDLVz47x9rXTtHHpL8kgpyzwGtiCg81C2HlkQAOFOI/zuRH7poCnd8K+lcHkbphnb+yO
3MyFcrMw6KZEMXNuj3nqWx0EZsgIKEK3T2qnPueeqBNlwaVfDU+ND8BtcuhL7hZD0lsNTnRPn+lQ
vSDnQiRhhVKHuTTzjfJix7RLhuOxRqKAp2H1R/BEMEUAjIztJ2PXmk3bmUvXIK7AZfXZpD0SQ4Tx
CG+VBstrXjrbP0Br3adCI1uAqaHCmUhwXkF/3AbR5RI5DypfGNotHB2cWzM24oj/65eox6x3AQOy
PA7yPWHjxgQAlgXUKYAm9f3C2cUYtGd93sMW7aByGthLG9e9nosqVQxcbtW6F7nj3uamHjGZTbBr
RmjRxkFBsAtncYxGetcQUyR52D+AIrcS3zZsYomnRMFuRrfsP0MSdm8WOp+N4XDqyThsa7gj41LI
z5pB99NWW1ij4P2cvC6mM6bUiYAi5Hl4wZl7TwTg2qmYTxYeyJhV1bSkrrewbIkguWIysrZWN10T
i794dd5tIT9LHIjKzjr/adRPUN5taO8/wZPZbSdpbxEHwzLZz013Hzm8valtZHO8Fmx5mTXYbGJj
YJz6LogrycPwSTrlMcf63ttja+/06HYnV+bRiTb5cDDwodEIs+Yc+LtRmjK2uV0knEbmSMoFapei
a+YthLsPMyDJoGj4BdHdK8Q87s7uWCRiiYN0+b/Bjf7z6txqXvjzOreyat9T3X9f7NaX/ih26xNa
QaXZPuCZNTUHf3o3/nmhD9MJDBNwcq5Wzd+KHR5lQtwAjxX84f38UeyC9Ync398MRc/7J8gRkKqP
0x+4uQgeBs+GXwQxCisw/A45gkep0RqyxJOxlI9+zUVhwfTUhuXen3h7KigQdB7wo+/JLSYs70oY
tPALs69JTq8rOb2CHRex1nxfKnXGA2ej0NNXrptYajnUrXMetg5kFWvcDNXPGJrO7drUMZmao0vD
Tc6C84EDsDDWlV/yu8C0D54ekzAXryENgeGEMUSA+2rqUm5ZLPY52Xshv0c4Q2JR+8pU9XEyQIEi
+6gxRkEhDl13uGw96SRzwe48gfYC3yir5fwcFeNFHoEckOQzYfVWjeOhzf3NSKIzRcUx5/wYdXoT
LTRhvD/C/RiTTlxAlPoQUG/HIdOIgJzBxXgqsV9B5mVqilIxLClsP5+iYriEd+mCzSZRXbil85SR
2j9Kt4e4922QkZs10J4mfJogTAyfVvF64UPaU6q9NUSp8oZrzpathUa76ZfY7+WNGaBczHVxYl6A
qXhOndK/g8Rwt5jhGjaq59bVRytsjzwX58qHS2GZDo00O6gDERPRry7UI7gvmFAjFGd6HfCgBxvf
71CT25jW80U1BZAcG3EGmu2JdPQ66v2EA+ZaLQ6nyRrPmdukC2qoXNpkCKzrMtLQP+f3tDF3SLXJ
fAgjYsELdInojHluiyRoxEUR1jMaZqGvajPlaVf4T4Dq5LYXehv23pQw3T+4bs/jZtbPLchf4HaS
2SIbTDSj5xxCWe7KqOX7sZOyPNFl0QUmd78lWyUhLI+cGXdfD3vP6hC+AO/Pqru4rjpgoa0vVTII
DE5O7ZAL7S0qVcYp41oXXRxB0Zsi46G8dh13W7k2CL6R7crWGVblcAg/srOq4pclQcYM/AZ9ILIx
tMtkCma6g34eni/f3BQUaiWYU3ScQ7u+gTAdvWwvIG5mw10oRzurfPB8Ze1eFSFco0v5NiOdB5ke
7q3l5l+6kKShoafF9TZUVpAwVXNazWoNUXotFnoRluODBXFSeSEnxF7gv50S0U9VDBNAVjTdlds1
9/M0FmmvoLjIPd9JFk6rtOzpM4PSMrahG49hKpnSgUbHQioWB7p8iaxJgyBGY60UZE6VG74iZONz
a9w7z/Nf8fkBeHbQgBpD6pT0CO3gDelTry0RRFRh5lRARvpapiQsTjDIHMJmvqfavCGq4FBG4YF2
vNhoa8qQpHMPXVUGVZY4mnwWm0bVIC4ny7/o6vym7TmLWVQNmcsVQWwFKWOodR7ncsGvLJoXq1sn
eT3LNID5alNWep9b9ba0oyKJFvVp6biI61GfCjt45ko/a6pkLDXAbzj34NZGMEnA6x1DWhJmMXcT
9pCVC+Ju8859HEUBrMFd0RFvX7AJrgO/eDSM4M0tCme5gCcBXiBYPZ4tyLcG1zeJzmFlbvMHwoRK
TIQJ353shKItIJPlAk2DgHCR/S2fASXYpTGZ9nHfdZ4/kjXUJe/zAOuLbERlYaqLZmxRaO+SrsO2
lHM44OORt8Z29VblLIoniNCKqpjhCRL7olh8fDZ16NHr6Ab9FIzWcdiQ/QyRGx8VhPP2YZzDJa6t
KAIcgKZhsvV5xe2bmY1nXstvobu3Y1X6aStLFYd0holJW+fFBP1ua6o7ySmAhKYP0vorus951W4A
lAPztzrA/2olAqwSlAAdiw1fSYLWDq2tvRIHpoVOql3JBD25hwHsQt8McGmshAOckt+5/P+i0Cv8
++e9yPnTMLy2v29D1lf9aEMwc63JShDewgz6zY78rg0Bd0XcH+IejDvf2xBkeiPqD/pUdAeIlPga
QfGjDYl+Qd+CEQ4czvdYpn/CYHn4aD+j0BD9wru86i9gHIb69+c+BCeotvrOn09mJkOQcZWXWKtB
ZFJmoGWr3fxsXCoGfwS6jOremRxQPngqXDHu+6UARqmQhXP+7cQotTsuWTX3bSeAQBLf+6L9OWji
ukfqGpLTZIHYOS132ndY9BbZjTPiiB0GuRmLgAJIMMsSpXXfzT5IGCu3lkz4zF16qC1m4I8L1Cnw
FE5MO1njMrlkNHAaB7oOVMZxqpztZFdhuEWRpd5d7VjcB2wr94XrYEhqfTruYPM0O03MhJOAhHrD
ynCx4TYsmzHDkAuwr9Kr8j+snwvk6EHeOjuIVeiNyqxa+jGS+4ACc+gR7QaYovKk94zOgQO2bsh2
tA30kJ5gdOsZ/ubPFtIO2vCtbGugZw2GraDH33oLtkdLTXKLjIL5jLN+OAsd5KOxonFRSQWLa2m1
z3YQVLHrjNDVN0hPAMRm2ShFDkTJprB3oaSIVMvn9slBUg1CiTp26GEhu6TQeuKgdSIc9O1rFSze
ltSEZT1XdDt0Y5HZQ+vHFQvKjHpTfVnZEyoe7DlNrzBNCjFnoQUPNgvJKx+sbudJJDhMqiaYTKlA
QgfwYcDGzziJ2M5f6gn6HTRdXMq3YM5zeFmQUBc0sHGkMxTT+E5usO26ZjhEno0sEHjpLvCZAZ0j
8vGwnrjFVNqpi2dRrWFH5iqKcgQjRR2cLiuiCn9QlRGJtnSecpW1i8THDMlj3VYgAEW5ti7UBgoA
LB1UqwFUqUQ8wY+/gsjiihnhxJrN41WAIzhejCNwUBtT7YfOrTcLTILZoKCmHqjuM+0EE0CsQWS5
bqudU0u+RmB+12D9t2za4MH/vGz+q3l66eTvy+b6qh9lE9Mb8CiIqEPquqG3VtR3ZRP4FfSIcIL/
zPuDoIMYEqMbatp3reSPqhnCqoC1Y69ySThQMA3+g6oJqOxj1YTxPcLuw4CJOAlvTQ96P711vbdU
nsmHk12TW6jgb9zBO2vocFVphIKB2OMHZqNXcOgOvQfmiarKN7nyQdzoKY9tgcktMADbMXxd22is
EzByTjxT4PXD4lyNNnpYGuG92qBDFS57Zx8xrPme1zcyaEswGl0YO52+sISNQJcWwZXzoqzE0l6e
BiM2dq1ciCnHWRzttrkNcJ5cBGppz0t3Dc/xXaRp5kBJ3DrY0gG9f4jln/jI7EHj1N7yFq1xbTUg
UeSwF70HzffIsqGC7TCgzSvM6fcw9iKcyvV2HbFurKVCIRbDxbJ6+BaPPSO4o4yFN5lEdnPWyn3p
nDuMvCj+JEkyRmzXdcgnm9UEjeEylfhFqjpta12l7jL0WW/Kp3kBUqdH+TKN88EZ+xkMHL6QVPl+
kOGlgfEAzU5mLefT6Bw0DT97pb/v7JLGkfHsNAq8c4mUpALTdkwVOKFOOyf4BaDls6fMCW3cEhIM
8cjYsA/WGgJ/wbXLECUUWfyLdturoQ3h1kMAUFI43Nm4onPjIVDOhvhAI/u8G7O6WtmwCrSBtMNz
1L69mSACR6RMWobtta4GoEbL5GSCIF8gHDDH+hGM35CYi4yJUd2w0SZJ7kQPzOrKuCv6rbBLdG7B
LY2WJ8di7bYxVTwCuULPF6Wdy6u4h+E37mm/m23lIltUHIiD77JIsY2gekyq3Gnty55CWoqpHheG
Xq7H/LxQ+aXoIFx0of/CAn+KOgxlsmTtgVfOoxTqQsKwnFohRQLHTF71PL0q0ICbYdTgVYYw38FD
/Nxgi8YdPkpSQSayKebpBjGMw1kT2gdVlp/6JYI+C5Oc1/FtN1vnwhhk7kJ7B8UmbBBdlc+xHIbj
WC7YPuqWs/xZ8CDctQSu7dJqbvKFoG13pwdBgn0lMCSGXneADKMGkuk3m3BokTznoV22+UGN66lW
Ljd4z/lcKE/BxNl16Dx8mXw17GJurTZOtN48NAGJjaCh1Mnpw9CVMlHLhLI/tO1hcKHD01YQxNwU
mG2GGnSWHrpHZuO8azmXl6XvRfFMRKpb42zCqbmHTaKM2cjhkSydeHCRZQlzY5vldTnBr1kV2O0j
eKCi43FX+hwU9LS3l9Dei5DvAyevtz4+Syx8gtTYdZeG8PlBgokQSAEHzYhoXMtPkWM1wk8/QtxT
Ww52Gh0T+Hl1bCgP0K/AG0Ed9Pr4B4t6lyWml25Qd44uzzw5HToCVweVNyqAg2gZmi36LGgpG8QV
t5VzVHq6KzoPwkfDLxs6XVVsvg8rcOXNAgksbKMVqNq46cp7ZC4cqLZ36OBux9AH4T61dmyDukM6
M4YdHJ+BLbtNY8IB7gh9kUtyVbWmzvTsZIHbH9xpamMzTIjyzT8XzDkh2OKIHI5LUQaA2dXwnOee
jqdqeaw5AGIqQkADZfN5aAKYEQ0mutHtbztOz9YuFlQYVg2CV0x1T6bS2wFEA1YBHaSb8Q6RAV7R
pV9Prv8e4Ss59OdHOOKbntSrfBr+4BTHC9+f4g50gJDZAORcc2J/O8UBz0YYO775E5Bj9+vwQ5Ck
tz493kZEChJefiKcgl/AW+EMB321xj5B0/NPjvE13fbn4SeELmidzuA3dGHp+SDfa1moVK3C7mSD
mdwh3HzLGfgORIGfTYEy0Ji5wzkm6G5L7AULSU+XbUkRcNM2zxICBYTNDjtsFC+LiDQJm30CfIyL
ZOIULLA1uykfQwTGCn9JEZXdXAoWPXAPeWNKEpJoezmDT/9cenQXdhHs2RbfCtM/5CHrkkWEF4s0
oCq6Su2QeHlgSN2EQdg7LNAowx4QXPguvWMedHFjEV5Fc1ABTijQPsgnSI6Qqe2xe9V4fTwjNgdB
EYFKKrVc+G3woHPkCTiEPEZ19+BrdRZVDgwR9a3lNRcjYtFBGPO7VuYwUzmIAMnnlcm+btty4zDr
k1vohMFUiE4lACvXn0P78YiMuiPhTRlzD7iJRhXBongaa+z/VmMksYIxK/yFg5muAWpJyBBMLkwW
hu2UKaUMUmCak5w1hjVGdh2HAAhHz3Fe3Y5smZ2tV42b0hc4UVWZeBU8ZZa7XJLc/+KO/W01mQ38
z01MWHupqb8xvMHw1wCYC4ZLfwruOBJRs56aR2SygriZvR6hbrRK6rboNlB9DEjLD7ajXK6kboON
w+uDdupXvjSwo4/unc+BbUtMxYnfRadSBe6xzoOdDtmNOFIO7B4H/Rye+aYsE7gUN0WgwHcJWMXH
pcxGMqqtnMJH7vugGGEWiRF5vAW72cZV032pAr9LyxFwkSucTR3CCG6zzIxmV8AlsTrfnqUkr4Hn
voK8Zzsm6HE10WuFkdHAi5aVpqb3yBdEXggU0uAEYeloxaH5H/bOYzlyI+2irzIvAAVsAtgWgDIk
iyx6s0HQwnuPp/9PUtOalkaaP7TXQhFSqNkkq1CZn7n3XEscckuDTBFvWyfiDgRaEizzrHt6JJad
870NK62hD6ZRuU7q6cNds6n1LBUVqUpBsTYmI21KDFNpdFx89d4V8iLTsa6Wju34BIXudVmnVO38
Ck7jLlErf+yKQJWKVR5dniP3sTJGw4tlxdOYGhBUN5qDzGZGy2Fue5qskfqcutew8ht3RFShhwgy
KKhKV1yEY6dtCllr5RJgjJJ9CBxq460hazLBJ32LDCr3VHz55wulG+7Ed0PWcj1FHe0y8wogKQdk
EN0m7if2GCtXs0kxgTLsqqr4pKSyUkTmegopHeNCVf1aVpOCsjIvxUtPmdlV14lpMpSgAnWcIjzM
orqcQ0TiI1Wqq1cfZpdTJlG/FmZRB3bWZb4yK5lfyzJ3smRx31iRH6/KjiokXV90WRe3F2lKPzoF
CUIjGk4eg7EIXxmKjBt9aY6hLLFLau25NvelFjOXoApXouwzG/jI6DhjAkg9285lFS5Ld5fxE3CB
/I5R6Zcr6/to5rkzZMlflVFgwpjCAEw9MUZNeaHos3XUaBZQCjWX8wi8BLxQGtjuGvqz7C6GMKy8
qKXjiKfxOLaZQyVMN5K7yW3c8jRbZqQd2jyNAzPkHQdpAhhsWa+rsBZomrF8dsW4ejVtj9G0g6/y
nTbxiimVNRhII9knjQu00KrpzX0s50v0UhkEIPbFzXVhGuc57Rac57tQ3uaaPp6F8n43vpcT3fei
op619ilzrQ5mMHOO1OuG9HwYRpS4/WgUOoVqWKLLTrpnx43if/tm/qkJ5KL0r2uCXf5Z/skwVH7R
b/WA9gt+Lxbp39p7NGo/1QM6MhNmnuxqLYv9K8aVHztZ9xcHh5iLB0BHfGtId+CPth61rkNSGgpa
F62urCL+Rj0AuP6P9YCJ5YlZLbB75MHfRcnPbT2YEpSog+Ne6ezwNqmlrfWu/c7NMJQy1gMrBoPx
wqcKMO53ykYhAzdWkjdE6l60pZt5dZG9ZU11tjSQnPQ+2i4mixgagXyWGSMrZHijCYbRvc6c6UuC
NDy7pQEb9J1i617UJX5kwZOO6p1TGpdzreyVJH+zWjz/dlpdROl0nekJ5PG+9aNW7G0VlUGK2s1o
Jy9xKwhF6bIjB+BSX1U/0Vl2TLGV44Fe9ovGXqZUtLeUoelMf3RoHfsJBeFhbad3DAJHUk9yBJ1M
Pp9djtk+FHSZVvXZLo6fwYTapG6/bMh6aK5WRdnOyOk9fdT2TV9BPshHb+pV4isMpQ3qwi4P+JD4
bUtmxl21PhbdeARQCHIt7XRmumYb6DDSY1PfpcYQbdvMQNfRRnaQTtorGPBzTs7Rb0yUzHgTnos5
fBnS9DYuqyswMcxQi9DaFh0inlItD8hvmc0myHg1pbB8dTLHTVU41Y65J3stgFoeyLuLOl2uC4vJ
H/XLhmyKj6UA36s6MPhAnj04ualRQCyvODnpTjXtq9eVM20cDlO/XKQtEpzQ7TmaOfn27jRMFxX6
EYD3isLt0l+sWf5ZKOX0xPt53lsvawEJBh0R5/Apb9Izes7bia6O+gpUBEA3t4k5esthZeuZRRHU
4LyKOS3RVHMKs3k+5J1jKqht4l3iOC1AYGwnR50ojzMQDOOOUUB14HWp1cBUmRwgqnFvQ/wKrpcv
2lxummoV+9FamDxTauYw5edopy1VnG/sstUvbJx1j04lnD1THPXpnxZJVWXmFD3LXx+Hm6Hv/0yP
xxf9dBzKVQ5IUyQnui5+HnKCsZWzRTADNnwBGb7xYzdEDiifXh7UXyeZktXyn+NQslSxJCHnlQjy
vwUa/94y/b49sjGcC05E2XPhAP/DlHOs5w5IXWxgyzZV5h/jYVrMBg2EgdpXNNvK0DED9MujreP+
6SLzvTWci57227ckhyqdMdD0bXzeU6yynSyJqFJbYg3qwZ+78XJuSY4y3bZi7Tq8LW75HCdUu0V+
k5nprlz6M7ZnN01NOZg2C0kctd7xgdQvygLMW6TY913mVl7uFj2EqPB+rdJHC/wdI6l19sRcXFmR
caVNInA5kW103Zm1God1hJ0wsHH3xnjegcoNdKf+wmF1M0yRdVbSBpI/8+awrHK79WFmjbrJdAoZ
A9TcRphFyT4+9NQZRaFdxw+TNrxk1CkeW6E9GnK43x0HVhEbgEsYSXlJbVxmJD/kmWlsJlYkzRhz
/ioVQ6XcuUqKluFt1Fyl1lifzZC7t0PCYNQuMLlmMUBvV43Cy06A72Yqt5JDYK5fDguhy9G039eE
F7cOi/haBxq1ibv2M8bFdEyr/GAhdNiEeo29ueycqy6Z2UDZE+8aHeqmjfrIy8jjASSHk5mpldgl
0myMdsPam7MdXasRSu21Zr/SROSMFCWuZhCRZEIV7JPUJU/3hjHngUKawS6NJfx1BWUqZnpZJkH7
Igw1Hx0ykjyzS7YmeVRbVt150BKTsesxbwSlkV7gxDpf+/QqK7VDv0SrnxTOF75rsUlt3M5Klxj+
MiwA0EN72WUDPhc1xc9BD7EEdtu4uz6lsE3ndti5OsCvImqhuYLKu0G25+yG2ooDWDjpXlXD0Kfr
N2CGGMp1jkhrU6z8ps0sBHogVWydCPF6ukyYCKqoDhQAfBC1suTMYqq4i/T4btG70zCoZRArzkJC
S/1W5WRLJLFA8s0aDVo406qIJR3KAPkSJXr5MnVWel9CG9x0sVvulwFCsz5DY6eSwIXvMHiP65Ws
M153LnOCSZyJKy6eUDL59pB8AOVh6ZbaYTBGhbJX+3Q7WLm8rBlEwh3bFG7ZbuBTFsgJUvBA6eT4
bV3knkBncL1q83U6DzdCrtI6EssSL9fzS3il/R6k3VePHbhnCbntazw+uZu3xwQ8mWfMws/bRhzE
MhFPpdjjDjiBeaMrwwP1Rq/4aj+QGRXrs6aRFVa/T/xU9qpwT8ZYUTonbnZKstxp4OqJGIuEp47u
WUmKWzBNi7ZxuVoRbKKSgXALnhNhTVkqZ0jM9olh3I/yrkT2cFdwedppeZrszlMU+9hZLyFX7FCJ
8YnNwefE5TvLW7iU97Ejb+bh+46Wt3Ui7+0oUy90vltcx+fjaH41oBzpOfOjOqnaZnTth1VWAUm6
Oshfi4/OBs8LvfNQUTLALr8gHg90rKwmSllXZIkGrnCMLX9eKuQ8sv5o+eOlrEjszrC2i6xStKZA
yBXd5pQvKmUMBRenoFqPvk2Jk1DqzJkQ7FaofsauirZs2bFbQgiQFdIoayVbVk055ROBdY8DqkLf
VswT3h+HCoc6y7Es/qSsvQZZhdWUY+xT91DfStR/4TaVFVsia7dUVnHK7Pr93H52sr6zRlJvYl08
UzEUVlBRBpZ6/15RFpaD9USNii6HgjFt1zcQtYBYq3nPL51vY1ld4k/wc2FfxpSdsaw/dQrRzFWq
zVhpe6UR+2VqyEWjZlWS6ZoQxItc71h2UNb2jru3KXPJNdgpZrOLALDynuJd0/hv6zV2ksTrkuGr
S2yKp6kPxmo59DILb5A5h2Z2DTRT4S4YiCZYzuM+vy6I0dOS+C6HAh6Lck9WTOkPBO7lSe9BLKQC
DjsbF8S6D4ECJzmBLpSMHaF9LAI/wwG9FveYsuw6R+8cVkdZ7kWivFGTtg3+qY2+ayPrf5oVfk0G
/+/Zsfyqn4ojgyUHu9XfwDe/bYCNX5gmqwC0HTbB3w3hf4oj06J5Q5+Kx/vXqLP/FEfUUqYEvUPJ
5xR0/k6vaP239VuKd6He4U1nrPk9pf5dr5hT1eX8GFcjapDOpyZiEKsiYeToGjjDtJ5BsYXaBEPP
QFggB10ljzyNs68nsdCrDUNDfrLcobRodkOK4afUuGMrwRSPUzT6Pk/X77NViGpQfIMTt3MYwjIO
mXaiFeFFbC7ikM62Lxrd8Gp7bI/A04eNxTW1nW3trQ+7LxWX0b6eSrSw8tQXFeF7CTcBvcG1La+G
Rl4SUcZ1oeYlxYEjOGzkZRINLvtVlwxPyBGBM2fbNBqUvSYvoVReRw73koYIFnWj9MH1ZTruRRei
J5RXWW/Az8vk9RbqabWZ5ZXXy8vPRhS6qfn2a0JMVQuwkO+Cjm7FRis/fAR4GNMRt9FVWsVnc6nv
+5ZBEdEdTJMNCDlRyCa3H0kJCNObyuoIWKIBVVSKGoFTlqnSsltjQN3t0AbO0MReG4swQCB3X6/d
LWTpPTRY52A164k+bPHZNzwajf1etdVlo1mc41p8Br3mZPXhXTQy45rQP44oidsan8DgHhkvYXYk
SACJqmmDJa2e0ik/Q437PKc9wk1X+ZojJ/aGniS0fHyxSvezLm3gxVBgvbTsHSRJvCwUI3TvcRRf
JMnEfg3rxguzvJOzpA+ZinwKGwNVQkluAck7U1BUJazWrnsUIwMsMXsVq4ggi5IBW0kSsxZsHioD
qXWh5tZmJj3N79T5rpIXfq4zfk1GtsjlSmSpyBXmeeZwqjv8jCr+m6BdSUSp+ycyWz5wZhKCZ2gf
dZil23iOpWSbglIhpCEq7XErZiNkT4GMIONxRX2FoUwNzQKxpNZYfm0aB2Vw3V1EZpFnOBUfhMr5
WlA9mln3ZtSk/LlodgItZUI6iO6L7BXBT7sUHp/92oOkm28xpKE9D13wsq7rNQmfEfikjFeqeIUe
jVsYSDkU93EXjcKF5j9fGWO4163yFM/llcicg6Ik20E/IEgNp6PL39mZ/W3NfeKJxT5lhXi03YLq
k6HNZKSLH6bzLtM0T22Sz67sn+w8Vv1qJm+oSmssozbhsJXbuzAJym2V1UddH3adUtx30cCWOrro
C/ylmt55sHlPej7usbtmG3siFrOd56si19czaMnPcZdcWgIChFAn+5A29oXuFpfAJHa5YrAABq7s
VVmGuEugMY5izcEoqiV0+8mFPiQXWlE/5xqZIs7UDRvWx/embT0ObccIKzN3DAZcf6au9yzkpH5b
UgAQIJBtlKHfRXQyaPZplXAN3kwifESlzrCgRoK7Un2sPV8XgapmqZ37dZodwrX9bAAwB/oq59su
k6eoQruyUEW4vKze2MePDOyv+0n2CcmwyOrF9LORQVXWqF80tudmklwkhAZs5rwweKwbXy2S51UY
d2HI+96GFVLgHmVJlmo3luM+ayyFNpFRXusKrYq2Ol/CHXb9qiybBsw1FuXxuo2HXVjqd2PcHdUR
s4JdO2cEfDRsforrvCFlzk6Us3jK7xOrLylZ5zOxOFTSUis265aXNjmFcjllQW7OYPXU+LiWE9F7
ZAL5Spt/RWt419T4shZNR/+dxPVujtOPtrauooqFu+pMq0+olO4hNFTPp0hZ971Tb22pSVub9Rqw
9xTghSVm2I1uZyMJBl3ZuxizXLcYt2bdnpGCgwlEY1fXNMWyMybC6nJRIb4plqcCMhqgq9emm5Pd
rMcyx268FENxr1vjBbmvfKmeBOZobpFyUCk550Qt7lO8lvuVhwiBEBnQlqnuFlt7xyR8tCLObCCK
Af6PoNHazz5NYHM3r+scBXBF40234GMztOfKKdG3OBnruBCfgbq3e05T3GamNDmpnEcGN4Wd5I5v
ZQRLMZ27q4fkuJrWZ9ZzUCaGkPt54iTVhR39mhw1Y2o3c+dete4a7XRzeiDqsNswfkMJNKG4k/ol
PmjXrYVxVthrtcN19srd2QZVEtPfwDoJVKD1V46jOIxPLX3Xdi0MVe3WKofcI/DrXrP75zSLoYLL
BNyORGm8czVKpVnbghx9M0Jn3rVui5inemvTpmKZVX0Af83x+mqjXxLKdwnP2/LDujlx5x0nk/8H
a/q8d+kVehIujVqpUNcPH1TT6KXs5sPAwZOmLgRnxBUsHcKjVothY0ZLvHUrF9ApgVwsO3FM8Clr
MNZZl7Gt8inD5UmZXG2rIdovMEwCm3OSXENASuXtUq2MAJX0BUDDuzXZHsvWYgeqbUcdwXsQjrea
VWteMzb22arYh7qX0v5SLjgpjdAvrYsnFK27wmWDwLf4ytSs8nAOXM02zINOiS5UrMee29dfjsKG
iLn88yStNkpTMHIpxWsWW9amjpQnsl7C69Ypj5zmYN6PJuPJODEtuAhD7GClk+PL6tdZZpuoDDZT
8kCxSn4PPP+po3+dMcIu+usZI6vbvn39FxES/et/V9MqX/tTNW0ZII8Z8mkIvp2flRj6L3CSrB/K
SDlP/Hc1jRJDk5NJ18KXixZdclJ+VNM2MBSaSuhHv4ot/xYMRZej0z+MGmWWEAoMhy0tsKc/KDHc
wl7dEr3WVT4mpJ54bVOpZyiYzbOSqV7qpaK4X1LoIDYeCQfjBgDfgrB5nr2Y7QLD8vRuxlmROfPt
iNNiCdEe1rHAuSFtGOQoEBjSP0wFJGB8GlYi2IKG1aaRbtWZu6AehDdLb8fKGrdgmDNJ20dou5wO
OEEMJ+q96ZvnI20i0NP1oJXWkdUBL5umDo4hemFy058XaTTpcnMJaLcxn+BCMQXCMlMaU4im4rhY
VW+BW2FK80qLiyV3Nb+XthZ0a76VTG8Ch1EqjS/0Je+IoRIPNuGTIJyAg1AcjNmBNkH5TQTHk0BQ
7tj1SqqxAZUBi42BQY2oW8vnCth30oazSEMOo703gobfCpw6qrTsIKZ4TqSJpzCzXYarhxlUudWk
0acd6d+dqP6IVOqGGTdQXVls5eXog27iU4T6eomv5DWprfCcsQgZQJZeUFyIAMufdqMzAvVNEmRg
TyAaq7oZBPCUnWtWM7J1Rf7CGKEFaJCO3mraXFuhXW3zxVC9nECZwCF1EVPSik9YL7vjojqznxH+
tXXQRvphDlSzR+e7abuMHMSElJtFTUBWqF1yjvAg31Ep97dcjOsDutjYr1SSIbIuV4+oBvGOy5jM
qkXBxsxGPCFTKG4AXjenWKb7OTLnr5GJf6PM/iO5ATuRYprpBWJ7wgEVYgKHFibOZi3U8G12EoU8
RUtpDqWuXlNzaUEcT/W9uvDC70IHOp2SutGX6SBYKCSzilXSEGBV8JZCJxAuRcEzSsZV1xIJAvSq
J159BoLVAMPqgGKpko6lNMNlK3lZoSRn2eqINE7StGzJ1UK3fmlK0lZTqIRbSfYWxRaJN3RgkstV
SkKXkKyu1cw0v5L8LluSvKpvqBdB2bbxTfmC91VJ8hdT1vHBJTfnIKocLpgkhGF1xIMPNGyW9DBi
VYjHhSf2z2H+62HOAuWvD3P/M//XJY/8ny2N+MLfTnLjFz70qONYn3NQOuywf5uLmL/Az0U0Z/7A
Mfw4yWUqoqqCmwTWL9lWcr3+75McrxG5LDbcBSEMboG/h8TjivndOY5FGlGfC7QPGp5pSkn/z1OR
PhzSLl9L/VQyI1Sz5MKOMs8Yl+CnV+b0Kxr4Z5Cv7vz+wuA30bktEPMjICTwzvqjdI8orIyReTad
cEtmB8pixwy+zbcJ0RSVHtHiTDaDwL66cpfhosnqe1tvCYpBwexNBEoFWatl52NruT6fIVLhFnA/
ilVLlET7NHV17RVOjA1J7nriLr+t+YaeXuenSqVG0+ySCI9Gb3yHABXPYE3BHsE5b4pZkmuRG5NV
Ag0G+6OBcS8U4xYbVk+KLmd9l80Mu81HxbGPrjm4G37Np9jMKw/R3C2inRulwFesWJd9ooJNmeS+
33EPRKsAvClgx7vafRg5OXylcfT1GLPNMPbXJLRsJ3N4dJ32U4/sl6hYnlspXcNkXALzT05WG54L
u0i2QD32wg3bXRe3vENte1+JaJ840Ktgn56zW3wrpzjbjoVac2wAf8irufYVkOObHPEQ3Nz1RSsK
eXpjDXY4mBemDQpRto3IXgZbu2+76FjNxbCptOXGboYd1cQetZpC0Uxs1gRri86ShKxYt26VhXyD
om8cSDgvbo9qDJo/cxsOx8GEP8zE25EILeLGd+jFvpwF/Z4qrCM2KuuAwwFBT8UoBma9jsl7XjoT
3YOWbDMtPxGVk27pvnZrYR6jiPFUr5k7d+S1jSesXIqwRr9usN+y92J9ecOEhZHQ2j0kAvV6RGzK
BubvbTcNB2IWRr811HfM9NTW0/KQJ4lFqNkK8xn5eRenIwkv7YeW6x/6lBOHN2v7KncP+FM0L5um
HdvL64IMPMxf4sI2sHWLvHxf0/optokyL0R1J4iR8M3GzvbTYOxY2Xm6EW5ZThDgwiOGJN6cYtJj
4ua1TEmB366O0i+eJWaUEuqcQTFb9Bb2mjnR+zLY2WrOJDcR7XyW5xZ6bLDE0I0OrWl8TKp7gIq9
HVeke8Rs1uNDZhlyXzJptHYW9Ch/mLXEz1L9YKA901g99lKY6DSvoUhutEz5dFzepsbtrrEdyw3Z
SD3W9ejvJ7+aMu2AIoNd3zReOG1e+QoVlpUQMT92YyJxk9OzSO0umKP6GCVq6HXkTONZQBvSIdiA
VNJ3+2nqnwgERFbmAsNLVYKlqmMm+MgaZXbCiHKeK8oBdi8u+CiOgVgtLKHH5ENMxPylU2owgtRu
iDDbzVX/ma3RBEOffZGon6Y2wCRziE00J72yX4T9irjlhbjhzMNP1m2W/CU3b8epY3M3nNUVfaTS
btKy9fQtIsHYNXuEbEYwGeZ+xFjM/JAt6VqPO8NO+62qsTuORvOlRF1CmMLkh0rbQkKpd4NWXi3V
9NxWMHmTxXwgiNU54hE0mztZHkUOML19pRda/v8do7/3MclTlOvChICB1gmQnATP/3xcY700zHAR
ywlogr0xd+HZfFsdD2m/UV7LR8AJB/Y0m/C89tLBh6J9+N/HuBQQ/I77Lr+9a3PvsMiHLy9/vJ8g
GG04WKMihvU02q91eHBVGBLzi1L9f6Evf/Z9dIgeNi5XZi/fkTA/fR+3585KSK46ackFqbEbOHhu
dIAguvnfv8/vb79fX05eT+5A1Gg01PRLP/8+DapYa9Bi9SSs81aAwUEnaT7+7+/xTQb544v28y/z
h28yxKra6QByTuO2e8B5E4x79cPxpbXpWPCMbW7aAPXBVt/fXzp+vrkcQXE/dEEYXKdn02ZPcX/R
+/xBv9ryT/Dwv38+HbDKf72pEoZrG5ZByuE35emnFzsnfVMrF1U7MS+4BAIZqEftMTojsBL9qL9s
zp613exdNttpD1q5OI83xjW76y1QI+/7R/lHiCkf4L8uJIP8X37V4rH8k5EAX/ijkMSZLndkQHCI
8v3DSAD/OW8hWC9dxlFIneaPkYDL6o3s3x9aTGmp+DESkL4NnZQZC9ccuv6/Z87A6vm750jSwPh7
OJkA5PBZ4u/9w4cpCmdL0UY8lmb1MEmT1YjbSqH03dhp157IhsWKxWX5ZLGv8FwLGGdvw+h0Ckba
nTKWEPFQDRGF3XLVmY9oCW2/TR3ad01n+gdydVvIFEeKotbrzaEKmtAdvQaZB0rs9Zb0S8YEsxMz
HrDvXZxm3CrlVqy4B21caBwIEdhC+9An82Mo2X1jWt+2VYy7T0ncvaZG7yWuttlQz1GRXFZqTMcm
jW9qm2rbxYL7U+OKy6dkhz95lQPLcwT8z2GvAzXHFB7jqFOZUW+jhuTSYcJkhbTmTTB62PfSiteS
5MlEcf4UlfgkCij1EZewjMPB587GE5EC5Vk95NWGPPRXcnSvY2n748d8d0sWHhY6BGO0PYzyVfUw
pwt+UFVj9QFjywKohVZgG1Xs1EPE5qtVfIpcC2YJ36ryegdL9MNuJ1YHWbRnjgCBdiS6IpvW1U8T
RQSDMl/ZIDg2CYivBNTXKJlfpq5ViGNgipQ1RLAUNFg+TgdD9C9kRxKeZ0APGxjMrJIn5qgLkkyk
LKe5oxmu+3llOcmV6F7EYDZX6Q4PMUcEXToQtsqYf8OAdt4VCRaZJkndQy2pnUam36MKwJIniZ66
g2E/yoznVbU3dcHyYrgbRB5d9hIGun5zQWMl2yN9DaZUvdGwBlBkOFgd8Iigf00epHcEgQuoUUNB
r25EBAbXxJj4VkXQsaJUpygNw42AVqoLgrcUBlJTipF1oDGCa2oOJS8xAyJ2TY+1lXzYRnERKoQZ
lRKKOrV9sbGV4dWUwNTUNJ4VPX+hvAY4F9m7xTUr5lvpXldxnkjs6gx/VZEg1mZ1tkuZsfaxMdNm
FyK0SZuGnkDK9W2xll+q5LoS8Cs2QrJe6yxijQr+VQMDawHCWcDC5nF/sYCJxZD00nNd0iS4+PuU
8wagrApYdgYwu0zsrJtQf4gK2LNxG96FwGj7lFeo1iNSrWrq1gxkbQm6NrSneyFZtnmUp3grKalJ
tX0DinMztellVLdbPZQ2ZHu8mjTzxpCM3CJMrluguTDiPXbtZxEG4EFM5zVw3WjpH2S7EpUWOjjr
KgbCawDjrVUcm1m3PFkDKIg0UopNliDu4JgDrtcoTOmkWCckqdcbk/apBQJsuOMxM/RDDB94kKDg
kShMrzGmA4JZmb8tJXZKfoMO7a2WwGFboodX4exk9GOAssQJQgkoZnZJDoa77lcJL07rIiVPtfbm
DouohBzLE5dTSmNfa46niuySjQ7IZTtAR45UzLGa2uxVXgLOpGtjEcd0cN+BCvFs2eJeF+bRMBtW
qRK+PC41cy15xLUsQsdIvdUhNecS2axLeHOH6NHVrHxfsPMl9g4LVQHqWfC8DWt0q6nmmy1h0JHu
HEHLh7soQtJN/36jAc1A8AdEetHtN52Y3UCTgGkTcO4ikdNFopvQCJdthjan7dfwNm1W1u6tdldK
ZPWg2cl7HSuXQuKsQaJDG0wep3hk2RPvC8v5WimBgx5XGaI3FRFiw9oi6SzF3dA3F48F6s7ouOqg
I3oxSiiudW457Z0rPZ+tdH8Shv5SrYmLm2s0QLKuT5BggYOM3ZvolcZbh/ZkJvlljK3UwF46YzPV
pN/UKNuzHBwSgSl5MPTWNfbS4+CSdiykWzXFtupgX1UVRpStdLRahMlQyQ93BmbXJGQujfk1lS7Y
DE4cP8365EqDbLM8FNZ0XU/pieeBFwErbYGldrUYZfZSPjmq5Q5j4UAD09+WGHE10Z3Blz031fm+
1Jk3m9ZJYNytXTitDv8yS0+vnQvaMunzdQWTvER6f0sVfzBnrD8l9b7EHtxKn7CNYThKBdxG6SG2
pJuYnTC+4jo9rNJprGQE6X57j6ULGYmtfkAYl/iu9ChXBm7lTCUMDua9BqmFMYH0NP9Tlf063qNC
+euqbIuarvyzkoyv+q0kA6gK9MdhHgcxUDWp1n6b7eGX1RyQGKpQ+RPWT1sa+xf+G5Qh6Z2M776r
tR8lmUV4J0ZZ27JZudCY/C1BuC1Rrz+V9pRkLuse0gQdGdGJxvwP7WJWIJed+9C+DOfuLOqbsTz2
k74ILy3Guib8OhngL09dR5R5Ec0PlStDHCoXwhjXQvw8G90t6d2LH3cl6+h+2DHf9unDmUyopc5Q
OgdM7aZvqO8TPqhWEixKR2QvwbpI4lFr5MozKJgbBOCP01Bp2XWPAvsWce7enWZgGSH7cj7JkZoo
lwiPnGnDLhSxsRI9LyxDT2EYJ+IU56g+rNJh2GJOEAY2Andt5VthoZZ3ggj5bcg5NQUdFOz+qlG6
OHkYuIgh82fTY6a7MXL3rNoncZrCXlbbI1njZ9Ng3ViRiXrELh/UNb8bTFQUVVy/69KuK+KB1QtU
7raHuqMZb7HMXG4VkxW+jgN3fhjixPIMCkJlVHyl4AiIpEvVrGsNSh1wia60zQD1kNRYOMyJMnyD
1i1GIpbNteUvSvJBYtxdMZifqpkmQQfZb2M5/bVtsJiOcInuJ/7+jR7V2csCO22TTcleXZnRNHLU
VuTOXZNr+rYqs5KNQY+jJdX3MazZchyBEE3JwYjBw1lFbCOztddNp2ZloCOe4OBYCA3Qr0NJi4ba
wMrB1PdVxqBJd7LJc5dZPyzElCI+UT9UhCnO0BWeElohDtBuV5TuaxRX58K1zzsDgU3ioOU1VveW
1fTouURcz6HyAV97m6vzAaDtJf4nggXC1q9bDC5FKRcoYf3VV0xmRILgBs/P+xS7M3uc8olHut/o
7mjvhSz9ebyuTfDsQMyry95KFerG8JS7jFEj0A1obW7CWqFn5UaFftciEbHGTir+/diqnoZURw0U
9Wc972DfDVuW9cgyLIzfQm2qYC2hKY3L1dxYj1rXX7p9cpf2VeYlavdQRPGNzAL3a3XYaZFQDhza
Bonc7c1ih3fIka/XZuAjorHsIgwlwtaULL7WhqchXPdLHiosAZX3tlFiXzXrbLdYXFKr5uaY1ln4
RVbHUlA1faLP17Oqtq9S0uu3lWNNXj2UhgcCsEc+P11gov4guOUsGRwIxl1yFGnNrlC1z4k60Xaq
S5z1EjXgdk2g/Fr6Ci982i5uf+W25tNIFIXHR51Eh6WAWzkAzVuGdZPV1c2w1l4/2PuVV2Zj2/O6
IVocgXc23uvTWu4Vk6czlCVdlyef+aKvXI72kzVZtzozzMNYZUydW/1Am2j4huNcxCN2BgEFAmi7
aW6nJr1KIgHOObsp8vEyinm2p1iCdFIUjoV70qOy2YqcfmKqAewx/ZSaIXEHln/E1ax+hbr5ohr5
O36fQzMZ3PNRTz+h6J9mpzx0qe16RVE8FFOvB7pLxs7Sa7tEFM/VYp5bSrVYsPuWmJAd25zFtZE6
APsSNC7eEjdvxkQyjm4BAJacmsFqjkKZ+2DN6K7G9a019OfGcY29q5YsBFz7tA5j6Tt9jJu6xY4g
TGpgIn3eQV10B9Xucb716JVrNSe8oFo2g52lnLXGSy3M277oicX5P/bOpLlxI92ivwgOJGa8JUGC
o0jN0wYhqSQMiXkGfv07KHe1y267O7z3zuEqFimRzPyGe88lkNsXXUA2WscIOSnLHPKJeu4xeG+Y
6n72MxkZ0D6vkkQDyYnaaidl7gK/NpC8dBVST5WODdcB7Hi+yaKB/qwGg3mORxPqZFONrDy0aK1r
1e2QU8BMDrZ+QSy8jPOR9ylGpaRP69hESDclUXmV2cN+yoLXLB/HdaYY5PfaaKJGnU9rWScflp3T
hQXJvDHzwA8NfdpZeV3ti9LwJQyAdWRbqe84NH6ch/M2T6rX2jH9vFZQjAfbgpL9JlJiVG5F7AIU
GdQVKwTXH5W8WJqc4MbKNZRYldiTnXpinw64IEucLX0yACKkhl7QT9MBNOw3ZGpIHctWP2glSlIT
y/YGJFy+i/J8fpiHjPdmmBTfBNEA3Zb3FT4rJ2Lb73UCYVdEvsyssAmkT91D4M5HJZ4zoKb0N4Gc
b0hxR8Zn3zmKbZ3mhk4v6gAiUP9fl110D/J04kIUqV/q1GFdpNReorcfVoXaIWMduB0dFliTQI4A
bwanYxpdtzH7tgC3pyQvZluW81FvgxPEojWZBdc9K/KNnlTQ1ZhRrGK7Prtm8uHAsEibgIGE7dKm
WooJ7skED+NMG5bGjJ1n1JCqOjyKTr4VUrlO6/hOgifyVKasm6QW1qo2ys90tr/CTDUg+RrNuo4h
9HX4XdZDqr6UMd1X38XnwO3gKwi1Xw9VHXhFII+5kyGXHpPwsYpSKEPBi0UztdL46tpp9oVB6MXU
0d9F7bn8vg1ps4/A1NyNcFlNADN97AqHXV/MrkNTlJtZLdW1kiIsQ5KABUweU+QUnsGdigybA0yI
T0I3dnYXnByUhls1ng54b0AISwWzb/6UTfUZrTFizCnLwCEZHm/ogdCWo5lCQS2drwGe6spigpJX
yi5okk+Wf37TFe22sctNU/KnqKUe1UQ9zeExA9Vad6iwGonBN3mPGg5fRMo4Kew9Fq/lU+OEXmPV
h7kZ6Nwkb09Gp54w+hlnPs9xoNEWa8anDsh+xRr0Lk5C/jIHeJ/hXaiRURswxgF5OPGWyu2VCmwf
j4SIUemws7IOs1lkXlfGF6tyMK4OT0LnHy/HAoVLcpRMrbZ61n4YgElCO8gxMMPXsjPwB/mj0Lnw
YPVuzUggInHwI8v4oR4QBhKwE3sKkrgydk9kibFFBcvRKTWB5IkJW8/ItvhE6Eu1ZGMJsl7oLpwV
OovQx9zG7GdmwQc15S7rK340J+83EXUn+r8YBQnpFblR7209OgxT8hUJM/bDwblAEN4W87YhwUKD
8zjlazGeHEXeA0Bl5WsYmccafAvTGd26TSGjz++6s3CQw3cyTE+G1tWUHGrEm1W9ga7Cv6MNqPtK
ta+PfH3uw4mxGv3boyDQGrADGlwU5DuQ1TsNR13fyvWCm7wBcJwBkMpjC14D+abKU9QXhepBDGvq
Azu/AXVrPPRO7xdpr0w3E+9OrpqxsjYCtkfhbENPdlx5KKB3rUap8G1T6u3shjT0heIrsKPXuVQG
PzaKtZHJbh30xTOeFYzCDnTDfgoFgM7kQa/zu8GwRp9tzleV1E9GbJurjMJLCeLWJ5JkH9nGG/7u
6zF2zVVkkzcTxW3mUXchnZcGWqChFyuFwQjXyURdqHKxwUIk41Rb3jtq884F3ulGp6omRSAtjfXY
2ue+jUm2tU+LrgvgbPImIIc2rnFCaUh1U5Tv3C34KNHWytx5aOLYOLSd+olUMScYSAUA0zs7o++u
QeSQZhfN25FWYkVdMxC3mX+rh2ynE9fmYSec/aqxTkaV3moSBmQLzcbMimHHuXtyCbW3J5PLDpfe
ruv5RicaT2giJJVG2qwaxJzkvVgr3IzbUqPadYV8lVXsGdFFluitzGk1jGjDarx7rtOfFYQ3jCjb
S2Ym33CEsjIRMIGm+FyE6tkkcyDN+7OhkR6TrZS5Wte1Eh6Ii3qSQ7hvo/iltduH0i1YE8IYdaB9
WvYdW1GPuvc8VdprDMLZBa/p61m4nyd73qMIfeUFPkRLa29TC24iQneOnAqvRlb0T9ncA7iskuOI
tBvPRVKgIJqvhh6deGWJ57JX2VvKmwEoqCwdOENQqQl8eUnN4hTr0VM2MAP9p6H/3tBr7BH/uqE/
v5V/IrpcHvOjnSeiEpkOgZN00kAqUNb81s5rv1gGYQJMPNWlaf+pnXd+cSxSWhw6elXAseRRP9p5
9JgmsAtbZ2H6qx7zb+AuIHD9sZ23MUKxscFLTmNPifv7DUtdNZlh9tp8KZdxodCQJNcucojSnB5E
Um2DyPkwKJWRPnfvageizcIcrI7GsTGDdLk2H4ifXKvmdGXObOHNlq1jQF+hhlw3cepPgXMNWYvJ
nug0tGzqVo7u1aATRp8VWyd0d3RRFxgSxsoBI0zyLcv91hruLLPoqCfEp2LlkHFdJPO9EV7Zi75a
gTmL8sbcTBqleqWo20yP9+oihy4159Eu9etGSy8mDdeqq/PePel9+iitaRuMEvW+6d6kSUjWtuSs
UJ31ZOLBCVPM1VNrgFUKExCWXfmWtzwP9f12VrBgg6fwFEvsMkWyEgEwgwYRBUbrxmoLQqk8dGoo
NxouKwSLtruWUMDi1PTdKn0Pu3jdIqtYlT2LDRLIJZadZDvO9qLii3z0Ebs6zxE/tPhbGsCARir2
2lQcsZjFB0FZFuSTC74RS0wg7dMgi8JzB+uuEjGQK0D3npLDmQppyS5Oau3zoQPMOLvWymzMdA+B
+mxJrLx5jpW2DV4Jsb5PFAdfp6LvjClgXKAybTdGj80fyU2El61YHZHRaRhguAJilmWm3k+OCwNq
NPfwqsa1EZa3QqQ7qJu2F9FHUjI2lVfETbC3hh5Rrgo0uExwP+Vkdc5RPLFgA4RshvKjFjnijwoP
UqvM2q1bkTYxm3ITmRQyiiqitdIK1e/RpkhYhFqG0CMA9dgp5i5cqJ2D4sh96SBOXRL3egNrvaXZ
CZ5yFoE7tEcFWYmDA7nDir5RtZJbGkj3MJd4rwD67usqvG9U3KBqq+0MhQ0iw/FNE3XmpsfsgHG2
oEStl4zAr4IkLKYDw1Ed++eymfAjzUyEtApfMfo0rw9KJKSOilgfEGk+njLqYa92kpu5dXroBuG2
HcyrfNnMBMpji6yGwdOSGVjyqkPjgs+YjZfwzTjJuXYlCQmy2Sa2dkot5syq23IrBJdelQ8ump9V
Zgb7UKvMLaykzEsEfLE6KRo/jvI3V5VE6ih4aMNoA2jvKk/dXWv2hYcg7lscxA8k0ldeqITRKtHU
b3pcPvaokZTFClM7mnhDFLdRhPLSGwxUhpa8c1gxnsDlc2NJ4xW08rER9jd7bo6TWZ5nYRxJQCT2
qzAvIzXVVV5n21RlJsTS4qiTP0d8BKZjLbplS8FGNp5eNfteKhtjco5lTJIENiGWaTGyuVK5j3vq
wFamN05sK55W1KS4EZtmdYGXK/N1hCXHs/R2rQ/BOouTjaJYOwroAvRjUtHWI5WtJczpyL0ClrG3
ewljgfUpBWWtDc2xt8GfyGx+da2+pRGsPcgnlVnDsVKSELtGdeqGee+W8btmllClBfO3bHBXZZzc
tan57mIsQhEF9Tuv7EdwAbknsoAvccGCV4/aTVZxFq7cZQ/Z5NqUnf+5cb/fuOK/2oZ3XQZI4Vv7
n7qG5XH/vnX1X5YhOdSUXx3AP9+6xi8sigRJZipmiIUC/UPXgAp2IUpz3pP/gxNB4y78161rgKJW
BWbj30bvf+PW/aOqwXC42oleFwRdQ7b+o+Kq7TDD24U5XHfqIcTXMN0WzfanMuRPxLG/qmx/LxFS
STcyXAvL0xKmBpLzZx2SYHWVJLIpr/UBLWqzMswG9Vmka7l+HangfRet5Chv5iK2nHOEGe+5Dm1N
3jjc5V5ENJGG6L30mrHYV9F4ioN0Y+FXm2PBzGnWCSVJrwNTWaeFsp8aF5d/cdeqlABTRHZkZd+O
cbMjqRlDQDb6edyKtWlUB6Uk4MuR7+kk3xQ4HF1Z7uERPLO+p2OMo0vYNhtHS/d21FQrMdZftM84
a+NhnQKB2sYV8SsKOrhVaw67qqeN6ezkAV5wpTceP95zaKl71aWK0EV5IE7tM22IBQ1Gg71/9hmU
kOucrIR/rY7QQwgeIDj7FLQk+zj5su8bsPaVtvo+NvlBN5SM+Wl+34vwEGjaQz0CTNLi9klmU4Pr
cfggqvIwGXXuV0l5lUfjsHYrW8fCEZheUNR3dczFYRsQosNJv8JOi86k0W/SwQ29ue+elUTHimCP
G1PD5+to7VdiE0TnxFoBNLRARW0c8cIZLDnJUkplRayqSg3GeCr0xqTLN3GpsTTuceYZ5fwksoIB
PbN57OK3JpYxkt7S+yHDm+c68kWpamOlDeXexS9zTrmHPFQOh0aJsa2JylgJJzyF7YeeFL6LISbO
BrJUxoohQJo/BTOMm6DicixCcagdsljannhX2/woY3bbw1QfO9v4cJosWjtJ/OVkdGih4czrqnXv
kbB8GfHgLZ7auGIOLZpkF2kgsgV2liLMrnuteRdJonq1weYB2fQ+jSVDZw5pwik5wHXUkEbTDhtD
UV0Pj981e9uHPiS8QEnbfaRH9bIeucNdRwCnHXYe2ar4OeE29EDFyKlhxOkkd5q+cFAxTYxu/yRV
msJ4sr4w7L2agrs3GtBv6iPlH8Y7eZVn5HOGSVx6nCsPJAnc5YZZQsrWLyHJqOuoiLCljuMrwbt8
eoYKKOXA78O25xeKFrS8YDn6JP80QBH5fa0+yDClFQaXOCpLinrYMiJVvlrFeYEnw8pWRp6tCxZf
Y4CWAJaKVWibVietoPyuAh2MugqI3GQrgpy8ujfDgbhY7maGyKl8kKru7s15TK4tfbivKg2sV/lJ
AMw+liUhnkX5TbQVmw/moGzAGdjKoT12dZw8GUYLzCNIGUo95u5m3E7RlJyygpGIotzWXeIu8La0
ghiS1eA9QZ0qNnbZ2i0Lr0mxBjI19EIdb2yhXxmNiZGbKa0CsqXku8nlWJ6bwn4mPfYzVsdqxbFG
hvIs/Cwt4TFNRwiBb8rYHYc2hlravYQdflDOnNs6FxtYn7eFIGdHKLegVdaWEj5q0nppqAMLoR7d
IbxGlnk9kcE3N60/s0MBB/2NeUDK2CNZy6aVG4ghnoTBaTc1JG0GyXXZn23CqOtKko+GeolF3MAi
kklQ4iisA5TL1NaPWexKwo6bzwbIt1aNT0rzaXZ8EnvL9nUDVJEX5ANGejztcAGTblKUjdpP9qMd
9uO2qmrNS0KQq6ZTtuVZ6mTcFgY4zxlSdp+HWJ8Szq2VLIxyosab9W07FbXnpIiaHD17BA3gQ/R/
Hob0samUF3RK+o3amfM1F17l12n1VmliH9X6tzFwLtUM6pss8QVWg8qNsfIaByYO8iSN/WzO3Hsj
c6arMIvu4jB8Z6GleIPs0mPNLAJ+X4v4N2eVQRn4kmu8i0N0H8dFApwBxkXfPHeimJlk65kfLILu
ktcHBIe7x3MlZ0CnpFhDu3K+KK2j3FsJW4GJbLFNWEMY51vePAVu062N1s52fJuddZW2a8Pq+10v
2mHL8LPw9KyYtkOu4gdO4VCELUshprzmbsA1twMPeI2N7bYxSOiwxDbpF+afEoC3Z005W+IeCddz
Lca70KytPWaL58KlUjRwc/9alH2M/xd+Fn9y7VI8/LQcp3TQVDTusEYt8JGE8/xhOW6lHe2nVnXX
hQN3VFzI5LZ41SYFb/K/RMC/ryKW52LNbwld4PWx2e8vIMufNLZNA4uASna4xv4eyMdq8iPlf+h4
/9dTLH/+01MMKX74oUuH65IvJjkLq6h/Ncq7/16q/OmTuC4zECo2oS1V189P0kS4DpN8GK71+r4q
TqMC/X3/35/iP98WflU/PcUyBPnp52hZEoSkBg3XhnOXVf5Mzg9VSG6/JdP/eKZFkPr7quv3z7S8
kp+eKY16M7OACl9XeLFFzjZUO3QZs7lNnx3m7F8BoH/5efv99ObXzwBWLhO0OrZeRCO/f7o2TMa5
bsUAF+lZEOJtW/dhdJyy5++/v39E1AJv2l9P9/ZZ+VnHb+mf9Bo87kevIWgoFucEMjoqNAxvv034
hIV5GvU0hwHsGLE4mn9oqGlQdN1WKf55oI3f+d+9hs5YEAG1g0mPLuG7u+9v9BoIgH73kcSxrZsG
5m1GexoYJTKaf/8ZsaOqzkelmq5GHRGJL6SK46y0sbR9qfPM+Asxitpyu+ss/OddYUnJACsYE04w
y5C3gcYY3kGlt6tFb0+A/bSPEC8q8JPgDf/cnQxkdj1JhobVbGm+bpJNRSPVXBWW9RWV5JfLDFuw
yIH/sV3VmZDAHWfEZ4O2FuZpZhS+V3Iir1YYZHKC/SxEOUkS1ueS6Si3iXtCGiGPKN/ydVMOk49j
r1y1zKNWKd40DyscYg+ESWejnw7SjE9O0QbHLE6lLxWGR0Rkag61tQW+kNAef3RtltcwP9B3jtIT
sBTW1ciNWDkdVilDeUk5vUtrzA921N0zPlIpdljBsOopvdCdlHOdWB9DzkVfFbbYYoz+mpPklX0O
Y1SjF9l+COzgVBrJ9MAaM0B3EF2FjQ6kNUo+23DWXih7kXggOvJ7K63WdpMiFwXISiiPmxOIqgRi
Yw2qcjDKUT2Zcd5uY2xyq7DurFNt2zcOBPQ7OiEiB6d7pQS1Xxi5sVWd4sa22Edj7QP/rxr44wu6
uFkyUjHUAezkJJWTiDrUxVMdmS99GaKlUXV5bINJQIXJlIkyea5rq75EvHc91Mv4ahLU7CvYMwFa
kIR/iXGkq7SX0nErBEXAaM192U4asZpdGu+BU86Hus/dS4xMtWIW6bDzIpxEDy4u6y/WT6CUeuHK
k4YSSITZfIdHXYzrf06v75MSnZ7+r0+vJSV59Ulf/SeCw+WRP84vYrYWPR9FhObyz7ocUv8WHAo2
FPC2bZsZIQ4xjo4f55f1C/5vTpXvikLd5tD5saDgzOM4439ZgCMYtPy9fA7793f3d70hTiqHmgoP
iGYu85qfb9Smm0yT0aRytk34USnGBdLuVnlqIU7D2etLe9op6FO8JMpuONqoxOOasIsKdeCEoC9N
WsjWrK7LpCPFAIoa3e/E97FyBlQ6zfuQIVJMxtdSra6mDjSsbTknYGj1xigGQkJhurn1NhNZsoaB
dDsidPPMSv+wYGn1tgXfRVdvXBUS0eAEJpKB+kkd7S+iJ0Y/Gcq7jO3sklCI5AfSfqfYM9bd6tno
IODGoiQXjPVuEpacQGx880p2oKvr7bAsg42AEPamyw7R900xQ08wQgM6tTXjjNfy+045+b5fhpOx
LJuhhBT3XZWoJbIQYYRrt9TQQQyuXwpmm30zIbxRO+hKk77pzXxYSSW57pIJ1x3InqxwUq9Tk2+t
bX8GTJdWQezgemjPKYItmjZsFnzrB7fDJz0Vd/Yo5Epk2muSNugE3VojT4J5flP0RytomkOl5u+V
FiU1NoSoUDeYDbgdrMzQbiqJQTuPbHM9TPJejdAO2d20akZyK0bVeM6x/ICXKy4lOvETS/bJU2x3
k9vuRQ/LfZ4W50YgGawjP3XtA5lnz1jml9ZJn/aFBRg1N9Q9whUGUPzcm+/HfQDHYKWmjK94PU8A
PeIDxE4iE/j1rRxBUwhBI7sEjnqfOmnvk70aw8eyj0YWt0RvDVX8KBtsGJs6teB1isFBoT7dqM0s
sSLTrieLs6Iu1bsQOX/A3csxql/IfPGVUduxvL4xE3sfpPNW9h3pBnODrzW8b53swiRiq43awlZn
xoHYpxnKVZSY3d7IoBrbxT18JwgazmOmzJykdbMbu/C+zOdTPcR3ddY9M2XbMUph25xGpWcx0F4w
XuzTB9PHrqjBA5xOVl6oeIwQ2nRd8pkwGOtrXpsyheYGhzSmcC1YsZna6rP5qtXZhg4QaF+XXs1h
cJuZVbmfzDY86YpxF3fDe640m6y5rztoaW7l3oRRsi4B8OYl578lHlU3GYisSrbc+4SY4CwtdP0q
buRr1oVsemzL59qwV3pVrqMyZDejWGQDT8ObG+CSUDPCl635jETiAq+PvOrhWDQKzf6IAMR810vV
WqtBcjeH0WIbearq4RSZ4jGtVLFRtcmvgDd5sVTOgepukyw/d4g7VkAI33tAdRt2CCc3nIYVS8Jj
mvLXoGagTG5x4GR7J+xOEJyP/M15M466fmB2265Q3KaaL2Ic19as5NltpApTw0YeviSxtslN6Lu1
qX7NxANhxX5p3MEf3B6/NC9Bd15xB1wh0lU8AsHWuui8ttV3dVg+TzZaUy3DWI6e4+Ro3a0jqpQB
2ZCyQ9Gf467eD02NxrlH4uQYCA7DPUveGy0H4zLN/ZXZD5FH8g40tNrZu3VJoCmDU0c+JZo8Ubs9
2DkrDYxdt21krOEZXEXAlwkAZappMLDkvSAE9MPI+KohbI577QKorduHE1TgJO53qUZWuavd8iE5
FB1FUFS3lyZgV2czUeu6/hmkyZoQ7NTvG5XGejgqrjgquoqsY1D2xmTs1Bq5GAq/bB52A6AasmZO
eCK2bTrftL1kMkWAua7XCJX4yDoQDLImfQjU/BXB8oXslH1bG5+NwRSusPZCjx77Jr4znebeNLR0
ZVqkiJhkqvXOu1TLvciQpM7MRpkonKY2ByqE8KcRw1WETCye89cx1e/cNESINFGtFhUIFUvdGn3s
52V5QWVyjG3n65/a5Httov3XLc7VWx2XRfP2n53V8rgflQnuVF216akQQ9gG9cdPlYn6C/2ujudh
cTss5cePwsTG7mAI7A6/pYb+qExsEpXRF8JqpUuzYZ38HforxccfGiueAUUHOgxQKwYvg1f+c2WS
1IrU7FmLLpk6G8FVhBThdRQq3DOTTX54XSgDKV1dZb1akTHUO1fhckdepGDzn+3m0Y2M4s51Y3NG
3tkNKIByu31q9E7gYEBxvrEiVAlGrDyOGoOsMZwNaN2a9LTRuiYua9tha+p6Wv50ehvC+Q3jGeDq
8dZqHM5sPrtamsUXbUKfKqS1GXu2LUp9iKyEbgnOGyk+aPuwnL3JqsbzOiDc68hu5FuBGmOaqQVc
y1kUTogAcjDTZufujRBkQT8wes6sW6M3bzP4GGup29+mYDzPTk3N0Yu3Kq/uSl17jRyIC0VQDz6p
YbjPtBl3SOxC0O4LMLSGyU7XPvVO8wys0pdWnp4YKh+7iDIIWyFC22bpWsjvXGVD6XjlLG/7qnwA
f19e6TWCB0T2RG46CBVqVjIcmj2JHWkTe60+cgzmYXrKiRCe7fIZeSK1iYBm0qn159zU00a6kOud
ptulQEVUF2CnbNelbSf+pLgeo/CRtlHzkXfSryT8DqpAEKHUO+Yuzvkvg7DEVe4WjzmsVNtlfWaw
+CjTDyGje6tged62iXHC4LCPyyVUa8mEMe3IC7IigK1rnUJsQF6RGrfkgd0bNX1baNrfrCI/zpN+
W06OSj2ALj/PbRTS/ZIMGo7HPBZeqw4wn4p8m8bKuNKMDmE9MHIixR4Tq0nXljXEoLzijVViNTPJ
VlKGgIpCdXywIv25W+TL9tQ4LSLefSst8iszc1zXsruZ+x7hiB6dc+bni8IG2trUPdRT8h5QTOys
qIYwbKg+yTVPiJye7SD0tFq8pRlOHmrAVaf2t8rkoEKdL6nEiBJrvhtc82EtaNO7U+rK63myEBS5
mZ8zmPbrEdem4cp2r5bTsbX42AkzORWE7DnkI4Cfcp4UGxcymz+KBKIlPKVeFhfybJbZBb/IkX3o
NSoMXOB93a9C2/AVvXoFCI9fQ3vIAMuvrMI+lL11mWIk7rnVcTMhOO+rYp0Fzb2T2O8I9K9qq/vU
guy+ae29QKad9PBLVETowOlhOpoF7wNM0m+p4DLS5hDL+Zh26zK3Lvzw+DuH6LmqwaUJNbtogbiu
TMOvXPmuKIHnABta2RGLhkzPrpfx5CnXo6OdtflTZOGKTSe4Yoqap0eFkTLgVhYkAb2LZ2fZG9na
ctNO6Y1ogmfgvZOnk0ZEOWPsXGc+pXl71Qloj53xMljZGxIqBMA86aDdJGW8TgOkoCga4aBtDUAl
esmUhO3uVUdsE4pbJ/cnma8NjXwNDlrkT9HB7Vr9GIuaIFxWYs1h7AVuxDlHj67pII7cqgUI7Tx1
WU6MWpHhVcV23fhVqrZbzMuMNPKiWJejoV2Pk3FQiGU4R3yxPN5zk0ksk1Gzr3lzWnt8mqs8vK2R
FR0TIzEpCLpyM6RKuhM2XRZDLJtgBQDT6qq32mjXKrqCZjziqScGRr6SEGb6zzX9q9iCm/OvRwin
N/n5n1e04DE/rmjkjTraA2CNDrlZqv7z8ABCu8u1iEUQ2eF3nOOPO9rFrQiGhaudP1QZnv42PXB+
gaPO0BLkhKUj0/5bTEn9P9M9bctkGAHdTKiAJP5IY2HsJ3S1ys2L7NPwqIRZFdyNI5BnepxYbodF
MjYt4rGK7SH23HRv1KylzUViJjmi99kiOxu+K9CSlCzHkQSSFXxl1AWI7x1zgYInUMslucmKm5hX
9gyxaExV38rw1LOq8t3Z+TSTnrXYhNMxCIyZDKooPObjcEzy1FecPlrFWtLdtn3D1Gy0XtMRCHOT
RO5mQOyeqsVuZp06aOFtJXIS8yzQgMR39F6e1bt2Fme3cT8xPt7EunOZK2fPduoO79xWKZpnJXTK
Yx4UxyoCHxYZ8V64w3PKheYoEeMJ8yGM4eIyO45WhtTLO9GEL9g79rpTbhI1eMGj89ZF5PZNPSF9
su0HiGHgxmKgjrrOHr2u0cnbhXusgEOuZK2R2ZWeK3TpGAHCqyoz3uqovbSAB1p+0RhzSDYthoHA
x/KQ2dJm8NDuTBf2PGsTV2g2uinIs3IZnZS6WOv2dJgD5dmpo5tpMICxtcm+C3O6CeR2G3cihHKp
AEoRYEQdip02VC9yQuFV4FUx9Xr2w4lgmrCMPggfrL2pFOY6F9MWSMchZTy8Jcf6nJeGth7aNFrH
df1YBpGx0euvzprUnSUtd8Pck1myaa0xKXwpIzUGCp9LlXYwQGO2vb1d3Tu1g3nTTXeANW5S6Ftw
Lrmlkd4lbWl7ZpgDUFbD6XXKwX+HxjfbbHTyvBMXoMb8YtTlAQPp66jONxULU+ahL0OJp6huoy8A
c/j3BonhvUnOGZMvCVOTy1s0bJoHrC0ufiRhUqqUoZ9o3ccUUdMB6fERwH1MaJALjCcLZiG2mvee
1dJpNE1GvVmHHK5FRpSuhyUjjJ8fM+W0BIeRsUiIWE8anr1qHRtbZcZpsGZqiDigCniwXH7jM8Fl
qziAKpS3iPk44Uk9kBSZGH+j3dSrl5kvw83EBbuVioNHHmUAKGntoOuJ7uE9of/nMTNl0iUJacPs
US2Y2izlHPM2YpDERLiZHo97lBLmyqyK+OA447y1e3MABx23SI+wSap97w8YhRw1vODtooTWxJVO
VQRJ2r0h3w8WfpqcK6uMV5p4GhxzuquFIl9yUq1WWoV/Xme0IIIavSgQzhVxAhK7RbhCDNmuxhzB
pk5IDvEtDp8bjawRO4eRJoauP+NJRMNbwKdRpiupMdRy0Xgg+MXflSJ+0OLmve6UrdAZzPXkkFKB
EGptOgeA+uZBhNCzizIRixumRiGJIAeT8rABxGnRCyDYYGSGVYp6yFfKFJdtO6sfldCekywLfLfh
71LHO9t8BgMnZWpuiwz5aEPs1rYnlRCN9/L+BsQ70LXQxUfbdBjOMd8o4ODdIYG2HQ381Kpi+iIs
jmLSt3EWtJvCxUKRzDVNuet4Y0RboTsd79CMha+RPu7uyc/y7CYyYwPIDqNYvKZH5ieMMkp1G5vy
BYfNtlOau1nC805TUB0R1LVcyKumq0N/6tBo4k7bBmW5s7rmK9SDaG3S4K1Bb/CFpWTSrpwxu8+a
JD25UX8N7rxh7wEEIiuYdoWQXcykfZqsHLpgeewC53MsNIHiJTu0chg3oRi3NlbJfyqEXysE2t6/
rhD2+fQn64WlVf5RIQiTHQIqTPBNmBZ+xzMQzi9MZFWN2/lfUXU/dfGGhVvCtvA58Glalqo/unjz
F9uhRPhXew+07u908cJauvTfNvbQUFlt6MtrIImZXl7/w35Bj9JShL3dnjNpIcMv0ng9FhmCtZtJ
62csZLEbBbO1MaJejUBj9HLYmKLVBKgMbcrpAKdYT4+VE1fTBUSRie3K6QazBtIzWhXZSGYa6VtY
oZATVoaRxg0+1SDptbUSuEX+OtNqGNd217l1vrZJhCLI3jSHZmQMWiXNmz0TRT1jiSC/GmvZWPcI
8Dl+6m3SlO5VVKn/z96ZLLmNZNv2V57dOcrQOoDBnZAE2JPRN5rAGGrQ9z2+/i5ElrJCUcoIS3vT
HFYpJZAE4H78nL3XDrY+MXo01nr9vszxSVhwRso2nwv4OEK/WPbdPhzxfgMhyE5mErc3ioj7Fzkz
jAISVOC/dHo1uEktp4dQxDl6udw7RRJnFqhAwYbqDqyc1WvjNU1kb4vdsT/GmdmfFCAoqwrDfd6D
UlgMqlpdCGyql0mDz24Z4NbcBryQd+zI+PKCzPhqTYm97oKkR2YIaRWAC0EXunZjTXLiDDORIGkx
mOCXJZLJaBps7kIeTxXALDeGLUtKgoI9DFE+PXsNiAK3qdmUngymRClAq9p2oH7RpgKZ+DQhpo/V
Vn2J2W72LTEl25HIzSeNXZfkYBXXbIE6arLS9ty28Vd+0mxb2kKhCgrlZBmB1D3qPZZi+u/BaUxj
H2i+QWIHs6O1bTMmiibbOk0lcqS0zJA9jYjJA8JDvzIBSg6QY+qHNsXLUttRBpMsVFlAlQREQMCi
OZL9wINSimtUh5LLgJXdJ9SKFQ65fE8Vhs6+jnd4VSdaxxLHaWMcfvR6kGysIvV3Qx4ypWGkIB1Z
0+VdGtYgZPMRx37T0F0oRxpFhY+LH7PBtBiMio7GpNreLqkk8YB28hEkmXpQJas48/E9V6IHfKxz
de7OVvJ5nAJwoVYfbf0Qf2YO6ApNXzHeBBUDtK7uS2cMW5bVbvLcGm6a/8/4lrMIMlH94/FtcPkt
0X/+Wz/XVhVuM8NWhYMy+hOThuZ/RrdzPhbTTph6MlSst+GhgP04rCEWEpYuWwhD/lxbkbkzMEGq
8rpS89eNv7O2Gtr7tdWgzcq/Qn/EID6UkKxfO6RI4WS6C2WCAczE6Ky3LFxkfDA1pdgspTPxS9Wi
JgckTlTadyMa7pG0ReKBGYoN1vec9BCcq3f6HCcCEg2j1hwxUvsT5b62gaTuCjJIUuC6PZkkKcYs
MjLSFe/Xc22AipnjS+gCAnEpL0g/j2PTfjfJOenJOyEGJFqMJKCUg/4VlOHaJ35qodXgOcg+bzcR
uSmEDe1rclQAOLgTJmZJo45TSFoRan5v9pCYVSJYxkoP18GkXhLSWVRZfgrkznBNjzZuMUe4VEpC
fieoauBZ9c4Yms61SHwhUnhja5ETB9Gt1xEJw2ypd7piuM6Y3C5qcmPo38gbLP/yXptDZaY5XkbK
CJqRUvNsa8k3NQyK9agalN6g7JjJenegdX8kRTus5Dm6Bj/uMdZR54Lfo4jtICwHhWksEeyO9P4s
J5ZgHsxxOH6f3DdGJe1YxVYtGpJgjs7JLHunvIbpGM2RUvauJGVHbYbrcAglp51oyIxpv5ZJ5FHm
aB5CjK+HIEMDQ2pPRHrPiCOepimBPm2ipcuRjJ8pDZ85gkMHmO3RVswpkjwgnaFbRD5QjUF3E01s
AOocHhTU0OsV8oRacoWCiM/vY0KC3AdGRMAhbgXSpWIOJErr9ntOQpFE67OnX6zP4JxxDjCSYfCg
NAbgO4cb5VnwxHp6M1R43XKL4KVJawGfEYlUzuFIzWgzk54DkxKtQZcyhyixfp/z3HoEp8V9J2Yp
ngOXZJKXFBKYiMw5VKEdbtHGWACYiWnSVQK67BpLbjqHOHH2W3tafsoC+8BOQZwzzmKaWOFJjvLn
MiqRHiVMqtuwgvcFDHpOieo7hsoKwVGlIl+pBEkVBk5owIz7ym+3dVbct1K3zuuMEVbustvYGBvY
ev26sx1d9LMmCuGSJXdPbE/f605F9jusoYWNq2jOucpEfpZHvhUopHxOwort7tYiGquRd+V0arqj
R2jWKNsUGNlZIUxLJVQrMRDztqRsdSPz6jl3q8VQ385JXOqMxRQRm4+Uhh4xM4TusJnyk/OPZqlR
LC2hpkv45GKVyt2PIB6AFKaaObsmeVXj+mUgzqMnIMyMhnabUwEtybC210pmbAOFPLHpNVpMHQGH
WxnJHJJETpExZ5DlYCY5eJJLVnG28uekMhgTkZt2+rfWaMjooEWfa91TSbwZeooIKB2jS1/rr8Y2
Am8cim45NgIs/GtEmtFmarVX/aTZzzjG1cx1YbxSohrP0mZrZGkkXK0thHGPKQ/OYKBXyrrVx4J3
qcyQWZlDRYpF6w+KY2USUIwSKjRWd0sZwXZqxhSemByP7a0tp0pz29uVpO1BxuX73kCf8FRBEOzO
cVNsgAwpS0LLEyfXY92FNk4arzxdCEq/qRGJQNQZdrqetW4lVcPaksTeMIdwRRmtzwfPr2Wew6xs
BFPUSH+KJWEtg66b29OT2Gk5DzPefEo85EB0fPMvhadfkG2oq8aKUvTwZMNy2iJsCAqinvUqVBBg
C1VTASIBfDcWcOpCmwKtkI56Vl1LXrtPrfxLF/aMwLVlP9A3q5WBQI/CwFqgDbtg3BoyYAHbLC5h
nN+IWdjTqHNKL5pKypf+Vlajk1fbBykan5NA/TER38vyb/yIu/Qhk8OVNO3UcQCTTvSp51c38cDS
I8PagzIzMMwPzKMcJ/LKHvJ5RIY9RKsATw6CDLkJyIeanoQZTyuQZwQdQRBB4E0LyDSIHx7a4ySP
e9tgzsCvUJBSSg+hzmlpawwwloVerEw7xFNSjbxLnnQHF2Iy/Ee1QgxD/K63wllDCm1s91yceYkd
2xtgVvicBo75Wh/6y94a8nM6FL1j5v2hsBp1YVn4+33FPId9dmQOmC4HfJ82WQN1Wm/8trkIux8d
5HW3YyKVzpQShUwcPXOCqL332rZetX32mJNaEkkxn7GdnmD6BC5vnc4zQJ4K4nJpWcE/r237ngXa
lYvkgFwfNpavbbD+3JcdwozQHJa4NWcq0lVnFTe2kb+EbHQkH8gnXW72usF712W6t/YmpULnXm39
Oe5ybOjDIOaKFqi7t7YxQtP0cUOgjV/XhNssQ70+w428ohJxCZp9QAi6wToAi61VeQBbfYAllnYE
Rc05kLFnriWfPyWpMl+JuFtnkqSshcqsteEHXdZBcpbpiUEObXZthuGqFPbOrIf7BK2LM+ZsgixZ
LhweHwuDsk8yW5C/A4Go4k3b+4p6JRSGdVKNULHJ5HQ7qeRDd0RXL0at9EhT0ba6Hl4FbfQgQVtx
SbjBWRWCd8XHtJlSAl1g9l2pVTdxctHSlciHr1nuP2pGeQba9nXSta+DkN2iFk957D+RKy1WDbZ1
Ly2eZFJ6NL267S11r0USPjaY83IS7NWqv/hpAhVL/W6jp8RHfj0pJuSKRsaDNC/i9GlY64PlPw2N
P8puqtS/bmigmmwu/29xqV4u1W/kCTp/+Wf1jTyBJqc+S75tE/cCdfSfwkn5X0AbZJvRhgq2+q3w
2/gXhg1kjMBQfvZDfnY20IQLVdA01JBHk8/yt0iNdEh+6WtAskOdqVoIHWYZ+az4fKtO0AJF6sme
0k9B+mWqT8Pw/OZnQZEz+nn2Nn5Ff9U3vO2c8CXQZKoQ3i3iwQyT2c/bK7RerTeeMbSndjIcVS1+
jIV+Sshi5Yz5o6kUWoBVuEp1rVwpUraFiLCpyshpTQ7vQhL5OofXkpkV8k35LmpZn+rim5QQ2Kra
pGyzs2DU6hcT77bSEbkBw6Ep8dulNbrMAeKTz4/IbJQS29XycWL2LxvbIai9H70hc8hOAwHPITRX
vLjJt1Kd05/Aajl6jRi8kn3pKUo4Ldix/rUNhtRtFNNf6lAb9gxIXvHUZ7MwJSexqie78jVHUWcI
r673V9GAjFpT88ZV8NkuxiojRib8EqvqAS0+HYh0PPQMlTesPxuICxM9kvLOMxI0deGRjC2iNZEc
SXJPm0gffiACPTcD3fk6nSa31a2Vz8zeZOuV0C5pxJLEsrTJinbX4F9lPjVeD7G1o0ymipwqMm7i
XWmaF0+hXd6Y0canK93G4aWpPSjApj63mDfoxc/SxF/P+lXgqc917DPaNelbGAc9o7iq1O6YMNAV
qYaGkSHZWOIj1e2HKJwIkIyTK6I5Y45ssDxD0F6l2uALina6pN81CVpQdaJRr03oArUsXwY1Z6/W
CrcjbkGaFFgDvUiscX/Ssp0TYnQGXOTkcC+YJmWciwgf22FpWdp696jnlA2BcRI15r5mYr9AI5F6
wDW8dG3q3ZHW8TYfe4rTCPASgrnU7jdgxA+BmtwKhQiJJkoeYTE9KJ75KLzWzSuxsyYDKWb1RegN
RVhjryWtfs758si+KCfH6VuM9mZEolF5xkqLh0PRRxYtfL9Y6CPlRWMRxq6bqDeE+YW3wI3C6Nn3
QHkNdRO5Utvy2JQ/2HQ21oz51IovbSU/S5J8W5uMwmMv4nRrL2UjeZli7zomPX0RjP4hjqoYEiQc
Il0y7wL2tRIe3NIPOajKafpiK+QaSQVKWQvDLW1wDMphKDgSFoCNDHEb2fpTW9RsTipyiaSY356I
KkqJ9lILeUstSWE3wHfPQ6KbwWI60454/djjGUoJrXbspICkppOi1tfi5BNI54SGeKDVgKyn9KyX
ym6AdBElSGZxIYCapFXnwXodJY9c+bALT0MV0nYqBEUXPwU1feEvkUrFszI2WMEyRt7QSrLTTHq9
yBqPpB0OBRCKWnlPLb2wglHF21HtgdufqbFqEuiRqCoao1ZFLesNnY3IIen4IGjcLuq4yNbKZEB2
mWxnGmj1t3pSOHlT5iobdHI2EzlBDiHViFr4xp5HbuY0PlSedjHjcsP6doxgmy1tBZkIFdXBi6lB
SKc2gDsbA4KPPL3N55EwdY+XPLZxdtN3BNyrqjjrEO9ZWZaQ4phSKi3Dm2xvlhxoUM7z389h9/i0
i3lYko87H88u4dXzvA8pU3NIImkdGMFRTuTHGA2WBhKgt6E1Z0P8hQrSWNQk1iMsF3ulkUFl6qH5
UvSkCE4TGdELvezTu1hJexfP5Voz0VRRq1PbW1OMVT+sjpMVnzS12MR2fa2UyNUTXJokMnHq7Y0V
S95WRW/m+JqotsnY3QupuMOus8Qc0iarumoDh5zCFKs1kTe9LPIv2ezM5vT/A0wNwJyWIx+XY+JT
CP2ca0kF+DI28W9GAYWaTgOEpT949EquoLbJXQarh9arbO/asYp2gHhOGeE0xJNq1raNVdokuXnH
eA90nh7BUk1VdNWj7nmuEZd3wiMuPTOmOQYINmgL8sRACbcw+8FtaJGuCxmuWD6WOWo5EAJVZ7RP
Fam07kBOHVxGmkLsSkEDcizjFveFqyEvWo1p/iw6hOWIplBJO209H47NXVyO93IQOV1IkHleBPdt
ot5ZFNT7YRw6jqiI23MvIVGihZhTyPIzDTZYpYNePrUCbG+Ro24hfja+McMWdpGnPakz/NtTjcG1
WmRmUSt/lo6GhOLN9o8ykTAHMed82iYRHuCdft2c1TQV5FVG2anhBEKY4hb513Vf1e7HVcCrO/M/
RcDP66D9gD6t8dq/LwIac6IlHmSnNEmOtVDvWZWurDT9wnJZgQOwuQFjsumGwk2seFOrAQRXzjhq
tmelOhhghSJUc4HX3ohSdjTaaa3NkNP36P4JEqx4BfTJOgnZp1z7s677TQHz21+I0CFT0TmmiNc4
0jdWTSNt87Cx4+zUpxy3xjs5SpdBfvj4IvY7Qyjzf3qwpNPNzVRIHOa7+1C3MdCJmMFw4Qc16nB9
q+UsDLKHjTvqOsPxpO6JQW5+ndk8g7a87a1eX+QjlKfZWDJFKb7eqb1GgGHfZuxKbQ6WToZ/gT2F
rVwFIG3k/ilEyDB4TEB7lfdGpIRo0MeabgwlucQAY+lBhuupR0dWK8IJoCo4caN9lSrVNQZC8ViV
APHpHE7zUltHhD0QMlFQ2gRiW07qd8Qel4HZVjtjuQczOY6T2cE3GKWNrPTRUQ7I0JiGNuDoSv8r
sCNzpYT+g9cq6V3ZG+wfin8w0sJwa/SIG0GyZZezxSmM08eIeIFCVs8og4jpJnqa9T45ePKlpW1D
u4x18dmS6NaYvbIZI/05oRPrZFgfFoUgmE2SibSk9Bh4zVZAH/LVIKUb8jNgICrDDi3iJSZU9iv5
dGsZkCo8/eCo5qQ4a3Xphlpto3wdblIhkpPdKgtFTMMebcnx48dB+e3zwAtp8TigSUKK/Ot76WlS
nvFnzYmcqotm1+lqKrrkJCRs86ynX/yaXm6G/1ERMHZDEiZYUY/8KsAdUPFvkOceoWUt+kk9Grn1
pOlZ4NZ4Mty2laFNGyoiW4gZC6CTliPnOjGwbOorKNLEFFYS9QgLkZzmGaGs5a2fhswZgxoZbU93
vuH0mxXgktPpa5WLi60Sz9QpNG+rVL0X6kjtPPo4JxWOt3C+KoOOe9WLp8gSGB7Vb8IcZvwFywAK
GJENd54dHUwEN2WuQXRD3gFPoR3VW6MjbSMKbmmG3qSmvRZj82RBoYT4zoGduSm1YNk5ddt3S8tg
ssipGJMHIGAiSi4Sz8SysLVnRZOelAAAXdmQu0Z8NgF2aGGlIXcUvVrLcrQlU9hRcS6xG630uJGX
ltXvzSriJ0GTpeBsB/x+p/XFybaGbZ2PF61HUaFVl8wUs2HpGOMJZe57hux0MDPh9rkOjjjEUpKZ
S9UOr2l6xdvRmmgojo5IIFIVFDSEKXIu4WXsJPu6L5sfkKw8eu5wv9rIZToXLzG6rlQwvooiDqJG
Z6HRZ7RwQjrACWiTUqHGbXCQFPDoSv+Y583Cl8IrI9Bhk+euGkv7lF0c1cvGUhJ8nEgu4bSj0ob6
PcNDEq93CeR0oHEheqabukpiac2Yej+RMkP3CqecQgReDV6MsaDiRjDYDIJ2QIxu/KzZ08k8ZJZB
1dsk0jkp+mIzJuZO9wlgeXXC0XVdaAVq5F4G5VL0R9rvV5ij0LSnTt6aGY6qK2E4Jvj33jqBAhJo
mPSNZ3aPhUyfLJWPwoDOMnj6IQp6ZHKeR5ywSiRRbeAoMiMvW9MKXxXUDRvcMvWKZL5N1VGFmPls
evdw13uV8snW9ruV+82b+jrcerM/qIE9RnYRt1DzUP7UR8jVy6FLiQY9x9VR4cTy8drwq9GRnZSd
4u313u2kKrFSnC5YGfL8O2S1brgBW5j5T72++fhCaCjf1QZcCWW9rppYJ0xGgb+uQX3ddDgEO9T6
CmFPcHvqGTJ8Z8DL2wa5xDM3dHtS6MEHKrJytGbJnohy0p9mhmnPv4uIXvrBcPF6yDRae1r7QPzy
OZfN24TyjVMPiCN1xpwOq6zx3bQJv2QAMCTEFjd+C7jVCAKEwUa7N4DCUVg4owLPjxJvnTWa+Wir
9m0xYXpCEtVqzTbU1D1BXlujsM997O8rtm1TivexmvEySQspQJBUKI9pUTlh4m37QsEBB96pMdIL
TVxjmfT+c4lB8VH1kTKpteZ/8qv+2m/54/a9/VGZxb7thsRCz8LKs4aTNXwJppfR+iMR+S9RD5/9
++82DllKqJH9eDyF1i08xUWp3X/yWHz8VIh3z18q0liOCds5GepViKWCn0kOxj+6in/5LeZf4Zdy
8fXRY/RMSaoYlnj36A1m3QPK51sQxqQ2X5s+pSa5Dwfzk7uh/vqMz7ZhpDwmMcQ0vyhNZ83y29sx
RmFGv79QT5QxX9nUVneJ660kp1uEy8dFtnjcimV3eLkJl8HD4FwSZ3zhja43n8VbqnOf7f03fvNa
v37QN8uIDb0AgQnLSON2K3kpO8Ntu0Yj59qOTbKBq6z5nV1lCYRyETj2qugc/ZR9/eTe/u5TvH06
36mcEq9OLBUg4ulp2KoOwxXXvjIX55qU1NX60VgemMet7VPgDpvs1tjcAahfDxvWvcW0RsxYr2id
reyVdGg32bo+Bwsgh/7qgWT2Ezn2a2Nrbxlabar71L39+KPPsdT/9QO+/ejvKmhJrcOkkEKeywVx
Z279vXCLO2UFgWDFgGUVOpmb7vL11deD027hvA/LaAf7YEee2JLNx2FY/M1bPnz8qWZb2kef6lVW
9ua2gkDqKlPwqYKtvQiW0yZde3cERYF1JW5g4S3QGC9IoD+VG/ULjTTn4+vPj+/7p0qg6/j5Hr1b
bVhqJAbr43CSp9wx+34/STH5DqDtPr7OvKp8dJ13q44VEg3YTcl4oqbG9fVVHja9eME7XsoE3BXu
x1f7/a3+81u9P0xKpLcwLYnaU8AsfvRuCv/6/+8C7wQp2gAYV8DQPsXGXo3oA9rm6uMrfHJjzPlF
fPNcSGlhZebIi5YDOcPRVqhPE/mAH1/ks9/p3eJWK5jVOhKFT8N8V5Df2kO0/PgSn32Pdw9Ym091
m9XpeOq7YRkK1JHDckqvPr7IJ0+X+W5VEp4vjTTn2A0YyOo26sqkOWtau8SUhoxfPXV4yT6+5G+/
lwFyB6aEhj/l3SUtzHZeETbtSSdegnG1FtDkW398jd/enjfXePfSYCeopTLQh5MR6fTvr9P0k67C
Zxd4tyROcTowoy27k8yiTTM61pJPfqbX/fGjF//dcxyEDH28hOeYs8ECUvCu28RHjgjLHeJGxz+j
a91//Ku98+r8rKD+fPvF/K3fvDoK/T90tQF71BON4YxVFWDOghjMi3KYtt3iakJmztZtOCTSLKxr
aXHTOPOufvVcXmk7Tu3AjJ2xWWwIolx/9vF+u5G/XXLfPzlh1cuKx0unnOeNXFrU60TfZspyEa/1
1WO22DG43v+QXzicVffjHhjmJ6uXOi9PH92Ud/e9k2oRlPZILbHqVtMKkb4qFvY+Wd3A9j5o63b1
rLreIqNj61brYg3m75MV+rOPYM774pubBJVRQv5RNCdpny9I8pkW0Td8Aitz334fNoWTHhjVr6Uf
/rO2HNbx2V9F3z95Tn6/9f75nJjvnpO401Kd7DgUwe7gwoxahHNVt42Xd9122G7JJ1qgXUoXj7KL
p9Mt1uYVKIZV6wRbkia//Dth+i9L2tnj9t935T+vu/HuJ7EkEpM4Kren0tHXYi2S1eBO7nQI98ri
q7/13HhpbYsNTb3DsDTvHSJYuEXNOnZvQ7KwSWZ0Xn+hf3Btc7fszxbv6sKg/jtmomY8XdLv//s/
ZzoyPg/TH//f9tv//s8fOtv5b/05szehP2toMGmP68or/fnnzB43AoN6wm3p1RqGPnfMf/oVtX+x
UcxoaPp2IATmA/V/ZvaaJWilo4B/jV78e26Ed8Uu3U3sDvz7uCJsZuuK9e4QVgplDHtT9o6VraCD
mpIYW1hre3tpKOV9ZtaIriR5bJkNBbvQG58BG7IsmtFXrTOUldQTgYA3O0E6U2o0v+SiLJyBASXm
bBHkD37ViXEJlK6mTRSgQpNQvanYc2h36YkXfkd27mEPy4zZdoNpLUM6mgGDg9wWRqXTJLU6H1v0
zi2ryBa70SSu1Ya0Xs8yPbDuBfV2REd5MVTVD8nykfDHNNjBIXeLQLW/0VgiGntM0NpoxAIknY/U
dSTjNaj8XdIq4H7yfc38fpr6a0WbGBfYG9qmB53kHbou2yH0JjSWTJ0mRTKWed21KxX2J6w1RsuF
dBXR3bgpPGvfEI68FL6VQWyrlUNWw1FVpT52RhFFi6qQopVZtuehqc9STLOg92fxmw6pCWKSE/i4
Whaw96ViGWpj9SPWmtswkW9loaR0RZMmu5JKcmM1nQzxsnDR8wRPxActTTLYPObux07Hb67lGPdq
ON9qAWhIzRklk85tj1p6KwmjdwtrpvDSYic7Jl1nJV+3IAJzQGS78IBRrVQlC84dIWebEIYVbr7a
bQYJvRzaARtTfy2PdMBtJnqFSsxGKB2VSYMph5BibAv9vsYSgdk8nAcxlksWBxTpAlFZOwEHYjD5
bHjtPFuVyLFYZDSYlzVzuU9qov+qu3jh6GsLpCiM9qz356VIDnqZEWR0UhkUuFrSq5dgnLPq8Jr/
u5P2z/qnUnP89fp3+t5dvl1+s/7xt36uf8DeWPu4A7qqQsefl8af6x9mAixQssCoBV/51Uzwc/3D
r60KJlgC4Nts8qYu+bn+oYGSDdqIMw3uFZn/N1iV6Jx+2Urp2tCONOfeDbQ5Lvi+OvfasCCnORzP
YXaljSapKvDGFkNj3w+T2i/kUUX4pmYHLEQ3ULJfxiKRlqY0kfYYINcbSV1cmI29q+OZXKTlSD3F
ix3Ex6S1H5iY35PG+KNtfbeUxOzsMp95EwrivQTZ4P20ltX0gCqpJ82jYzGbNKBTyA4xbuooCuMH
4YuJnj7eScUrmf97CbFYxhOCkQd/nF4kj7WGhJEN/O/7OGyuKlunX+fNEZrWLUeo+zwf/BNifwK/
umJBsO1esaIWSgmosSHnO0/IjLUFGMpta9EjEuTyEUvnZoH0SIDb0ibuhvy7U2L57qQTHgoUBPxv
VrNo9e0qCku3tGZtKYsHu9233A7PdawIZkLleDuhdgo7Us2Vol5O5QDhI9JAKQudBMOM2ZAtGc/p
FKtwJz3TGTBAAbsKScfrcWRIg7ceTNDPVt+tEh2RvA2o3OrtCRdWeytG0iWnynggW6CMUa1U+q1t
tn7DaI1MxllggrT/Xul7UsLhp5TsMGVDChuEvo7QvdGPmOQFfqKv8ITB1ezCgyUw0NbjWk6GzdR3
gqE82wXu4DWEOBba2WvvGcq9bhbdMjX17wUO/ERmmtc105cJLRegGx4cxsv3TZZ9CZPviHp2pZ6g
gdXr7di2+6Ey2SWibJOrsuQEcTHLPLqjLZOZF4/aPgjkx1EXu7QgaiA1xkupGOW9ntY3fqrfKJBO
+qLfMj1cD1HEGm14+DBCb8MQL1/6pbYf21hZ2FJhbkdpxHyVWg9SV1kLUUpub6tkEHaE4oWkEnj9
drKZ/8l5gdnXzyDpSM0S3M06DAH6g2fF7uq5WssMFR/ZoqrahylJHhND/UHKHbOJqHwC/3nIvPge
BdOzn1ZXpISFy6GxNnE2PdXVrI/Ogw1burlMgJ9lQ7NLW5OnOZqeOuwPaN0vzRg6TLP3dsS8LSye
MdI0K0+DQBbLBKIl1RxsXN0HtdEtihYdj2zSjCfWtJgA8DXmcwkRZAGn9AgZ4AYO2FrWvEdllIa1
PI7LtG2/kJ15oya5ayrZWdON81DINLXFpB4ii3T0UmQHTMInVfPdOPsWz96IDjVVPWd9hj3hnomu
rHJjvAqFgcWB5Fu7byH0mTUNF8yTnlAvqUeYoSHHzVImnZUJOJbrbrwTE4boIU/wnVTmHaimvVXK
z5MVHBN7uNagnJNaROhqSbUy+29snDvCLLdEofIAencJsjvHi1SoDkjAw0654zF+MhuQCIpHjnAo
rmtb+2ZPI+ZAqb/KPWKI01ohOcFXyQrwkJ0kIsCtgUqS8mhIwOfaNzEAHnRgRbn1ukB2cN8DTRL2
y+A1lzgprzyFMb1nGt6q7mUPyVVpk/hj7Aur1q8mzUK7lgfZtUf5c1tkCoGxGjaImMDSPD9ok/+i
ZMquTdpxk3q25DSxegogSC/qglhlSoPMBb3znZzgCY1mEIMBIiggbUiDLdD+L7D44mMxyEHw9OqA
BhkDk0JkMKz5oLmpfAzdcq9txaSfOCTu85RvGcblishteWFMkr4afU6DQdouYR+v/jnyvKqVFRov
f73l779X2X9v+PPf+bnhKyY0aaEwGzIx4tHwerPhy5BaESfPOmGhvYbM/dzw8Vi/xtPQJOOcbc4J
NT83fB37ta2QTm8AeEU+87dEyq/t0P90NOYxDaR8hSwcdM8Eyr9vJ5hK4ZPzNSGHqE38KaBbfQSA
akJhrtuAHawLnJ/eLQtcIco4RTr2tNpqiS82IaY8hyoxx+fAy9tyi92LqhbIay87hWS05lVB6Ed/
RbfiVGhxeCeR7EKvXptMN6qnGnxyEH3RcDNdjxmokAJ1geL4KH9RMmazD1zVp8BtXi2t5ayR2eqe
lEbIgBszqZ9RF0eIGYZkUok41VpRhzUHpyFUdmnaT/mtP4FZJq+GlcJpcr9a25ovr0KTLNWha8Sq
yvtoLcVj6fRAxYAzCMXph5IqJBbVw9QFrYJqbxSTo9UtqotRtVl3khaK2bEwPYkIUL2QyIQuJnFs
R7abVaHm4jYUAtQrqcSErmZjvVaKIG5u6RFWtsNOn5wHjoLqujT536Nf509Tr+PUKEofASoKmtzc
EgCvyf90Jf7t4/2wK3HbXDI815e2/u8XVX/TmaAyp4sAeIJSm5dxfuXeVOY6f6QSLKHNQGXK758v
qvUvmSmnSsMA/6d4/aOfLyq0Q40yflafsTRTv/8dLy/QhfelOTQTmY9AB0S3iALko//S+CPiI66G
JD+32C+nI7F1RnRSdHl+uJs0uTKJFSE/LzFgsZVX7RwbSRa7U6kp2UmUWwCUD6VaPYN/2yV1dhOm
BCJKZBxpkXekIXMkjpg0RrNf+xqB3FUdHwK5f8S//90OAQHkJAP1y1jk14Y/uUpKIkyAfKtFFcWL
yrE4wZjeoAUYOFesKq3LlBcVLhjoWz9x0eJb8NtMrQp3hMU0kIEUCWmp3AGVB3aqRczsgNzhTEAC
aoZmyvth70SCsPVOIxwqXHhpH3Fut/1AP1RRWD9HvYdRlm6k6nZtFwHfa6O9WWcCTLVt1Di6kEet
ILJUEbWX2U1OWfly6aQQq/xF0g8vrUgJ1yNWySwMALBBv7Y6WNNFKC6Fl3srsy+H68hKekq+HH+/
TJVWk9BJfqFTTpQ8AT7m3APNLHsPUjVtG1O66TCMZV0PYzVbUT4eht4423R9FlYhllWi4sgNL4WU
75PWlBZ50x4R6cDGkYqNNTNd6DzddK205RzvZF55svzih6pB/ZH6DbjbHZ7kje+VByD1p1QdTm1e
vchjfWODJFAjcY+HFNieufEU/ywgLy/KpLhNimlhZsDn4MD0Rn1TNZxRhn4bCf0xNcWC89HFtmrE
wD3lQaqpTmT/yID/6ok4aX3rYAldk24FI6k+emF9RanyTJQv5jZrVUgKWOjgNOXp2RpJGjamU1br
m3pQH6c+PxI/vdCh/nIv8VDiEQ2CU/R/7J3ZctxWsnZf5bwAFBszcPkXUHMV50HkDUIchHme8fRn
berILcluORz/rW8c0W2TRbJQQO7ML9eiUGt197jo5qbvukNiYgS2xLNmJhsn7s6V3r2EJUFz+daH
NjvoDb2VXN061nQiONbRxREXvRb5c51cNJZ2Da/Y6xbl3oz0fZbId5gUYpXm+5ZIFYNUcPz1u2u0
7Mtljyyh38NdgL+rbILKPOmGs9H6nG3ggQXaWT2NxvQy8EOg3oauWainYAAXZZMTiLpTaEO5i6fj
OEX7soWM68zNe2NrJIamm4ZachWEg3ltm802tsbowgqM82xq+WWT0RPMKSYlcKyUniGU9ytzqi+F
ZZ5GlUuqd419NrQKKp2x8qvWfZtDxswTDq5cP2GLup5qHl4TJMEhy2yfxNpzl8xcfrrlVxVHxHqY
oS4GgE2y84iqcgNb4y5lP19XdHuVGvjdSF7GMEnhd9HLtz0lYtkHK3qx1iL1HBjGjdHggVSMnIpz
4h2HjnWVVMq2NeC4swO445GmeEoLprOe1HOX9NsU/qTJAo1gO3vN1cG7pRHCc/v2CkjV7BVGe4RV
yPRqbo+Si0oO8qTXksQ0rnOrvqg09Atjnb9WRs6bsSi+tOv4SQBcLO6sazNz9mWX6Dy3wUQVWC9o
z01YVzm/l4KuqAbnhBWI6sTSAQvineLlWvm5sw0aE1o+IK1bLnpVP09p/GbpeEMVR9sFFWXyFEc8
sJPhxiq0h46uqmIS6FP6bJPNRcX6+nhm/jCvBoM7QK4QWXQrMHBaHeCaBym6Sfr5VNbquMLQd5mm
9f1goW6LoukutPDPRrQCC3mSdNJL3LwY32pwLnqT4O7NC8+NOYsYpjKeFsKmx8i0Uu/f8vyjPJe2
lf9enksFgx+/h3+BSJJf+EeNbn1CBAPs8JvQWbbXvj/6Kd/phjmkmKDffevXfX/0658on1lA/EHO
8P3Rr30ydYNHOCRk25EVwz959FM1/PLoZ8NRZ4lQriWS/7bFLwO3OEkiFmw7/YzhHT4XSxgdmdXe
MlNwM/lY0TsbFruBcicqbfLJMS63PY8v1gKAxPeJ/SWNCk/vGCOL+jmxM1W9oqGEKjL5EIO00hEC
AZDtVl2KQ2rpEAEogk5EbUWjrFxpGckDPTiksyWI76Vpot7GNj0AYoFL1r66RWiN50avGvMad8N2
ACT8zkk49ssi7nEaGE4P3zfBr+uCahpuunru9gYLIqQalyhd1oGcqiyGTQ/BriNx1OTUpanrxPWK
AstzNLnkneumW7OsER/NbobqGywVQHQ3cCn/QDuwjhPQRYRlvaC6j/ordC1f5rl4ttPwlUddvkb6
k3tsOb1XXf5uuaXa4cCpjTdMd54jCk+rw3FfLMLcdCwsP480HFeDJuJYStlUz3FH5NjA6x9VfI1s
Lo7B6wS2YNfqBZwlVIUnoNSSEdHYF8w2pv1SVfXWkOZfFpNZskpJsaKeg9TUwEN3h4Ddp7byLVrx
7dgGvtPlR6d3WSwIGpuHhrnsU4NhTUyKHDZvtKXOy1cNMJGVDsuP8QtzB7tIfSQw77CPFUqYZYeK
51JnsrSdg5GcEEGYVRjgnWyN6bMRGYGfjgvLAxZwOtWdVn3HllXUjOjwuKEK7lvIJiWImJUKOiiV
dolYO71luqXfFJZVvCfCaOCUxMUjsreGmUf9ViAQ/ZZI+HeOID/hv79rrWgsfGne4uKvbl189R+3
LoNTBgcCjPTfziY/3bo4MDAYRW7/f+vR329d5idHsKBEMNP+ftb5fuvSPzk2TQcONZY8vfzDW5f2
82zeZBRHm5/eh4k6hm1g8cs81Z1MBSIYGGslhetgDpjfHLDae2uY6+eh0SH9d3XXQEpBb2d7dMuI
ugdj3Sb3c5LSEF+sQVwUjWb4RV2F4CssWwzX0+iwJ9DTYUddGnJm7/F4ZgOHInK5jqNPvm7J3jTG
pXrZC8H2cLvtQBhGtw5cC6ADaKp5JKPEg2SzJHd5mQ33Bt04zctSMd9GKiSXlcadd1NVGQNJBq+7
OSKun9HZeChA8vRszXTDQ0V7cmIoWC1IGgvWmymL6sJL9cq50tOhetLzOnlSzMrccXMHuKYOWXBp
CzV0VhmGVhyZTBu8PAAjgXTWCjy31PaIKHMv15P+LBQ7v7CtYrjJaRusGxb0DBCNxbDrFQy3fVY7
z1qRTwuzCbdcVgNdXzL5DpAbpOSZfaOoDqiepcvjXdbYy2uuKbofhcbcFt4sapMFpN41kypYGXqf
lntn0Lut2fCGtDA4lOGpi2FBA94j5m8kag+EL/mG5EPgIAF986gvi7tzQ4f/bK6acGuLbrlum4H2
jlu01y7NpU2C0YtxLoPiOx5ZF66OSAxEv+wTFUo4iHXYyo5/+NFLij76Sih4k6eUiffd5NI3hU7d
I7PHQxlnO6EXnU0FVwXJvlabZIJjGxvjuzU64bvLVt4WZHawyeKorBk0kYpvlRahp9LYPny+9jM8
3aq5rBXW/+hHr/6tt761Q3975zrGRfgXbRb1xxuW+8lg5YG+p2ppf+qHkhMX/3ffkZuO3+9X1ifZ
9+CmBDLN+uh5/tEOlTRKejM2nGvTBkvzj/IfH9uAP7dDKbIcbo7CIFTyQYj7sckC5qqb08o2L6IF
1Ni9xpma+ryYc9WPIqUHMp+0WnxunVT/XKHvrrdizK4FfB1X6FnuN/FEIdERIGGXz7Fa7CplQ1DM
HnS5udfSvGzb4DAyf4eYnJVLel3m6WM15jeWGj1D4+08IioX0FNr3yhMdN9QhICqRi/s+VgrTRQa
+0lMA2ahMFTqt3i2mYpp6eyPesttK/gMQLGKjqVIltnPojycHtKsZEM87pftYDJUKP2I72p5ZY+G
5Wwos8WdLdnFbJ1vmKiOa9HBuglglb0wk3oOhwTovpUHTC2LTTtBjynzZFcnyo7nPjzepngRnGWA
SAY6W4D5fRwqr9q5KuYzsCR/0vEruNmCBTgL7tTauc7ZMHNhVyXLtdpZ9+PQPrLfvgZbVLvfFv7+
LSFkMPC/lxDn9+b1/e3PDU/5Vd9LBxlFkCce6oaPIcMPpx4ZRaDjyQjZBQP/kdL6/lFknEH+gBGE
y06zy+jgP5MJ6xPYFKoKElRoHuSo4x9kEeie/nLqAY1F4MH4yDZotGV/ifXpijaqKCbTS1UYXXNw
u7gSXjzkhvLolKktmwYIRzxka/W1aqd+rwENavIdEURkVNui+JCIQ35zHqKZQUEVD3ecvZqjoIsK
gQ53K7oDaOAzm1pe3gaXODTZ1U7ybldpMLJiPpVlOl9OSjYAydK+BLbGfkOTHivBINiaIlbfmodJ
AfBpllBDnOlhEeObxci10ku+AQzUXTiZtCedcme07jUFxtehxNKWJzmOClVY62rs0vsgzK9AsNLC
FDMUuEm9dMrgesyBp1ozRGViDxjBGmc3WKDV8nTcMV59MqppWo3l3K/pfmYsPrCw6ZpGsqv0PFu7
je3gyQisdV5Hn3sOjX5hVuk2lJ2TRYoadKls6D/sDaMUOUBuCcWq/vA7cPqbKamQPjB/r9apFEG0
UgkBzT+8sTs0EZYURpRSHcFNwbyMoWR6oYpYYsYwAdRRu4qkdKKQ+gmrtrstcvN2E33YKWh7QJLG
WBEwqN4VUmIBKp11cym26D4cF4nUXQQ8xY9O1UgKgTu3IT9DUccHw1Ysde9igks3GsNd/N6p+qLW
uuH3tKDtOknOEVNs6NOJ30kDHWxxKZzeCDO/NmBsj940l9RtTfqelf1jTbu7FCL0cxrgWZemHvM3
QoDKGdkcFxLNcrNCPhgVh4omuqakp2QkMlDTXtdln72TDXca71poX1CN9R2IfDu9MpMZGZmuDzq8
eDNKljNPwGIlgBinFfdVQGbBPp2jfZ9LfklQFvTPNWedL+HrMo3chgX7LJUb5JsS5PjKdAsYXY35
yhZ4szINkXoE1Vpfj6Z1r3a+nc/34dRNcHcKk9E4mIt5ZsEb68FFZ405k3qz3OFhiFeCW+4U818C
pF9Fqru25yoiX2AW1LgumdnFGFDPx4StJ4H9kbFe2phk2qq0PQjgY1Y8wb0zM42VP47xAg2hJX2E
AWLCUT62XOkqJBtjr2qCIK40GfLgZZsJuWEehG+Y+jISQplH/5JGoxQhSiPiPGhrVeBI7KUtsaS4
YxyIQdHh0hfSqViIpkPkgAIPHAscynEVJ3aZHgopX/y3kPtWyP02ynYq2//5f4R5s/e/Kud+yLPJ
8TbwCSJrgBz+RBdHy+WYALpk40x21b4/RIxPjqYT83Woihhr/Zjn1T4m3xaPJQ1Gl6n+o9YZJeMP
yXDSvMzJybTxULLZ9CfY9vPMLHFscPyFm1wQHFlM5JnR1qgff3iwXn0rDn/kcAHN/YtXQe4Mp4YH
BelkGar7IZJfB2hLzIVpXFcmceaX9JG42puZEKoO8zXRkQWWs6aebBmF7WUoNluC44Ce40ZU0XUW
O1uoi/FpFAK3iEqoVnX6bAWJi31FErcjT7Z+iPAAEk3t1ZMgmQvZ9FyT1J2QWzK0P4iEDHAuw7yJ
qN2NLQO+Qc/CP42jN3WKaE3LGHACpxLuf/81lhFhZmWkhZuP5HDA108yTIxANLAOo7KwUTdONkNC
zk2JPEGRWOUwlXYFymrNeAjkKcvOTP1ZyxXYGnQCtrFII+gWfc2hGQRMysq8Ovuzw5kaJJY8rMER
4uA26CBF5nZGBSDPdMwMI0xdeqU7D4tWW34G02fbKAsdKrUcp6X2eCoJUlK9mXdzsBI0Fi6dWlPO
fP/Kl+mtlN2IY8nD2MFG4Fs9zg445JnPYzDe6ZmRHnow384Vr9fqz+Yc2gwkZjRo8MT1m5Jh4XQV
qQkdhHB2j25j2YcBdcITPQ7jEa8iwYiMxqrRFb2xpwIxCTNr5rgwtRuwnjD3cIkXEh60iAWsFWgQ
mB0xoGU9m/d1yPb0oJkDdIveXnf8zQmJLe2XFhHNNAOcnCdHI/IEw1bDVUuUhLIfltbNMuCEEIBH
aVa6N+FsqlC1CB46M0TJsspB0qeGP5RkjOv4EX/YcOKtG3wLwOa66TgvtGQ/eJRP8cFaoAnZKDW2
0ARUr3B5KrTgYHju1u3W0ofdaBQEpCatvYY9AjVVyc9xkZ2HpmXLs4mvjdLcO1HP6qeV7cqYvmOo
iyvcmreQjIb7cJicryWcpDZJfWucrK9l3Ptm3vppUKt3Quk3odWBxypTso75JnXAz0yYPUCSvLVt
h065eZ+ZZnG6kDPkgwsWjhsIPvNla0ziPDuDr7vIrkzttMjeTzO8CLNHcaNsslFFFwPvpp9fC5qr
YfkaiF71RyvDwGqH/BDm8GRa8Uu2WMbaanmOYTcJV8q4nLRc2+uhdrawApNje6p4+9pOx3nh2Otg
sDah5ux6sTxNQbsO80AD/1qv9CCEHt8WYp+YauKrM5lK277id7wB1wRJBd4lLhsAXcYg4nNkMNkB
/HbdZUV7HmvwDtrExdyp26ymtwVnk6ssn48uHyIBM0ODSTM5zsmp9BMQ6UdloTo07Vssgdf0w064
CbwBWl/eD9eRi0lHq9ZakMTrkNw/CEu28KMRwEZTEoVsxEWqpM9lqj4zFj3gfz2WGQy7Xr1eRtXP
tMIvgQhRQHp1Vs/HxbZ3LP7CE4jm1xr2CW0i322wtkTUnfMyHmgszcBpiuLQOeVbPgd0ZKgpCZpl
BdAjPd3WLtxlYAU3y6zUf7MLxYLHn++8ZKfYCyEawb91frm/R7Oat7OVxRdlTWZ2yNx5bQ9z6uf5
kJ26XB99e8AtV0b5Pq+Wd7Wq2+u6TsWdg1txVU7TTd8kJzHRD3dtrNHdto6sr8hqQyapIDHChIEs
9qFNuXBNs57hlYHZeuDoFkYNGCRsp9sNZflCX633qG4fNDuq14PaEfEVabnKCm+svXbaqxWU7Q6Q
hpo0W80YrjKt3LY50sYsv+3t5NAH6XFps0Pdaye7Kk8w7txtN86l387xTpsi02sHhI2BUm4iI9mG
PP38VrQ3xsxcooqsg4hcPtdEnE5Bx1gjaaZ7eHAGKwrokbRZuzQg7jJVZv9kitPzUC0XUZvs09Hc
mow//Dgj+Fgwu+6dhkgGAWdUA2szrE5ZiAvZLrTLGI9s1uesg2jNip9y4bnWbsqkuUyT7MawGboP
xYD4sFDgoFViFTTNVay3A3tq8LQbBp6YZ5HRTfEXEjXHeOBimrhAHQRRjE3f0loQlwIaZKhPST77
uW55JGx2QOXPkOGJU9snUQvQk67yFgAJWlUk0i3ypqs0y9U9owruZd0ptq3Pmsg2QszDykEtNOea
6iXtnOIRCS/1hV2dImLebFSJs9PypH9AiTweaWg056wc8/3viwQaXr8WIkhY6GBpcpQIrvTnEiFZ
mnFqhjy+IGHv68mhgRL0+1f4OR7Et9TpseNZI2j4kRHSf34F2t0FY8wwvMgsBtvWZdzHrKvcNMyr
koajqFVv3GT9+9dkbeGn3+vPryp/7x9Kn75Ku8rQFeUsZrAFrDysmLbd8lT8HBrUHhieIZE4JuxH
nfRukXrDhPU6KwBnCS1mu6lZPpeKfYo7Q3htLk3io/riRIbt5yK5txzU0zA3jnZmPFkBiG01062e
q6koYd/bxdqpFOim1eB4djHP+36y9ZeySLoNkjd9Hcfxa8a1uq6FFfncgWe/YzXGG3r3FkghCnAl
vcfspO3zUL9iH+YtAZLKQ+mubZqNxUAOiHKy00WkIGKjQsnGotjOSy+8GiuA34wmPQCMr8gP/SJm
9ajWGRia7nzkoofPN2qke+N9Yyg7tGl305I8cmQ7mF2JUCylWIsDHcdJF3PO7819uiRHPC1+MQea
r2cCNEuQcpcVj4MArxknOejSaVs0I8CdhSuYI1kXgk3DV1ImubOqlsTxmyw4VzAIQ0JAaskolCWw
W8KSFHCVctd3KakPHQ7TwpFcqWJ2KfryixXW50bk1zUZzqabulWrHgZzUFaDqQPeBj9Zqep9MUe7
KYDtzZThgriO4SeVuW/wQJPgJhwtYYymsQ0r42QTVv+by+3vrnFZiP9wtY0sFA7kQpRzciquwgtl
gwT7YdzC1tsh6ubR472ya4DE61w8j3+zHf0BBvtPa/j7pU7zlb414B5X/nA/vDghTqdIHUM5V765
Kk6aV216djyOyqO9EWtxf6l4p8dhncBP+sI/sov5JFaHeBNcEGr7u2Xonx98334YHbqw6eis6fD8
+/mHmcWY02BPootIXFUsn8fisRl2v/9z/3zP+vNr/DK6o5XWK1GURTxc30PsyfP177//X/4ONtoU
NkEByuu/vJv5ZC1I6moe3spV7fJ5MKk5v92h/m3/yuX9/97+lbmXUx+3/3P5Quj6r0bIPwRfwWjD
qGaHzGUv8Jvq63v6RfptCJvqDEhxc2mCh8r3I7xMqPM1f5zguXq+j5A53WMb4+TNeOdbZuYf9IF/
vgpJ2MiwO/8w2BlWqep/uQobTTdb4rrhZcgqZ6sdY+PvuF/GB1npp4+266AfY0xNFWmzYPxLtDZX
S+FWGTCXMLX3xEbczaRpSbOx8+k86ZNFGSlz3AsJhzV4VvpRKg+1W62rYszI5MXOdmO7cHKJZZ77
RnEIiX2kxC1LEdPa+EiPCw6wC+szYl1Wo4AHG+X5ulHw3kwyc96UoYZs1FK3TWTUaxDbyVa3KKGK
wbpKZGadml34vcyxx0pI0y0kB6dsi4+oO8/R6GvOOHqjq6znJp7TskvlZrOhIcTK+F9rlViduo6M
XOi3XVGl8G/rqb7uJn6KuGZfHiQx3L7os16px2iK4CEhN1ilbrrXh3o72NZp7C11ZXfKRR8ND2aq
39Vue9ukyykshgfLzIuVYyE4hBN9qhtjHRr1KYo48Ydhumd3JmZSbx1HyJmO4FmFGZLVK049IohX
C2zexoRonSSzR6yRRGpZX0IyTnZ0PE/9BNbBohCIKt0GU0Y72MnU9ygrOWy4xOhLqp7OZSUrNHRA
4tNkbgs9WI71XB2HQNlOebrrlDjcEpBufBrzHnCqdT3G55xQyzrQZVWKymdZmn3QxDeRWWfbpDDR
8oAWbBbpCm/VfdFOzbqJwBE33TEiQIvxR1iv85C2WIjg+LHpsZkqLtVJjdfYyzlcOoWf0+SdqvrM
6ZrYZYLWJyXvw1gGAUiYmLemMZPDnox+1xbEEYvA1ZBhG0Rx5u5cW4PCAnWzH9Jp3paZeDes/o0V
aGfbZFZ+1F0SiXgezPi6Khxsc5MR00Gi6Q2ERTm4RLW2rSNeUyXaL5ZywUH9ntjrNosYUhJcXQep
4/U6jI/cuR4KtpASzU+aYM2xzcutMd2NmbZ1xk7z6a8DOy3sXSuGR1VucVVwRbF6PhPTOCPmQPPT
TAczE1cL33RQi3PO7tZioGWplC9aq76ji9mXxnLSA+RL9sMUPJfOcmCI4GxMRE+Nbd7XrJNGA/Fb
omB952C5yFOo7vNVGCQqZoaUqHjqPrFN9iSj91Rh6sk1ClwexmWN6hS2sBctvc7SU71BV34HEvfe
AHo3henkm1F4ZQyylRwTvc2H+NiV6Z4mIvvsg/pQKdGd4+T3SiXN9uPGlulrezrUrnKYkMLS2bAO
hNK2mUXIlAajD0+WzZTe6G6MMTnw+0mm3rPek32f9YwueNlEG02vGAAYU7qDi6o9IeuzP7dOSch2
mucAMTpQ0AnBIN6UTF0bDc0rJe4iv/4G7sYVHHUzW3kaoNWRj8VpqHDg9Yb0P2UfBHA8OPITxo4P
UwkJCXckLnyR4HACpQ8KXaD1AFM8iCoWViVmvDPclosZausgIeSgm0Mv1MybTgj22Wvq0HAAWk6d
cRzK+TaXOHNMs2SWJeI8hXVugTznnffrXiEJLnHojp5Z50Ai0qeFsx3rAi9GyLK/Vc+A1CGqj4Z5
JyRivU1mZlFQ1xOJX58lh70rX/oJGjN8difhXMdCwK2cc+kQ3AH5ksJJgFp3X+1mvKTjmmxClg9W
bEU+aUm/iaDBl7PC8VXi4VVScsFIN69rC2eV2POphSY/z7GXQJdPau0tt7ppW8GdT4rhadCDrWmA
+1zi/pmI/6aCVF+nIwNx+1GFYG/2xaOpgrQH9XQ7ZfOpgHXf1arsHiWPIS6dGBr+ME3nATo+DSKG
PJl108HNN1vrifP7RZkYngNXfyQErY7lIbaXYTMYHJonGPy8G+sCJj+mqHblQuln4kYyWYL7Owj+
oBzJQEqofwJoHsAAf0EJ/A8L+45N3UOnW52HMfGJJ8ER3ReYCna4Y6kNKJMQwxQiAV00O5NjEbcb
X+mnsy6VA3lknxwcBBxHDmpnPrnV4Ac4CiqyyrRcdtgIUT0iMSBk8EVxFN8c412fMXSp++CLwHvA
39qPpQgBauTBwIzQSkVCYrT0LZVdY1rPAQ6FAUeP0Q23AWc7KtqFJAFp8TyOrgT+hUCKGBDaPwuD
cLeGo8HF1VDjbIBJthDAL3eD1Dk4UuwAddtPMD30GB8svNpCKiA0KYMocqHiSzDGKyFVEY6URqRO
87kQEe0M4VwKKZYYi7o+tlI20UnthGlZr7EUUdRSSTFWFtcLOa71LMhE6VJdQajD9rUPn8VI3x2E
YvD1h/rsL6YIfyqG3W+UaqoQdKuo138u6NXUVPMchdFFwqk3fUjdF8Pc/v+9xC9n9Zmr2Ep7XkLU
AEDsy766nJKr37/GzzN7zgwfvwbTG2pD3TJ/lZ5oWo+Mzo3DS2Ix3BwvIexP0x1Y/9+/zJ8OgrwM
cyXNgKGgyXDjz3+tsExm3U4HKFhYOWsOtq3G57C+742rcVBZOW8Y6n/jf/57lFB/e5Q4f3l7/ysR
j/yq70mSDxEPV65ByBMLJpnRP/LzhExM3ioD1puOzFUaMr+fIOxPROfBVhCUh/pGmf+fEwRJEtJX
DoEBwiYfvJ9/coL4pb6XZwjUx2zp4coBn+HIH+LHozuw9rnVOtahAjdnMpaTOW3llHtuLvQue6xS
ZVXBuPCXeD7YmAkpqkO6gP2OE8m7oQy1N7omTZaxxXGXHacSKMTiJucCJbGPtOJatn5WXemgxMuz
B+ECWwhiylIjrl7VviKC4MAM60MqouHJyvKvapKuTY1WWBxGz5ab+QpziAe6gmIHOuAY5mPg2YE5
+PzY5abvOSTHCqo8VXtCSFb4dWwwY9GN1h+BR2ymLvg6jO07y7TkWZHWrp0SoR4Dm9syja6nsADC
Oz4oM7oq1woHrzQZDqWKeTAtxfR7K+Iv4EZAhOzyxTGTVyQhxBWEtWpGfsWeZcB1W6lXSsaNNwvP
ZbUcE0g724SaneGbRs4huRKFPq3iOJO+DALlGY3KLfuuw2pox9egTVBfIGvExOBkmyUySaeJ5G4Y
IAj0Cwxr0dX8Spl9GnP3ts2BeOfqdVuMDdFR1o4UdzlGmXuIuulYlZHwbG7D8omyD1Uw+WHJ6hzF
Trkqe1NhO6t1fDcSy32blsXOLc1+3ePl8dD66Ae2oROW7ac3XGk4QYZI9URB+KPNE2erj46yrkL9
ZNXqvjawgM59EFzPigwU1Z27mUMac26Wu5IFbnlFX0TXpaVsywbwWmzTD6+feXYs2zbUc1A/EXOu
0I4ZKRgbm4wba8zDDJw92HRhvaxtu7BXtNhfWfIHrGczAkLHnK+zQjr08uA5s8e9FTbVOU4RR/JN
Zx+PNNabAsfoMqzjQO3WQ2G1B02rb5ghRb6tDZOfTKQ1eLSbF6I19F2DX8cL++UVGY6+qtqeTr9i
ZKskLVyvRxC6ixMNrN3snO3ccH1nst6baijXLCReFGMnN0i4lBkPTRSGcbapQkbcqmLdFpH+PNic
KGPGMXhT7WzXtROSwXC8xYja7tn/erUNHaNmzpkjDQvHF/3AZezaV4Eo8DIambFTcqqPRHthcLK1
FWAW2tSelVyBjcKRemWMhb9E9cvsGjNvvl3bRItc61rMSwdcYmE8T6/fZPg1NcTK9fE9m6PHKeQz
r6UOMhIA/avZnjaz3ulX9pg/jQXWxMCJYS23HcW1OT9MjO4Ysozg0GPY6KOb+kDfZy9NS1Jn/bgd
MyKcMTEdTonNSo1CiyWVoYYYwwrZbBZ3HBUvG6viyOriASyLr3FX32p6tC805zg4GCW65MjKy1Zj
BhcpqGcS1vDKOQlXRsZkOW+MG1FSVKt8X7ldd3R0BsjMlfalTY+AMf7T6Ia7djSOQhFfrc7etCm8
ztI22EXN50OpzF802S+uqedW9UTePZ4H60AtuHGmcEKLm9hd91iE9VBupqgyFi9SmvKWPc/2ganY
yJBTo0S3RDs0O53cznOYluahaznZXmV0YtD+1YrxHISWxgKLGafbnJU/n5WdR5UhJz5QjUsjkF5E
mUczSk5fo8yojVx3a1Pm1rgKn3pOvMA08RkG1i6SGTf8TGKHl5FikgCcsyyXU0GWasHK5ZFauspA
cN/3MjeXs6VLD51GSE+oLmzs68YSRJtGcwOGqNplc5p5NlE8xsWMJoeHWmb0+BRvHUJ7i4sooybG
5xrxsU8BlFeV+KJKq1lZjHjk8xuVToXXdUG7qzMF0M9HQFBoGEpTimuZHizCUU33RcnMif2fL3Y5
gIzTcLECJj7FafKiOSN3g+llsrVNQStitTh4kgyDz2EGSA6C+p2YTgURBNoTjsmwedkyuNkqg3PJ
SS7eDHPy1dKjw4LvNCjAidhZvGb3GkGGg1YhG2p9Zefjbb6w8hAF3P2aPA83BcsHTGJgMCZaDPsA
PsJs5Ft9EKqXj9jbNKu+iRPT9dkIOAXE1spWxF49kkp2HQXHsHZhoGTyzVDZ4AZoPdcuHjjMXZV5
faFYUF1KYT0CinlNRivajqg+R/bHV4x3jkG1PJo16PcqvsRkmntaZx2qIIhWSF43MYaVqnWeCQbF
Wx2RI5LaEmVUDh9Oj9HJMbArZsjzTLltF6WyqhnvFlvZm3HhZqvTDkhyhfmkTRugmKdNYzUHo3Mw
acUcBuPG3rusiKxw8oCzwPujxLdZkH+pe0RLNf9fN5+GUnlIdd5q4dQsVJQdtxv4T2r4nrjuzhxL
pEL826ByvnZD8la16jHXom/l+L/1pEEj/7etabCRHsttf04ny6/8XlPSejbZFzFhMmBx/KgO/+hK
a590lOb0pf8ILv+npmThSR5DSGcSK5Nd8u9daesTYxKTFJhcoFTFPwuWoVmhZvxPz1jWlALqJEdD
yl5b/ig/15Quc3jIhk51CXCk3Kiz1SDvyzQ/m4rHuNGdNQ1klXNJg/kstektmd2+NlXSvyJflQBK
DiMbnas8InLciX4XlliU+Xv4elPq3IMwlPTcPhM7eRmDhkETu5QM19k1z7qhWNu0/+B/z+4Vq8T3
ZuNgXB11VsnpxkK/vg/DjhFr/Bgk+l2ex8WlrQaKV06sKPcxGERBf/KQZ1jBjBARketeO2k3kfDS
3lWlIaWjKeNdUbs7y7KPSTXNGzEVa6WdbthyvpzKKtvTHb4YML3S5t2aooUpZk6n3G5uoVIxzZnL
c2vapHA6fZsKN4K91L7OMb2eMgyHtQ2cydPjYBvG9a3hzptoMoiHGoTSmibeD5n9rKqRjbd4hEJd
U/EsoFwnxpr9lO+iMlb9CTULNzC4+OZyE4TqvDMVlT9NHw/HLEbdnZvhhVvFB9cBg4QUe710yluS
ZO4qrmmHhGW8HZeR+16AE08ZkN+oEbeWHnpjn7G9FZJR1tnWzmzZR+r0m4THSdm+aU751ebbsT9B
wVuDJYvU9kvUF4bXBuAKDLvzk5K7NU0/dcURllWP/2XvTLrbRtYk+otQB0jMW4LzIFKSNW5wZFnG
jMQ8/fq+cHW5ZD0/u+v0tta2BJEEkZnxRdyguGRMDQwcY711pHvDLEFeykw7lUM8rNRSKyj6k/VS
cA9vJiE+GZPdeUnHPkwx78hSuPuyg2Nh49SwSp8tHcQ1x0/WuA8PtWwuvS+XTapuGFGvJXkpnqDR
A7gDgyo7wvE+0/Wlm5brKSJWWo6PQmZrI++ejX4sdpne3cAcmBba1L9x5WE16OlbZ5faOZeUxJfa
SOUm3jY/CU9uq/jHTq8+axWGHxBaYseCbT2HSmavShuX0GrM63KlTmszMSHxx11xFXSKvS8CWV8P
tRT0SI0zmE4vSmXBXOaLUzg982YdBpu9rophO4e3RhMHj+5XT67R43oe861BOGdFTdOiaJNt1bPr
aU3eYifwN0oWTnd6wVpiCEgQemHfOqV1aLTxLQ3LZInEcpP6uO0stswY5K5E2C81NwZ6bqFqQ4v7
Ek+Fu2uk/WWYN+G6M9UkFtnFSa2+ps2Qt7g6+YnqLBEgiz2OQUI1IDzKhFmHhG3hB0670IaRnxg6
uaAAY6TPx/+aFv6FVr4WgkOjnuEKSc9qDYHMlh5KkaurSbVKiqUpkqRH0vbzfR8Lwne+eIqLqV1Y
VtMcQ0OhU7WvzDdV9ZNPUjXY43QOgqeWhoha3x7K/65OAtnrv69OJ/mzwO38M3+tSxieHaLvLAjC
cOeS4L+1DmQQi7C/auBattQ59f9d63D+sGfqMYoVSoQOFeDvdQkgMi3FDF8tnUjNP1yXdHcWCn9c
l1A7LNzWhGds6AQfhMR6YqzRmq11Fej5dCzJ6cBsl05YGvAjg26aFpPfsmFVCJOmDC99W55GNWNX
Dl8Yx05jqunJaSMV9AdZBiavM99WMejJa8lNrAIcpTkNs72Zkj0B/BE89C1ntOWkBgYSRYKFuNjV
0FoK0u2mNVzDH2DfGip0dgNEUXh+5w9CbTGIcShtcttBXu4acJPYujhTwRkMlHrtt3QS5+JU5RZO
4gzD6aje5ON85mLAtZB+gQqQHfLSP2r9cD9is8G+zJiuKDKGTbs0C/zFGDDnYYYYeTw3OVYPNkch
B3Wm9SesasME+8a9aCpJkZRGYKWtKU8bOI7hWqCyLXP2VT5+EXOeImq7x2bgAaUF6SGLVIRzOV5q
mY/r3upwqQEV9gAeNJ5uT8MyacCQY4qaVqNZ0amqihU21XGJ2RI1yem+KMZw4FjBtpVZD+lf7csw
FJLHGbWEarmlGy71Mi0FxijAH1fVPV5u6Gplf2QS0npdREgCWsgtA+Q1z1yw8wlIQgVty6/8YmeE
lGYNhryKhbwpyx5uYXGgqtYLBzJFHcdpOsxXjH0+G2NBHpputkZXF12akBk0FK8rgr3hMxouHLbZ
/oQm3wwwm1OZrB2Y0wBmmlMG+HWdpLOFEksxY94Hqt9jLwF6utFHSkYVK7gMNm5Cw6VjrWz2HZwm
jl3VQ0Bf9GKiBWQctdsmGFYW8W2swBDX8viGefIxMvVlQmEnT78p4hjJ+KAwFJ85hR966uBeCLLY
DLn0N5lq9VYryDiaubwytbzZhAyBcz25I+V+n8UltaHlWQmLwuNIwXAodZmQpzHCUnbf2w6lsxxO
VP1JLUAG2SSduj69HRKTif6slfshASIHB+ZI7Qc3uggP2EM1jMiTug37/iGnA5yJRPMw+P29ZtSf
jJrxa1BNG6AU57g2gdQ4C8NsOAkyGELU6r3WToplmcDQdDho6U1768fsWSQJa5zzAQMfI9iWTXnT
WtNT4gTPpVnDEY1GunXAzNJga2ieobZ3XYROpyV43qUVMn+Ue9V2X/KJLaEalNQ8Se0W1+AaHuyn
olY3is5KBtIG6o1+i7juLJ2QPak+KFegtU6RXSgeuL71EKUPkWHnm1wbX7JgGrbJGGzbDowEdV9Q
OZQkXxI0k+umyZ9iwNm8P/jw02FyDq46or9p6iZQp+oYWRC6ew7BvkiNFZ4Sa2Ep/Tqtx7OmGW9V
GnLsrkAA2fadhBa0rzI9XVna8JZE7k1sRDZgHYYxWjqgL03j177LYlCiuIwhehoeu36HbooGG7WN
tdBP21vcgtw6JEMWgMYQBYto9MpRmp4BfDUJhhcrbCgBsPJ8NVjuqTXLE0CyNzbBOqt3SoXErKmY
iCu4lL5WiC1sF7fjJJ/ybyoMcow96zIFAo06KzUOUfmlaK0bYxDGLmgIW8BOwx0u4hPD+P2I5DMi
/ZBUuWa6fsjSeBciDflh+ZXm8XqJ0nkcEY9wmHwqZjVJHwnOMbiyCCPw3Ktm1alDfrJnHSpGkMpn
ZcqeNaq09hfmrFr1s34Vdf29OytarVT4Ts8qVx4lT8Osew0IYMmshGUOeGZ3EIiTyGSif+tn1cye
9bN8NA6hlT0NI++o5ra3KcN/TPDyvsIf6em1ci8M8y0MkJfGhMM2EK+dWstXmPrPU6V+7TRuhiK3
PhUVHxi+PX1ppg0kxCCHj5zZlw79O9B9DR2lV8ijdFemktzwUvHeh+cpM4y1acwWxk4RiwlN2CbU
tAwddddKaLrE+oad0WPBKfzH0Mb3XKXRWwYuioLmnsNSP+XbOunumJdOHp2Y9HXiv3Xrf3dJfyIV
51jvL3ZJL1X0M+wpP/TXNklwRp9z/nieSYd9iwl/P77rf7BvQmKnZkETeMTeb5PYJLnsj0jg47jQ
342E2HZphsuWC5uWQV+w9o/CxTOR9cdtEigBlxJG7lP+Cn7hj8d3nhcc7RV1OjPUvS9hF3opzuW5
exU78ZStOTpsmNHvzJG1cHDvWeyDhdpSxpC51qfYMU66bHZZHK/KzvHrpW1nubuKCFvcpdLVVrCs
rwMlr3YNYqa7zOkZ/wxtGakz1/QuPNCZmQECylV/YXG83FJcH62yNm6v1bzgCdRat30yW3e78cwk
XFtQ9LgsQhaIcpCfxlG5l2Z+pzPWWKgCXVWtmBEo4zmMnL1m64Rp69eKVdtMCFQGsXpTxOKCtHcv
ujpfhg3qmN/MIQD0idbPv47VBM+R/lHG88FS8PxlPjWcOdy9lCmCv9np7RK88Rf6zicECxIt7uCs
ArXhEShDtgFsFX3qLIxx1w9S8ahEPWitfdYTtjhaeJjIc0Katb0uC+eHYneouuIhVN0nxbBBb6f6
dSLrVWNm90nELrWKp7umola91YorzSftXcivQtVwHkc3bjtPlfTsWATZTsvG+6RuD4rsvqoVYyVV
GamFpcYKMwdQZEVJGuiUybasaZLQQ8uD08zhiz2oZ+LqPYuxGL2JsJrXNYytQwlH0KWfVsYqOiOb
3xXFuBNNHIXmWar9Go7BPte1cQNDRiX7TJDKEaiO+rZtK/huFZMSduGnsKzKYkHErs02xGTZdppp
ttObyqtr80TImUVXkpkOgc8bqv85wcWQpIOyMFqGN/nwEljYOPidnkxdsjm4zfqwsyDoKi9qRaEF
FazsRxOyJrX7RnjdOXEuwPij1i0ww9A6pr2+LeJ8lmRIeokmkwdNBITNbDdeTlW7xWY1ebXFopx2
2DKYuG2IbjRUhZfWVUsu0VaMHdXI9+Q1t2or7vsOPSQIa3XZ1ELD2iziY5HjCQronViFJmFwv4uV
RT5gdtHZr21GTVOvikEX1xAPmTEl3cbl6Dr2wT5LWLaGUrzgcjbxeIzR2dZF75FhX49Otm4b+H8U
sqSe2eefx5rC3S56lIEC0KVhAQn5PON0TM+GYS2iIftnhglTVcEZmCbWZPgisynjx2dEoQ9dkiqu
dk6zu8T4YpqcCHbvnpuXP89l78OjP6qICJLEnZmY64bKM1Ily/TjJUaIRjWYLuOc1J/b5DIWn3L3
z66yf0/ysxX4F2vUW/5Fvv6UnzX/4Lt1yhEaSChO5h9lZoN1itwyVhZS6aSRv69TxlzigRDnutyX
SADvZWZO+pjyVRUfsTD/yRqFyvXDGjXfHCZKA4IBzBvXhpL1481hp03gZCJQzhoR+bah4lk1pje/
J4mamDTUtLq6JnW4rsYA4p4aFdWNW2XKtbA7Rec7LnP7JmD8CflUG/VlW2vVA9NOe3w1FadZWCGm
LiFGYxOXODlrFNZNUKMk1azDGzTvuUKodzaYn4ZVVyjuGqXvEeew+hqUaeaVYijWMrRT9mwNGL2A
R1Mj+b867PAFmKrquZj1TxHQhzGFnbnvc3sfx5W+6PVqZ4YshnWrbFrRfs4GwUa1rEjYuLlYpPNT
TBlPY0D3aQaDLnSN7srJsV9mFS5Rl27BTTUCBgXPqbNVJ68iSZHqo5usnEDQy+ZXxWpCPuTYWl/i
OocYOjY0dDvmeKtpHGzqCCJUchWVQbhkq3AdTw26htBQQ2LWoz46Q/Z8raN+bTms/UaTNgunM6EK
OwM5O7uP9jmExIWpRwMEBxzWtVniyuM43y+cQZW8ZyR6+ViUs1FGSPOBS/xa6l4TgccwapP5lByu
Jye2N9Byk+uhU8+yCMOtm+DExPzIDyXTFK3xT+W+9PQ8pdoJB+a28kMmCsJmyzEMhrNk5K5URD3h
+iyg//i30CGKTRfHhbrixs53edV1m6yW0d63FOcEKIvEXOP6p8Tih/OThpfvGrTXUxpiOgxz6yWo
SOH1NeNVtmVPCeCyld8UX1U3y7xGCY5IqRk0pPGcMq6H6Zp9DScTg3DQnDHgUjEBlM4zKicBoIsU
oXTWrupKey9MVtEuhrAWz/V5WbYxMMJv3Ip58WC2nJLHmRIftTCRzEUjWszhVdcL49SZhbLH9wWC
WE/1i2nWzGEr5twqrllTh8ycEFKK0+YIRgjTCjfauZO9ta5KszxYBigSRUpcGoSyCHC2Gz1Mn+dl
r2EY4lGNUe/7Aa2bRiyN04fvXCVQN5TM/SKU+mjF2bVs2ztf0U91YZPfE0pxNdKLuxMWiQAE4K1i
sn3IWOo/qbHvrxznrcENHKUEHQ37OIYSxkYcbsqBknpm0bxmcMn50cyy56lTDqYWHbOQSWbUmv4p
dzi2ZVbBLCIMbiHYBLsyTHeI6duk5EOCFb0v+oiwX2z7CxwOL0Hb8w20ojPic8eG0WWo0XQZ0MrS
06x0R3fNyqmql4zuk54UsCedr5bNaarJ1hVQ/iIpPbVjlQ0E+0WW3rCId3ZnHNx+8GDxfFMH4WUP
6Z2Tqmeg33fA+RxuUldaeKvg5vrO9LUotRtzanczGVon44DNVocpiS1aSby4615CS99YVbeiSqag
0MK51El+40jxxUXmWGSp/ta4442hDHQilwXDimmtJJCj+YwJakaeQbqVRKrXTSo4Pj97ncbxUz/f
j1oS76o2vExyOGcOA/Z4nhnJrZ1JjwcpoziTNtB8uGIA4gmyy7nfLhWEEnBfm4mRgk04MCvirVUP
a8WcM78ierXA86XQuZXW9ZLQBnEnz3mhOqtclRsaM0lYtsFFNCm8lWA7IKhkUjlibKLUI2LwLDgk
D4gP2VcMjZ6PcMQxx/ObFOHjTfrtzQAQIXbULVGCRdTnj2ZJtHfSl5rBNdguGr44Y6a6rRtrbXQm
U/kBlcGde1AEM50UgbdXNxkgTkio3IE+MxVbXeOV/TqSr+IJt8b55dWhs7ScAdtSHe7Yv26HqXpU
tWY/mc6tZRWPTljfBN143WbQPIu3UlWhFwxEPvRoHVlUP/vjMgmMVaiOXqCH13oVnmSn3wgfR5uC
XlwR5ujtRaGqW8Xttk6trNUwvY1NeWxM7a7iL7V9TuGWWaAnd4dabdd8Fa9q11lrer3XfcIfQ7nC
Hz7QycQcpUQuMwzx2rfykV+F1Q3G2FgbKHnEKKhV670x71/qvGYTrhzSRu4mxUZAs8NFVyXrUGGR
wPFeetjb2Exb9kY03UPW5s9NiUBMKRAuxVUBE9WTTbXNHZSMIcP7b7pktbvHvlIfZBXfSEXDuTGs
I7/lvUMHz5ut3ZjcnTZUte6awopDQb4aLuRtGtlbZ/DPvj7tciPbd752YmLpLPI2WmfpeCn82QTR
L4reQQtyj7o2PBUIxmPFmUS4zp1fWfAT63NemzftEKgLR6tvW3agXYEIVDETys30mJo09hG8BGEf
nKr5QTXJxzFpDqIyNwUwn5bTWUybVt3Ph/Mca0Z+VxXjXhPyoAgjPCs+546AHfZtDRrWm0SzrzC3
TeiTXZOw8MRfEGXu4ibDPUFIfOHazRPzj4UA7BYzsk4i7YuVsd9vysekCnfYrs88b6OVWiUcoOuD
OUV8L1M78SZVewrNuli7evIpq5qUo2yySXTtEidw3hOXsxLdX2vEvK2fWF4vlGwV4UTv4KfYQR94
2iiWSUomPcwvQ2BtYn/YDwj0hQJvo45fGpT2mX7HN6DG19bZK6rGSDgouYedDOsHmM2URWJw822n
OF+6jh6nCI2ys9cRQS3OMTx/apw9wTCthyw/jE1wqBrzE35J1pqm8Jhrwv9NIKb3yj4XVAGoeFWY
H1aaZCLenCalf6qr4rV1ZnxAzeA1JRJgcIjLVJa/d1va/9PxAYu1JqiM020SqeaHGGjTVxWxqlw5
qxnmPcTj5EbBBPPri7DPfSeV/LkNJfTKMU032Np+47S9C77iO4VNb2jKeXA+Vxjg2qdBfg10Qk2/
S+L9bMP7/krzX/LuStKXozb5XEk4V6ExLgqbVrVpJ637uH2OpOX9+oX95+GLd49vE9QewrIIUj9e
jil+6/ipDC6d8ty0hzJ4zdPXX1/iZ6+I3TKbZS6jw5T88RI+0qPqgtW6dAZ92pt2HFdpiKgQbCL0
FtFc/fpyP3lFhuZyaOHEyoHyY4pg9oCKUW2iC5zORaSXjNKIDf7mNTHh/Hg//HCR+d/ffUq1rzSm
5XORuKqY/h+BwS7/fy/jgzhHdVzTVRTPXvC8UoLAQOkTtorfXASZ8Zcv48NHUyRjUnRZHV0GRV8w
23GjCw1GPOCeTFwa9Vm09W+u+LNPB+81Q1nTYuDyMfCcRCCF81iLLnZ5TdTEw0Nj/8McyXxmJEyt
WgbTZCFIzv744fimrlhOV8UX/AwAEgmuSq9P7379+fzsrdNJbnMpTbeF++Eisg9tO4oIj1TFU25R
E8PZg4eB69/G7cHADNv717++4nxP/T3V/vYM4hH39xU/fFhwJODOaCMec+QxcKE6G6hfX+FD4TpT
e2BjtkHCGGgZ3rKPiI5aMjINBy27xEdU2x2L5wkI+8q8Dm9ML19F69+Xef/shnj/qj4870gPZEND
ncalswBNALMT1EAJuf31K/v5e2fwlrBymtY3J9u776s1QfhsoGlc/JKODOzETvOb925+9z9+OmQ/
uNvI/9hIdD/edAVIXBIW4PvwxSxGR7DbfI6MAN05/s1r+dk79v5K+o9X4kQsK6yB8UVj/ORcm/5t
Of3m8fbzS9DkpLmA61T7w60WaUnnGFOQXPL8bEJ4GAgVM9b7zaL6s68QN9v3q3z46JOqI89JLvoS
Ja+pMvcrrypmXkz2k+aiJJvU/M1n9B8vS+A6wfn4LZTPwOPDVkG4GAAyW6aXptuUFcUGFBjd/MMb
7cMlkNneLwx5F/CGhmV6YfpGmzGFabH5m7ftP+7lb5eY80Kw/Ujtf3gV8TCQdeakdanTV2XaWQAy
f/0a/uNW5gKOgbuHLQ20HnNe0N99WXh02r2WT9mFfV7WEvqJdxHmv9x9+3adf1VZgzv9v6uytyiB
bxXy67fa+L8r4uef+i7JalTE8yUnCTlXp6Ci/p0m0yiCR5Gl7J2MJ9rsd0lWd/EE85WFN4FX+JuN
6rvzF0mWrZc6Vyuj9Fr/DBEunPke+/tph/OXjmSWVvxfSMCco+dv2rtbpBO5IPzgjmdW+XqtKmm+
qg0V51CiO355cFRyN7iZTEWhwyMvTn3f3qoZkC0nIScwn92iUDWPQz6UCxoL8kVLN6oBgYMRpE6D
oda4V5ZE5Rsonr0WRkWuyWiUQzYGIHhj+ehOWuyhTrzmJX3ptDdeZxGDIr8HhqAU9FfpAclLJ+28
XHbqIig4fEWyx9zpYHJq8Wp6eSauE11Jd11Ga3Hmm5zXQnOr2AQzTJ3Ejpa0xKZdKze9qEhuoDS/
9Ul5K+kELrIer7NqKbt4UIZ9gABBu4BbnNXWeiYDeOOW/BZfS06MefulIdplPQCF83v3hHeOggaR
LrCiXavJdJ+1xZ0bl4corJ/BqG/iIuOPnXrBcT4+wpAiKNKbp6lwvkxumgCzRaRymB6ONkg7YOWl
p6BfLUJrWLvCf01CvV6Yjlz7DBNtpTzloniMI2zTNgYSLwozPBLm+HmKxJWGrWrVO8VNROmxp8Z6
iRSloztvlDbn9BFyPXLJQJ0qMB8a4IdCbmABrAkRb4TaHFrNXWvV9DY5TrQy7e6QDyZHVYCTWNrQ
HfK2LjwD1LNXOX1BQQKBZ5TMh6JNT2CXg2UJKLIbhAnj7c23rZUQxVy5HcydNV9bO8CMlICgaIwJ
i7naYMxLxcWvRovqFnIyRVxch9X04pTM0TRUWQ8gBh1zs7acWxLeZHMfx/K6VTMwdhY+r9n0BBSB
OSQ9XHq+aTWLLo3gASCIu2iy+hBwLl92Sob+bnG7OjX+3SgJAAuPeJ3sNI8w49X47wK/WUWlew/S
8wJYtPTK2jr4vVPRx1YPy8aMXjCFkbDu5Is96Mw8B0I0teJPW7+RxhLqdULKzuAwROpxoWpTsRyM
wMAvHtzavs09hYMaNFt2anw5eMDDaFUbJmZ/JdqObhjY5/prSwsx5Og+A8fMWZG0P2aW2IJMgosY
uISH6nqZKsIkP0X94CwVWwXyoYlcuIjT4SwHZVch/FBikbwyfn+IM/1zMfaXeB7CakH2xkPqqhIB
nTu9c9X1prqKHRRDv8ajBpH6ArP0Cw6lYkGN71ZPx8997F4NIr+Fmxl7mTk9pWXDmJhKsTXptJjY
XNWCArSealleiwAlP46Tt3gi3T4KHxmyZ3qdKhZzGFQMNyDDGQY9X+ooXSlF8gA87YHaE3xpnfFS
qfFzzoCZj182iwJb5CKS+qmVzn1cKQct6PbIgPCpBnNlhcXel2bstRIDIWEDqK7KU1OOGzuWR1ll
6aK3UaXCwH5skIII6unutitsd1lnbrbtSTksyto1ziKRgABKtJ0v/y6LOJPMb1aW/74s3kTdW1VH
X9hEfFwZZw/MXyujZvxhEDcBza9yRLHfLYwzhhlYPsR8l8vhn/t7YWSKCcCfdQ9eP1Hr96xl/Q92
OrD/Idj+7xjzH8Ss3Xnde78uzousmGFkrmXhrvgoPoQiRwdtdSy7siwL+6ikaK/cwKyNgItcI07O
biv0ZBlavsYi2LfUiGL/tAE2go9npJCeW0keoM/4Uppmzm2cKPRaiDo/0Jid3Y460bx2MIpjHjXy
lRK0fi+yPrk1tL46GDJ2c68Z7DdfRMZWGo6/hrY5E/qYbz6HbBBc5lC45XDv40hNN4nQ+uWU5ubn
rrO0r4oeTTeitqIWsZiwbz6CKgKZBSzfKpeDiMXCVHmYUwWfXLKs9T8JtI8byDbUCqmxmdAxlH4r
HJqKkPIhUkAOsTwNeJPggi02Y/rP2frArR37ucCI3UV3XVWa06v4H+k48r/VHfGojleZGZXxnRLP
hUhll1CORG1wWS36ai5NMjvOWPj49J0xdyoRGAFGSo3NrO46TYGJKTfDpdpVrnnoCr16AQpLDiWj
3hxzs1rPuAQ6Sb0xynUdjwYg0DGkCWJJjuFm0urO3goeEUtpx69NnIb7AoTjdDIZFe+c0qHADdKg
th4rM590L+TG7E8ZvKlc2fz7RPj2RBCcXf/7E+EEy5SD68enwfxD358G7h9zbzdbXroxcCnwT98t
dmyhTTzHtkAMmr/a3x8HBjto4Gx/5ePmZ8j/BuT4F1ALPEB0Pn8H1ts/ctgZ82Hv/dMA5gPNHZar
aYLf9Sc0/d0uuZQlocwwDi9ly4hvC0qHZJVpnzURhexoA2Xuz6aLpreqRVtMKmtMZFNMR6SqqdaO
mmnNbW9pgfu1d+ptpUDzeoGAFqurvs9T5cCLpkhHY4pMZ/ikKECdkjyizrc0QpJRWisGDu+TOaWR
l9auD8aYnL0OgmEkTsNkBAzLSEqtJaIWVxHcKJv0M+m62FQWOqZ1c1sGFT7xPKuBc5Z9Wp0DAtpo
qvrY26vAIaS9SByLCH7TKm8mlqR/b/0/3aXzke5Xt37OGfFt/Mndz8/9dfcDFsG3w8KG5DTHcLjF
3939VAcgEViWxco7g0X+yodaf7icHpnoYdp5d+/r5h8YVV0ERqAy8Ev+mXPHnr96P978pIt17n0q
OxFc+FL9eETMitRglOFYV5kO4olie2MpVfvJpnFD2u2DaGhpnq59KpCIJK8ElUhtE9z5c0cSBgfd
K5iuldQnWceYKiW9T+6yuVtJm1uWRuqWyIM17FiDXUERkxrkeDBbiReo8r1wbmvCJ/mszP1NWgNw
Tp87ndii+lA3YsL1lbX1g2pPqWa0iPXwIWM8S77waWKEmxZO5fVR+UL73rUb6i+VpT0O3Sg8xvgn
0tDSG8OEXuUyPrQtvhgzk93DqDrPEXnvQ15o/krrTb4VRXyXtOmzOtrTzsiYw9eQqy1n2k6leO7q
7MrNK2+07FsKt5NJXZVw0hZm3N+1YfTkRMq2V+VDXSnB3hY0bdaGl+XdlRYD407Hq2GMrox2Yqpe
zayV8IssmjPZJEAMVn/lRj0Z2kjsDLlmxVqEI/N/cTsjbrE5NMlTKcJywZ+4qesJzwSpu9RgON2Y
FQ0osWAAa/gLadY1hTtsKvyek6mvHK1M9lvZEMz0o7kSO8YmYR3BDkxrA4aKRyHztpTpl4rx4LIR
Nb0qlbqprCn02BpdRsfdqjFDftXv8k2YY3SI8AKlOdfjEF1TrM78gTbvaeSopKKsO9NSMtgcLN+d
SR5HRrDntHCvssJYWrHJOWyMj30QgiO3l7Y5QbYxsE2kqkmKPiQ+EGCF8KweKFKagDhM7bqmrbNh
E2MTWx0jF49NBgWhsV+w1+wAmjTrtsalgIl2Nodd97ZVe7bGSKTUX0cRl55Rxje5RiIr5JNTCv3O
BChQZmm1Qkx1jqWi7VJHnop4eMbjfB/W9eeidDBy9qO/nCyLMEbcUktTEXtJ4gYwWCOXHVURbcTC
MDkkDDimX/u1oZN/HbasBHINyCtfTKPVL2go1EUUg7DAvYKhVRbF2YCwl1jqxtRS/BsYQYoO69WY
6uDp8md6NIiB9ic5iW6By2sP7eOoZnInMloCUthkTud8jutg54YBxBrkCcupP/V1dFu0yh2Dx52a
y30L5Vha1i5Rg7Oi5s95nYLqKnlTp/5o6NVh7ohvO8zGuBeu06zbDH50NFoLqkO/LVwJAxOJdzRY
WMJ9YGBeqUb9UKT9oa/Vixoa6bqdKhItzWNvk4ipjYnQTnNGLiA8PNn7yhU3ZlQckqgjCQsOcEyz
dhd3oN3V6oTOgy2lw7I22iRixW0t6wcCFwd/iE9taND5ON7kakrNAF/6JA3XyKcPIE83ZiC3mRU5
O/glG6sjaxvZDXQ4l05cW6cuKdix9b/OlA4Kplp6YQvpzlUf1QHGs6Om6dIV7U0fmhDZMBfTG4D2
MWWPLLJbuyUJMjZLwdHda7GaAQh8nhx30yuUJrmEgKLuKceKXJvq16kOOBhQmDTV/mOkcmpZ2JOS
ZzciIumSOoAo1440efYNur4HkkPDhZUe3KA9GnBKh6al7FZzD2EYno0uPfjBCLJQBqfeB6gTufnn
ju7ehVKlV4rqbkrpXlXQ/j2nH9ZZqWqryNTuI609DlR+6ImC8Ty+neaPEBTA50Ib+DYGKyzKHKyV
h0HtzrqmXalQJdk7A8oZ+xeh4NqPigCbUkm+q+GzqDRznbdBtCmd7LnQ9dPoEq6kVXObyHhDCXu/
rC3tHu/Rvqy7BcjUpVkr111kaZ4wPtlBC8h8+gy38BaKQHDMzbJAy/Bviiw/KXOEwC/TlTGZz1ph
bWwxF3n25jZuKLnoq0FsEwKTQgRvCfkjdkFSRT2bKXoEsjStMNdqpG/sktA+N0XhiQF5wwrUbZ21
j3Uf3ZYEScc2+ORX9TZXCE7Svnqf99GG1/wpGNOHpgy73WBckgRTiNp5IrZGHisDREV57pvgU6QS
pXaoSVZgrjeTs6tq63pKtW0VuLw12lkpqxzm53jNEemWukJnpdLztXSqudtL668L3TrVKev9iqYp
QfK+L6N7M4saHv4ACkSOSzBD8VyHpbXISmyQkdPx7SQBi991Yc18BHqwtsSRNnaQuxd6UhysepAU
JiWiHmGmKwRdNyy6NvvcAV4wrDxes8LghnR0bVmIuamKhnvZbH0gActhpjfIzu32yEic0JTxa17V
uFohKiUjpHt95j9QkYUqlaYPHXhf8qBQImw44mstrG1lkcUW0mAWHHutASQBrucx1uwmBFxaKevW
6c3rus8nPD4TLtc+NQCM0X+nrYp+SpeTphwx0u7pULgIJ1kbQ7yyBZJq6d8EZXVoS6B4tk6ndeq0
q1wrH/0e8QcnzarSajDlybBpDT9Z6U3zuYtbkLHO0/+wdybLcSPZtv0iXHMADgfwhoHoyYhg32gC
IykSfd/j6++CsrJKqcrKa/nGNUpLUVQ0ANz9nLP32tI3T/2AqrOM1oSKbFvfQkjQPJRCTGvHDt9Y
WZ+EWe+RIV+ENX4CmLgCzgO6IUT0E+EpazTzpZytKzvKTsAJTPxXGfQF1EQlUqiOLZpTN0q02r/E
2GjTpLhrmySCYzMfykBdW2O0p6u6ChK4BC4890Ik64gEb0/F5q07ZPctNhyIpMRD5PlDDvAA42ty
haXxIIR2InrU4yi0M8bq0PruTkvCQ2BXV5C/npU0r9JcP9YmO63pkD9TfmC73MRJcDv6nBQmlGmz
T8wuXkuraj+z0L3W8txruOlG8oU6N/0AXQeK2s0PhYjuagMmtBF59DemlZmBMRrFfZNoyIRyJgCE
KcGcCjYEQGz9Pli7i2WkY27Qxvo+64wXho1eGuvj1tJQ+BK6x9GCwNo8rVjdk5fU7MjUswLKfmPj
JpQ0UEGIuYifXNffgSi4ET3JTEmrP0wDiX5x+VwwHkF4SbiF1kff/brovTEeOhLqzDPty7MfmN9G
0aoNg62N9O1d7EYHNxLuNghIpUrmz3Kyzm0JAZP1vb1WBjdLUAwWvmX803QQ9I0/KedS6MUxl7hV
U6qgsBW3qdSu0xZHiRaY26ZBkuxbob6qG+RJ4aRerQHdr8tKg4prBAzpIL6kmTla822pqVeY2/62
jKoXQSNpJVS3TZo+RXLFp3Z8fe8uS0+FRLQv3HAf1LRXyTM8lah0k0CbL5pRX5X6wgpBvrmu6gwf
4thwRKzyteT/4KKs9b66D6Kx3KVzdsCRCrOr7UgSWnZtS76MOg9aTDLeuh5RUlaTPOtJdE6GxJOx
DA92ODfXJeo87CbmM8r24DjU/q3bpK8oruV+edyJUUILkbObM+U1X52wvc9LeYtLPbp2zZxJQnkI
SvFgALmaC0ssnTBsssVagDmuArHrbCgogZV9dU4BM9UE9W06D9BxjxH+0QSzeZ8O46Yx2pdJr+7c
sVqMa/Y51oNzZsfb1JYTo4j4qUrdVzmadyigiivLBHXRYSnaGq18nTP34C6AZzxOOHx7/mGt0reF
HrXrMpf9HlwK8vwfnPBALszwUY8NyogaZPmGICwJWDwxlbYxfgOO/1Tx3fzWJ/gLX8zCEV2wPzac
Hig+TOH/WEAZkRCjYeTRJS4ZvuanZh5pJN7/9Yv8Muv9x4soXeLwQbJpL1XcTy2KxCc7TWua6CKm
g5YTtB1iX3toh4e/fhkq0Z+KwR9MVIXHRxLGCCoI/OQfX8an7UgVIDi4G19D8aiZ/4cI8E/+ffo8
uIcwEfF1/fpdNe6kikJl6SUfuNH2jv/2t98/CQ0G3xBf1OJt+eP7D+zF/m9V2cWh7rBurH8YlD7G
/xd8AgRLMWnkP1/rXzRyv12Gn76fX641kVhQd1hKLxDKtMxL9C0R3cyFxs80Xv/1R/mTlyISUC0j
fov+ufvLpUgd3OjDXCQXEe9RZDKWKbHpS49tGMrgX7/W8rb/1QD7cdn/cFmWdvlPd5fQo6y3VZpe
StKPAclQd7XrhSrcb//6hf7sQ/18/X/5ULkduwgZf3shmAtkD47hln1k2YrL/+NeW970rx+Klp5g
yI4IwzAWWctPH8q0cqNg480vjbn107d+3Fj+x19/nD+7nX96iV9vt7mxOCuRkXrJnbfYf5Xa/8ft
vDh+aYIiGCD9+I8fIa5Sq5WakV9iVkDwAOkUe3/9Cf7kS8L8BR6M7s8CKDb++Aq5lnO+V3pxme23
wT53C0+kvf/r1/izi85NDOZsmQjpS4/r5wvhhhlIKGfOLmjccdssPA/rtq/hHKxx/f7t12JExARB
t6Gn0X/642uFPvgzN7byS7jU1Btim8JpY1dMLHbG3Y+X+q8sZoEB/eeW52v3zl38a7N/+Z1/tjt1
LIcswI7ADbhIX/7Q7lRskUsvlIHSIm/5Z7sTIJEJKRvdF3Qh1C88rr/j8Bw6oRQu9DwNbCSLhfFv
zP7wN3IP/Gth+CGKQYKOMx+nLI7ZX72yaVvjoipGcWkRqPhubu0U+pIrQ+vAAHHiuaVJVOwhpDEb
T3wy4wC4eS3ClxofO0B2tDARceTX9aKPkT+UMoMCw4KZwhnLU03zoOyFXLXOh94nYs3Yb2+S8UlD
aTi4vrOlnyXWJQEfXeOn6LWA5diDfBzyei+jMH+ogoCTdFl+qMG5KlCd1DomEpmZEbVu9ZHiHKS4
lzkYvWE/AiglraAI81uWQnwgUt5oJvoGNbibdhCQdgbNh9ZV4wxKq5vJb9/sLvjwM4CfxgTRK5jK
6uCwEKyqQrtrUyelx0ZBmKnQXaUmRgV/su21j/fX4+yawNiZbkDgITJxze9NpG5JIDk7LWOLMkxe
IsN8aAu3XGux8Vkm1rgBYPRYU75GVXPoFEeXbNb3KDy/C5HkixVwn7jjbS7iU0OCQpYHV/HsPhBv
alNdYvesDfFQ2ow0Zy5CG6I7SX2wnkZrvU3E6XmN3bw4BGEia4CPW9HRHaS4cVKpwxmNbiOXlqKW
DVDbpon0AnyYmO/Lo1D52Zmjq34qgoMZN9BrsKGNlqDzVmd0EhVyB5US0V2mDCwJo600jaFK7how
+Nw2bQChIkXYRHnjXFyjnHa0RxmbKnJk4BGegqb+NCpkTe5sB7dal+BWiSzII31yribjKy0sVAq1
KsQ6jA33nIZ14OX50iVOyCqBL5Bs8zQvjxBtL6iBSk+kzmXQCrC/ykUtNRVfWSLNVUN109XGuSxK
QnvNGa17xLmcrDTEjZa2i0c0/b3efVNl+ETno4N56WKKJQluNjBhNAFfbpovXtJmfrLxcup+8Q6V
CtGNieAr1251p/ySrKUdmW5dNTpenqjaE21tHhRhjKXKjiOePRmYl0lPLtLsRsJ83CUbJ34Wg/9o
kbu7b7Hfwe+1HwnFtnjbBkBXgzhepwNpXMHJ6YS4y6b2KGjZVEl8F0XBRnXp6yDqd8utCwp/vcFU
hcO2Trp1rQb2EZGfEKwJIsa1I9AZuVOCOqtzp2SdB0sIo/7hGHjUmnZ6LoHe0qYptyWutVXRztV6
GvtD4s9E7eXiPKTDe7gorxaIj5crCtwCWZaJOM5FpqWQa8WLbstBwNUKMldqwju0RdsF0augId8R
kYvua1oUYPlkfW+RhA34j+n5xNeVXxt03NCNJYaxixGSOQjKSFN41BGY6VpD94iW7rzgJZGg1YsW
jTe8DuZ+AFGUnJxFr9bN4q5xzW/TomQLZEhk4qJu05JJOxSL4i1H+tYjgZMM+0Ikcc6ijSszib1a
Loo5f9HOEUlr7bG+bmq/6tbxorDLkNrFApkfw1flVXozr7QCRR5zE3DUi0oPzNolLhatz6Lgw9qb
II8bb2NDEKCJzM9Z9H7/3Wd/TNUtDkL/eZ99gFtDp/hPtlp+7Z9brfE/OADEopHG9Y+g5aet1vwf
pC3/0qX+Y6zI6JzdFeW7znnPZHDMmfb3fZYhPdsvWQZM6IlEs//WPmuL5Vz3h30Wc50LIMtgjunw
VpbT808HcHrho6qqJrvJ9VLKU/PDHz0tuD4L9/vinB7HvncY9JQfVY+vuAA7NWr5PSgOVHP2+0R7
f1N2AR7ybFuVBE8SZZauO2mfRQubTotJHi9KOsZ+4fZYTSfCi0rVYaIkcVHzgaQgXSejp7g0U/td
U6RJWu7wXZZasQlhsHW0PjDjR1ejnJGiEpOgwZeuRWGti9Akc7aFbd6CvgQBWn9n3WUv6uqlMb+d
s2Ta4WJ410Z9Gw6tvrLHYG/b7TmfEzKzkhDKVTW8Auh/TNuJ4MxEvzet9iVwgKZCt2GrRph0CbAJ
bDg0t6vOSuqNPgVvtj2Tt2uBg3Hc+pYRw6WQhCGEs3FPJly1CrvoFgbBMRPWp2xBZdeYSkGDwxJN
vJpG3ugYV7Xb8rfdfSbql86MDsW4DHeS4KVo1Isbv5sDTRxpfjSu+1EbzaWeo2erGD8SSSyXYYp5
DXXoRuPNEnY47LMQxHzcarSBtC7YTkl030TmGT3ReTYrf2nNcOA2Uig+TA4OsY48wdJpDw+C4whe
8yt0n0xgNag6ARiyOFTBLtY6ta2CFPpMJzZOMz6qRjsSKsruardkiQLgw8R/KSfpeiyq9OLL3IBM
NuwcprvrOupCBjaps0vssKadjxRU9T6FXmcgNk75qT0ZNO6HJ9+xmd50N0p0FwE13dM0t9rVMkep
ZDj0b5ODYQUsZu0AP2GY6cOL+pBpaGRrAzIMD5rvDUV/JWxxhl1g8Dfr91ir71Rv3QyBOASxzfTS
iMlCKsjIkntXJ2YomdVjC9RPZMET5NtPHFeal8xGsbI6JVd9RTC6080vecwEBunVEevDs9bh50qb
4VFzsXHyq9CAIRhvzD65nzRjYqqj4BLp7P4NXYioKE9yci+JZMbdTqOxcooBpn8/bEZnLC7EBwQ8
K7WDCzZiXJq4+6Flw03MenxrfXISAPT6a7NuUJMk8XOXrEG3P0ITJhfHjUiAJzRJyr7znJYY1hx3
LqLUutyPuuFTujOiKYcTh4R5ncWRuUbhcgsyOISsWxG1ZWTnaOFwQi1QXmQirx2DebG6vyVjxenY
FPeSAdn0lYhlKw3qu8JuNuY0MrXFwe7I4gm1/JfQRYzLUn7Vs3h1G/ea2J5zOU33hkKWxxAq3Kgp
JOs7q+7CrnlLSdUlS+BA7vdR0gr3ap38Pu69mEOOROU8fRlN/S3QuquhaG/TUlskA8k2yts1Z72T
6fajB24TElK+UBiW01vnhj2Js+1XucAr03FYGNr2G0HM32yW6FVTaAmmKAoExk7q2HYAEBsAJnTN
5QurLvHPU800I1Ufre6AcKYbv2ZBvqL/PAI06UgGm/tj65vstHVwp8LxLY7oqCOykNu2alJkyECN
GlntFY65KozmJRfqvrWqjs55vklHpvlVwliScL6ah67gkXDUKa2jeFOM/rlImbLIzh89WwvufV+C
8XDvXV/uzZGIDJW7nC+m9M4v4SAHerUNWid9qRkwoyzorzVhG16XLg+2FT9DC4LN0g/JlmWV4sAI
38ccqVEniQMY8iML+t0ki35f4R5bswHclrKHcrqYwxF77kIBVLRvTAlXGd+kkx/J+ZNeUqXXTdjf
RhY1jhGDCWWsAyOm1jd5kPK7fX9vKcKw57x7b5jQr9yyhiuRGyFzl4oEwln7YrTCfhHW0c5xSb2Z
indl8mxXKfhFDkIa5v0gWHChOSFTLgzFonrRncz3Wgd8ZzaNCsIKhBlAfkgLWbOtMhcEmQiIUy3h
b270XJTcSIOfb7Fec9rmkiM5Rq0+mLBV2lEEW9clW0IxHT2Y5oCoXjIcDyUDt8JK+Zb6R4z+twN7
otfGTsEX08QIz6wAhsPE7ebYCWwQ/oyjF2YGbR7WiYxPE1hMLBT24AViGFZaoh6tdtot/FersG7i
oPwcdf65RsYvCMgiBjLMeFSXX6MEqs5oLzgvA4yw7XyJDTq0aQm4YTI68sdE8QJELT00c/UIYaZa
p7n5rE3y0kbt96FKt0yFHtnsBYRWxGbs/4eGDC07qh7cOdnTpB4A6DKcTFFuryY57PF5MsidAD/0
EipYvSQF2fZHBHltnREl6lVE9GynwrnT/azaWIwlmchDcC/LjBli2vkHUU9vSuNmaMPeIHzdeRhz
O2HQoh2jIHiD9EjyNnXlGJe7oir4fbu8IcdDXxWuCDakhX4g8ZBAuqJXKSB0xpW6wQLyVEi188t0
3M+B+RULtHImZRID6DrcOGOO7MAmObFVOGYEKqkNlth2pUeTuyL48VVRhrgyiTZzyYWtQfKuwwmr
BAl+g6e0+E0ABU4iNApt5Mde1YO17VO+6rYmmFt2lGqLwl0k+zgghChygKqJ1oCbZyypFWShb5Tr
QDXQKD2doN72uim8Iut7JFqTVyR41yZNPWdOoK8YiFleVmkPYT081i72jTxyvWJIr4EpWaugw2YQ
IONfw1K4bxVEXT9tD13QNbj93UeZdzdBOizEzHYB2GmdVymeJ7Nvt2OgpWsjyQ8aJyceyFgAPEAp
Q8bJaLCf822xhcT7SonBIxPwc0DVqJXqSwntQWPwt7azBRDvJl/2gnYne+Cjn+orl52ciaP1gYQX
wUFH4RLoR7JD8rU7U7GOKnkOMirxaqRscjrlxVpGkOI7Q69rDgZy5Uh4qXoXH0ur1hGWxfGZqPaD
XwF+dZzkNdAsCAtD/KDXTg6IXbuzYSKC8ikO0h2eR85csKVmiPmwKjZVi+ZysjrACknFxwGFBFyJ
dNiikFcOUHXHmYiMteGT8Nx9MRPKFobIuAkSc4ti+qXseXTDWr9NAwRj3AsnU0XtJrdihKNJea8i
rpFF35Lj5cg6Xecn2ij5tlaEAjntR5zBcWWs9VyNqNGzTjwiCT2OU/pgwKteD4RWFrZAAU4Txhng
RKGFGtZF2l2XTb3NxeisxNS0LIei4K6NP13OxmD4aMyM+eec1ceZlPsF9ntgYvUSxeQ52PFj2aOv
ajjl2QlLH/jtzgvdwSa/NeJNdvZOjPWXCjnS2cX4amac+XrSTaM0fukANvm+vw6T/M13kve47SDc
VUfkDvo6yEYGyTk7pYlfpLLvxlDfjBa0Wb8q7sfG3ZeSxraFPQPLb4s4m8yFiSRS0iN9mrd1f12P
xaGLygWG0xvHJtYh4wa2kdym+axepiJSzrnSrJ4/sFrSICdHeZ0FfOm/NeiPGnQZWfznGvQm7bK3
5t9L0OW3/lmCApgDLodwFG/2LyUo0m7Urfg8oDz8UGn/3u2FSif5EWccBKlSpx79uQqFIGeQyvhb
sxfp69/p9tr/1u2VNuMALCiL+Jy+xfLzn6pQGQY5euxJv1iQgZM9lE2DxbRKTrGfenJubp1wfvYx
pRlVm+6GwH3WMPjhPqB+K4KdS/wsrrKRjlVJYlJR36q+gAoprjoflUc2HsyxWc/d3oq1V9JCjn6w
hYt10WM3OBUku3nKmty1rTMVTho0gWqav6cS8/y0LD6gu16Rkqcbx9TarRza17nAvWSwi5hWfxMN
rbmpwFzyc3E19xCKqepPksntqrPTp1zrJjBz4jMqm69hNr47GmKYoktCypbxPnPGwUNR9TpM2nM9
Q54c6XfFxNIApHLPuZqmK00md0onyWjMAWKO5NlizOcv+s2X5Xe0DWforL2+hsND1LIRRSsOjUQ+
h3WFJMD8EMmLRTu4UcQNCy+iMNirBbPh2229Hsxhkp6VgClC42maDOyp/JFUma37pkeEy22isUZx
kfchkNY82WObrzYQaNl15VhuxEKoY9qwSAiI4hN4KpFU9iz2iuUBaP7Q3qIdhTk7p/VtX5jxriuh
OpR2yle1lJxNzcE8rIgsy3J46lmlXoq5NlZDlwwbWUtnVRREBrZdSIKtW2Qb3/WZCNjDdIssW3Lw
j8U6xlkZFqo4umgx6M7K6ES3K14PbtccQ5g8u7EOphVCCs4AFbYBsOOk9OJM/TLcwtlVVLhelfjB
Xlfae99y+QxQZxuw4FBRK9bkCMnxXgr16WqFtero7G8QSFJ8u/KQCjZpzHDpjWOSgKM3OWp+bYo2
rp7LnUxN2EZ9Y+1ITvjMRt3dAaDHXFBr6Q2thODIN4dxwB/yN6dA7mhMkdj7AuhBIzSxymlHr0y9
TWrsP5yqMgwM7+UElaUgLZH6hQiT1tHqq8Euhqtg6OqdGyLHhipm7kqyAzZcPFowjfUVMckEihdC
2JLmbsliCFdizhAku2W4qsnXfBcZdCJojhQQBJLARkOfUlEVbPxg0Gkx+LmCJ9ul7zxzwbGmsbgf
5iRvNyHwLUHUi4N5trfq+CuFc7wnlsm4LXRIyAAlmit6NQJxaxl5tRgfUk0P0BenOExNN0GLXT1N
mht4YvZhMNLB3DQhYOO+edWC6jktcoCwjjtswmyGIpkVBfIatnh7ip/0vLiJqyb6NtHLXxlhECIz
dGinlohx5u6WqtGhiMHAAcmyOridIvC9/9YJfzsETuiNrvY1xO2C/Y9eTS0+ouF+GRWbLIRy5eFx
XRYR98RXcegS96vgOcXZS1B85jwIx7qpdHxNBI2t8ro420J+GMp97lMNz1Y9snfWzsGp630xN/fN
7D5WGNc2os1Cr+rqDQzDaBX50bQzjRk5cs6xwAEZNQQNhXB4F8AiXtkBhsyOrfrKEvPbGNO1GHJj
HxXhMbH9i2MOJ200aZfTVORJgfJOgw/FWJSCPUN/+x47ef5NJW28D8wejZzsTDRQrjwyrLBWUhVE
YFrZu9tYrFmiy2mxVzfFoN2rplkg8Ul0DBBYrsYiKDcJrjPektZCOwQlV46sSX4xBLcZ2o9Vw+Ny
2y0Pzyw4fSCJivdtaYWbmCzTHe2M6C4N6nLtGIhUWWE6zOgKH5k1urtS6tNmjkOSk5fUKuHb026k
Ut/4dLQQ72Vy484x1P/a+mqmgEBnOR9Qo14E+uTMjK8hbWQbcxDGzhxA/5tEL28TGJ3b0LbINPJ9
oHmiKPaGGgnsLhElhumMVC4ydoY5stTHvNsw46k1BgpMCqyAQ2iaQnhjlRKVr+8G8nhurbq3Fupx
QBidrnZanOADziArV/iO8foA/meZ6n6boP93rL2oJ/7zUeeh45ic5Z//fthZfu/3ww6xOXhyYO8o
5BiL8eynfrsgUQcimI2SRgGGpxX/u5PHwQrLvFtAP8P6puPY+WfLHS8sf0CiMCAImgFMvf/GYec3
Ps6/Wu4Le0iCjjCVbkAGWugSfzzs6CyMmUZi22W2wiN675Xs2U1Gwi9mpnvbHl49S2x6kiUaV05m
cLL1XYQdJey0Ax7wtTsYtzlSu87Uj0NTviWdfAVQ57ECn8ZZvw5cuZ9DfHCJVkxeaAevzZTe9j7S
XJVlb7h9lceYsFqRa1F6s07jN5tQ56UJZyona/Pnwgxx4xQOEYrZjRMmjJIo0hHia17tJu9k/G4J
W2C+XFzK2qLl58Yvgw6vt8jVxaHPRXBFsiRlQL3tVPEdQRk9k5E+/xzaNBj7RIeE71y3rX0w/eyB
RuLnJOcTpOD31McqMRFhSTDwrlDdlbKWIWCvLuSzHNM2DZAGW48mENu5aL8NodqSKkrUj07/ZHCd
G+nWV+w7ZG4m53jAH6/pPvUGuWyxzaBYr7VnlzntqoAQIKz4GuIBg7ZyumL/aQ9wECG1JATRhIqk
Vy12v412doPdBuuFU5zL6lYU5jajozDZ+gVR2LYzx7tJ53AWx5ijINybOo6HVHvppY9CWGxVRyfX
7dHQm2n2Tp7SY6kRP5FBCCXeKz5P2IVJ/YLVP/q04BKVPVXyoKYGqjJJlMXKrOz+HAhn6w+s/5ml
oFR2PRBX2IWYLoBpNum6rfKnjrfhV2SbJhH9CDkUOytiVF47wFnFdEU+K3DRWKO5Ipx0XUwOI8PJ
vIuc4moY/O9YDDjlKPUgC3WnGTjHWNev3YwYpM6yQy8smXFEdXinWf7Bilt5jX6dlk4VPzh+/uEI
5GJ+dksI4Xco8U+BK8hMMSx6YHyofenrsNg132GTGAOPkmBryiXxzva9tIgStLrdegYMYM3JTqAZ
TQyW7rwDb2s03adjWeVaKpJAhF2+FJwCXb1Mr0OLb7tK6X2CzB3gNujNymxIONQQH63mkW6A0t3y
RD7gYzUnNE07mouCap8IbJ2Nx4Gv2uUkNtXFlSCq5VpnpN85zUuk7GtLWnfkqUaeHbmI+vR53mU5
zcycM+/WnSjvoUp8K/Pq3um58NYApciaz6Lzv/u9RqRPb925pXPXDf5+MEk31H3/YCcaBxFu+hWn
/C3xNkvjmymXESQNDE9O03FV052Zp7fAnDmPNDgFUr7RVavVx7bX1iJRjKFsBgxpFl0I5YL/Z2Sb
KbnTYgguPlOLYH5j2PzW9uohGPuHJNXX3ejcMNNOvCGYaYoatLLMSHuaHEZGbWpvQgJ9wx/JvlEF
TFQnjqWzMODkBABzXacjIJAN/iiJT5WAIoN8G2NsTikieQTgaEegD2+gdLwVM9E2ZWt56EgnLldU
4i60MebX9BuNarjPllidqiEOxjcCKGImHeVhid8ZSDdf8edfxhLNM1mpv+Igj/8o1e4YQH02GbeE
VFlEk8V+LMn4aZawH8rUz7IUF5sUIHibijgyMghyBNlbBdGc3O762ic9aMyhW2dLoBAFG5OfJWSo
I21ILrFDDAbydRARRdT39KYQou59qcZ9QV5RpSIqSpZGWonbyuwIpAjlaW7DS5MSym0tsUcT+UdD
nJGPIYliJBkpXhKSZtZKEpPQkRte8SNEqbDfIBXjgA+PxhKzNERY+CzRPWL10T2M9UtxxVitXgKa
iDR47dX8WreMTJYIpwC8Fxj0bpOxwIER7+5LB+dbTfJTZ2qAZRg1esMSC8W5/Z3+JEtF6RXkRrHQ
7YIKN5shm4eJZKnEaJ/ryjHxTHTPcgmf0o1BZ9hBINXcxP06+hFSFWIXK5bgqlQ3KQvj+xzg8lwS
beUn+uuQMLJx4cBYP1KwXOo3s1QrtzaeenU7NMfZfxkYfIbmLQO0FRPLJzqEjxGJWmqJ1lJkbBlL
2Fa5xG6JWH3qLPQbnUQuevI82ktIl7bEddlLcFe6RHhFEgOsS3RZmd71rrG3R8K+iLLazJN+n1vq
KlziwKKge7Zbxjuiao9Ve4ZPsGotEuMDG3f3kidGtEqEZbZG+F9HzzqhY+mSPsaUTCemqT65SzJZ
P3XJ1lzSymamweiXKAwtoswGIs0shsReo2hPrPQiYHY0dUBm5Fh8OnjHT0PeUn1Q1Vr2c4zqY1e3
EXmebTVPZ53Bihc2XGdQOGofOPBvIqDBrF9Hv53dC+7c4iJmDcBN08pDb4fntA4d562T07Sbx5Gk
j5LAYTYPwuerYJtZ+skorQOr0VH53DqosIHMMvLTamk+oWhjhegrZqeNtqeDeJayCfZ5KD7NSXz6
U/DOlkPPIxwhR9P3d2wayoKPzntsTL1YJ2P6MUbIwayAuHGBHokpGMtDoF7CEX/ipLfxZqjCDaqU
ggb9vFW9tnj+1FXAl12+t+KoS3+JlN9r2mCcSVe+mOUIR4m8Zi9JxSNfP7u4nn6WY3zsUbJsy2q8
xd61ix3QO5Zp59t8FFhNa1GuI2xFlObDS96OjCzTe0tOa5Vaj5mLiK6KGXzNyWGQMNuj9KbnOWH8
N271tnywC/nB4nqDZTD3EHURNk+Gta7VWxY4DvcSqI6rN+c8xPhio4XLVWuQlJZdbLcGUe6HuOjc
ZNrUY8v9MAQpnr2ZAlo1m2yktC+VbGDnGG9zw2A1HYadTS93hZz8zCH3pa7L69FObUYF2kaPKHEH
B1ldzEzOuKur/oond4+5XCAgDB/LGfJTHKWnQWerTfTryCcYOy2erVJ/GfxkqVnt58YYT8VIF3+I
XMp0bYlMtIKnbBK5R+bDYY6OtaxPzNS25WAwtoocZIEle7SmHmnJnOaRXkAevafSOhIll3LZp+se
X81+qid65KM6ZQSF01JjIdTCnbAiBpyWxHhoXA9ivupq0/QC7GaemsnzHrLsxvTRKTCg1FYanqM1
bYh51Xdu6Q3SQImQ5RNJayicnLneN9JAMSDid3vgDOOM3Y1dNiYwf9p5gds011lV01w2h6sUu+4C
jdolqa/tXMYHnDn9lofLwt0mH1SrHRV14k6FxcHltAXZvTSpGOfeVf+A/P23HFvIm/+5HLt/+wDu
j8q4+PeCbPnN3wsyorfRCzsgFiHV/gYT+gmt4ChjYYv89pOftMYLZY/DMQcJ/mMQ/PWvgsz5H0FX
mtgp3COIo/6e1phgFgqufxVkP7TGDpoq+tlCQuL7ldFoxn3eYGsnhjp1BHP3qNxiuYo3ZdwTOzG2
W3I9Gtokluxf2d+vyoYOhRKOvWL4xMh9Cpq1nzs64ShqgxonYzKd254SkXYl2vnN8o357Hbt56Aq
IHJ4A1dl6t9ziFCnvGepmHqzonvSV2ek2ps4CJ/acNgMPInbyHWOWWscZa1/JeP0NITZ0ZbJpUpx
furG3o0I9mNVCldRZpbUTDp+6clM16OQjRe4XUg/R33GNtJlpX1Leu1z6BfQvY+geRw4gpLH/L2C
BbhKhHZuRU/QM0Pq1ZAMpAO66n2ZhZOIjXc4tYlV7ZnPrrupeAqz4tZQKD8LtLD2xDyq6tp+E9S7
LjgF0YGkibuqUScz9T/nxXCe3ygda7JZJ+fcVdt5jJ+zigRoRJphbj30FoIyEX9NgVwWduPWIZAF
SAENxT5oHguN5Xfq0Np0aZhux5a42Mql1VWr6T4LWosp2SD3DbhEz2Q934i8s2l+y5lQZZ1QKj92
N1QzzVq2wT4JWZwz+IBdp8V32PwNeEwpvcRJskRHjL+tgmCOGpUG8zQaywma8yNHgruiGfHQ4S/a
dSP2XGw569psI6y9sbXvfPSsT3mg2cHJaObsmahODX02sRN8ff3sjSbThX6MaBxbzleD7XAM+0vY
kppmZk1rw6ZrG/dbvZDQOJLaGoLS1N1HUve3wOioNwVbBc1DtOfowrclJd4pm43o0cFDzeliRMXu
fksIr6JnWkaXQcYGEMeuRkbuPLj5cDBBR6LE6HAs6um+1vX/Ze88ltvIsnX9KhU9T0Z6M+gTceBB
0BtJ1CSDIqn03ufTn28TpIoSUequCw5wIwo96ChJTAIb26z9r9/cSg1oWCN32ryHabGEFOJdwUOl
k8jJdV6lDq0/xlKr2tPeH7IbZoCFpYiVER8b9xfQNqq53XT5jVe03yqELBsrUltYHv5TrgDejvog
c1YqZ5KdAerKyC8hbSlkp9bNqmzccqWiur8uzCImYMVKbyIVgX+uBP601fObzK5ndW1Kk7EZCeoI
jFVvpiJyVwIlxSOBkKABVbjjTiXIUtOEuNi5EaCpr03FXgyBC8lnkO97N58WfvfJHuDpa6k8cHxA
q/LIip+ovS6tYZt1X6MQskY6Fi61b50uidCNHiLNqFYxEvHJWNjHUUd91I61PS9rZ9Rn5UiQqAnv
+bLTFPfER1t5SsreWUUnjroY4ZSVBazMpC0XZHlgZaim1alkj3A/FPhKkO/H+T+d0G0nFMHJ786j
9I/T+/pp13HED/44jtQjmexHxP1kYcm6yV/9OI7UIzqagH+4VnEoCejwFR+0jrjCAQLi5iPLBqZ0
fx5H1pEis9fKBv5BaKHRqvwNfPD9YUR0N/FhhoqSxlKfCbtvWqFV0zVFYg4dDMiLkmyUAd7Mm0G5
2B5sb/WRvNM3x53AHyEXY2QEdGHhta5zsL5tttLPiLTGappzqEfHgfVJkkmEvKz0leJedO1ZpWxn
41/qMVVhD/bb3yje0ZvPpGIAEbDZNKhvG2lC+lXtTEjfU8W1MqsuuzKzj9vayM/MCHvQylyYIQ3G
wu3xka2T2uJITM2vveqoa1Pjtj/QgZlxxdAmmu0DQdFjtUE18lJ+bKXou9NLX4TlcqaQp0GdD+Tl
UTamA00mTfVZuDHB4okXeLiemEvA0WCBMa+28HIu+e7Qp3D1A+5lJc2RlGYVZ1RwLXVEAjfBld22
GxDkbGIFUO0Kl28J2C9x7ZxKvZ5xr5xgK3PpYpI0IdxplWXKReuTd22b65SY8kkUehsiPfH9km5L
ul8E6n5tR+2it/xVa43VXCHZNqhpGub2sR8YPWa0WYfbQVktXX84zbAYu7ZqGR0M6ZRVep3RSFqZ
BRcEFC0QfHypvoTtxB80CdyM89jTT2pYyWc0j42VXtVwQBut+BbJ9olp0jHSCb60gnUfdael42Jl
Ep1xJf3MyQMsybaItYG2KEkuwjjuMab3ieWtftrn+rELDNRG+UlNoCb2TWsu1RfyWExTt5gF/XBC
gXHS2Njd1mMiczHoNlUrfy4ada7rmej2jrcGHL8J4BLRaU16kUb1EqOKs2iMjuUMDLnPuQJFNZgY
ghairhFr0b2M51Vo3eKGQlKABIdPTfJm3TRdTWtHhS4QFMNJTDrzooJmHSePjtSd6759VTVophSf
6DXfLxcKBhJuHFw0qXTdtSnhPnwtIIBzO3AmVlI/Wj6GPooZYqvazZ0mgbXeK5jTmDPcGS7rJvOB
AzjpOn3Zle1Cxm+uNvEBUeRZlmXXY6pfJG5BQHtPi6uOo/aqH/wr7CrXJTbJdm5/wWQOUYpRYogh
adzwyu+p1jKbHPpW8LhHtGe6rKOoaZ9kElBTCOKFjnyDHQy7Iay5NC2Yk30Nruhd+EF7qhuQooxk
2csGWAlKo97dVBURb1ggVGMtnGDOUMvP1E5as1FcDrZXw93EyFbT3QUV1Se9rIRfLIF8IusVPHxY
RZ1BUlhMvQGmgi5AOo6q8abKO2rXuOYan12HLR34EDZfQ6E1bWz13mnCe25ppxlcRbBxLA+6ipuz
W3XUJm5rr/459J4PPf23EpTr+7S+/2Ma35f3729h4kd/HHvKkcq5BzHEcCDz/HLsERXKPUrDZfG5
wfXm2EPMaWqceFvu0BsOkHmEaJu8G5MW21ZC+neOPeUdB8jmxoRTJPpjg98mtKVvDwlL8RTANyMj
rKeMJ8QsqlMcvgZcUiCnqb2nrME5FrFGyFqCCTeOGP5d4ljHSUuUBl6JWUzPvSnW+C2ejxKNdR3o
GZggOyE+i25QUH4aZBje8O5mdiWuFlI9b4foZmscU4/YbCEuSLPQuuxBhjxisUTeIWYkeGnYRieD
ScpnI4sM5qPeLn2UVdPIYFNK5ZqGDyFeY0hfSfGwBcGZb3Qz8q1kA5mq2SUzydVxmcMOZBho72P1
bsz8vu4hSsu3rYIhdjjMO7WuZjV0VXF5xL2uNB6wi0M/IfpVhSMEcy23FHyyYPik4YPD9XA+uCgI
G3ouINb+mj3HXcc5OwN07nmWSvKSflW8MQypO8HYDtPrNoFdXoa3QZFEyOLgqnOEnXPBmhqCg9CN
0NjNBu1TAekhKm5NyzvPCwXLaA1jsj4oFqhJmgnhX80slWKB5MjkoYnrWlQ0pzk24tNoyOIFIYRc
NYxjVP6fkrC9cuj8w4kmxWHslJWlFYCNUfAIY/bUS8czOhig8RZaySYsv8S1NHUFPzkK8pPGt+ky
omKaeggjpbGvYda6iCKzUJvkdQiErZprHKouI3dAl9SRNqiO3ryARb5AjPlQqMB4qlydqRqMokJa
ZnJyktA7oSzZaKgxp4le0R9jzrhNdVEEJumcEUMjA//OdZi6VepNq7BZFoV2ahl+tKidTIIvHGar
SElnUS4ty1C6iPqsOkVdhCd4GZRshOaVaqqnTh4LPy/kCnpCkCVE3Xyi0SaZxHpdYRckYxzQuUQY
Vje9g99CG6annu5+HQpi/2KESF6lmTOjlj/pRfEVa3kL74cQb/TanNmBdwkx50Tpk9no9WdYaj8i
usxJ1KoYw8pcewWa29E0TuqmOg+yqpAus8yKx6ehJ8faSpKZE+WfoD4VUMmI0QtG/TSFDHsc1s5d
FslXtVE+2qRal1jD5KO3oB6b5VV37NTSopTVTRb7Z0GWHfchiCmhIG2KdVdR+dwy3aZbm67xfTSl
hkqsQ/oZNK7VwkdpR4Qh46lXUNko8FgXXO56wlxNfq++zONy2Yl6iOw9+EXaRWncVaJeShrnNuWk
jimkSrWk+KqNdUeJ5eXjRTOqK7cN4CwbzSWbHTbrmMWREjqRAo/ZR8EGe/qEdC1YwnaNdDu4shRL
oDjXY97jVCaqPl/Uf2pZs1ASK106nkIBJOpEjYIxFpVjIWpIVVSTmagrpYaZg1tlSB47VWdC+WlT
hlp6+j2jLE1EfapTqI6pd2IQsU3PlBrWENWsXLoWyZL5N7uR3BMn8k/pSbJNyPJFkpEf2liFcg6J
5UkboTFjOPLUVBLBtWZ/BXMvX2tp+1XJEN/p8pchsE7tuFg4gsJNCK4ztfVKhzrjfU57p5kB6ixy
e1i2LsqyvLxwgngj0z4AXm7xp3LPQgt4JzCjVYaD57ElGbc2onh+czvFGeBGkRFZ+EYGEapQ8jkg
fT8vJPW0ZxlcWJlzRUG66mM9mKZxCysLVoEqMnvxkMfs2qpnfFb6HxGaDAdTUL+A1Fxj0UtofTxH
DvHdcx6C3Lqqau0qYkw4B/Cs89KY6sm+AAgj/xHfX7eN9EnuWuWkHenrd2249IsCk7Yw5mZRS48B
j4NbXswMEWloeGdot2GRN0G70SUlnfOFDitD7a+EeFdJcn/mYSAww09whf2RzbItvTX+A6TmziJb
2/gQVwGerK9yNQZrtmNESuh/PQIcJb+4VgN3adJgJsncbOY9eBM++9VDpPrBVALALg1cgduiQG2O
K56q5teN0Z/o8PHBLIplQ2fXiPKzLiPCK1c6jEf7KxnNISatw8LAkC4rnJWkSN2NPw7NomvUp8gB
Rqksi2a7FSI9g5j9Tz21raeoYX4DImQAnrtKKX7qRymlHmmwJMGkbUPk4lGq/EAQtCNCAHHHRxKn
bz31XxEE+wghpm5jCayIGkeY+L6KegG0LQ3UQYezhBjXVP8WgmBT5f1y34a37ehEzWBbbFvC5Ptt
KcXZEucRxrDnaIBwMjVorXBPMJuHMmzmrY5Jgpy40Upy2d9Cxfnk1jiMuSWwMNfgb3USX1tJ53Bc
qrOmxtTIzYNvjSSvq7Y4iaTQm5ZwOydB0c5cE+kJkZtfUVh4y0oloDMpinXRelNtDM61WlrjeHda
RbgVlIRXcjngiBnAvqzKXqXo3cZOmllwjuvOzKaZNF5EuHBMOQyuVK2+Q9lI6k2UXg4RXI0sR6ri
c6q6bVhNwN7RmZi0gr7EwfAVfWdD+m94VZVY4pUFIo3E2CQyVpaYti6HLFNP5Vw/R46nT1Brb0YA
hzZtNnblPuZOtwlU86s6mNGl3sMK8FL3tNMht3iqdIcgas5NUrkvh0xA4+SPV+WnQJUfPWJjJ12u
FVN2sNvekh5hTPBBAG2RQJ0OsefPFT6DK0enwZjfk7dTLVoX9lA34Jrrq4WxTCHTuL2Pj6Gd3A65
ew4I9DUxETJHlnrS28Wy1qNs4mBBMKGHubArb1m4xnmkUk0a3bhqOkWeDqPzKTRhIwkvg5beXG23
08oOL9OEC2Sb9if4Rpx0AORzSERfAp/441alBCuc6FNRDdC1ovqLMeIeayLuravke2aXp5hmeyd+
5J05vu7PUmz+uqqpp0qtrioXCKIqvBs1Ltdyzl5nW7Vz3JlNPldN/xFfh2vPHZaQuPs5R9nxkKnP
sMdTr+eb0UzBeerP/NkqzdgW9dbmMFXJTPTDmrzBMD5x+uTGPMkUQUDD9NFkPc3gbPszq6m+J0qx
Cq1yabYF4q2m9HCbi06VppjnWYPoJ0Kc3UrVtdKWS8IU7vRB4SBHOJTbxgb4wJnWaIZmaZpcNqE/
LIoK66N6JCgGxvvgQ67R6T4hBC5Pcwcz5zAhokYdtKXqZZvI0BexAzoQAfzqUXcc+nWIrGg4Kx3G
Xnc39YivrGRjF/rQeFn52U9rDctcB38HE/7xlSq42d7Ehgx4KedOcQWPNYmXSh8sak1eIJVDPqC6
3yMPU0yDNCc/w7tQJvPVSvtPlVl+qyOMTvIsu7Q8XCn96BI61NrGiXRKD2CW9xbwuAWJI5YxwDfq
M0WLdT5cPi8szEK1PsR6uid92UXy58TWOA2x0Z7mQTKraZJr5oBPtDrDzOKr7WKg6gy3fNH+xA6l
9RBIJ2nhL/0ISiLFMZ5rUy/EtxeuBgIpfDChpvdAYrD6jrW8/qwU5cw3Bg+jnX7RIoaDeRSeoEjk
/I/oq/fWsgNtSvKEL+RTLXzJ+wYWFrnBWBIHEiKBKLVmQ4J8L3C+JETcoBrwT9rcUahFAod4XUwF
YKGvnEI+Q7rwUIHKyNj8Dr0FVVl3Zlo+nNKmWZN4AYlOhYQOt5fvFu8cqVk1VfmA3fB52NuzKtRv
kL0mE2coT8bIMmmipXM9YhXKNqx9+PsLsPtro3GfCrh3kPuSde14NjY37UrxUJlLBVAb7Em63+3G
h6aARtieEHQx9fXmtLPSDS4KKUxDBC6efYcvJ2IwWzgaTcpBXjpWcxGY7WdZzdciJtpsZWsehTH7
X59KkAuyK61xaqKtSsyaPUQW4QoJwiQP2jPXHG8KiPGFWl+6anNcFu3ELMB/emeYjSOUKLOca9hq
I6poZxWUenZhbeEY9UZOx4WNXePUGSQo/7JgY8LyUJuvWgBLrVMNba3AnlFEnpXnXSqjfeLYQzsd
sb1dmGOHYU9EwwM5ZZR7hI5IgbPWPKNBjtBfaLG0iIirJoPiOyT3RZrks8qs51VpS4sgKNJpJ9Xn
Q51f1JZ92wvngMQwEE0nhjPvQzX+EqESmnl5+z2smg3OqJ/iJuXal534DghbUwZX1P8zFRgNowkQ
SSU/8/t+UYTjbaSoIzEn0Sd24HmVGpel5GbYTzt3kll+7ot+0yU+qUtNYk213J7Wir9RMYn1e+Oc
sOiNXosLqT4gXHRCLHtczDxXsOKjTzD8u2imSKmykEYSsu3ensdysFaNiEtrl4yzPvMf9VZrZvBa
IXhCEXXG8VwpE21OueBhKqAseuCGiasV3626jaZOHZ3SZmO7BI6eEfb9OQvViyxRr0AMaSGin+39
6gH+8wwkmEJ9OK/Mfj2q7F+lhTw2NdLbfpA+5X12EwcUv0gRZ3nMPdCmudBGuErrow1EmXN3Jqjq
sqxDQsdiK1zpwgLaBCagmabQCd+8qad29B9UYSD4c78d30e6G6aBY5hIr/25PKkKujODo8Fwuk4m
X4xFe1FMuc9Mnfubq+oUV9J5Nq1XwYmx7Gb+Klv4x4a3Ck/95T8F7rbApf/ymwI3eCp3YoX81I8C
F70gORNYwlCyQtmgwPxR4ELmYFbhDaeQHPUMI74WuM6RhSE/JadhAgwaDg98LXBJU8Qd0cYjkzr3
uWL+G1jhDsYGekFRf4NXyqpKwszPM2jU/MRXs0A+16Ac0zwY8UxWvmbeI4lMowHIVJrpCY7dMAU7
B2ZSzp+XqnUO4fC8KXJiI7yruGm+ktYwRQDVL6vI/5IScl9w99RSm0MBAKey7nCogzjUE4hkRZva
sDAurthIVQ8Kd5/ehDLu040jx9MCs+0Zlr130DdnROhsDLjZVCj3o6AGhuMXxMHFlHjeY5+TxOlD
i8IiWFU0+yZhOn7hzFh1foTLe1SLTtBdiN/UaGcnhBl+4daQ0CdWv0td+rkom0+RkqgTvTEWpSMt
Rmu8gIlmTfhkS5j4zbRzcAUOoKVpyH0nltut64BiUhowUUGMZhWANhWmPkNifyo6bK9ybOXXsNEV
kpb1TSjHtPY7aQW1HP+LoHRXDSGGmd6vVfjlXW5edXlzRf1a3sbGcB/n3OJNWuOeL3/GOIjIyow6
Qu5Psdw2Jp1nSXMjTFcQl8Np3zQbeIdr0xEnlGscD8pjhSbJc5vbAZSVigEJzWjTipcrqBOgbfgP
P2kWAIVjKLfmSBJWBzt8KtGvqCv8IYauNQmkG1ZhNSxtu5vnGDE0FWPmeTHJgJyNJmKIsG7LM9KA
FH/uElC3JFLQ6Dd1FgyTUc/lep3ZoLa1xSGpqDVUvSKTS2uuPisgq2c1ZNwWHceNodYz81kv2T9r
JxM1I6Ywpj72gCGgRjinSVMUc4DXh1RoMMF+1ZkGY467PwpNdEmzbqweTKHddKLiO6RYczIg6xyE
vtMSSk/PiK4soUqwNOtM8rGoqIktQTqLyELyv8QIRlOhHG379joXWlJHqEr1wngMkZmqCCrGmm5L
iwDVMxGVcmk9lYU2NaowHhJq1VDoVnUErP2zktWJVrpf3tmRUS80SY9xYrXvBuF0kOtmKFRMj1yB
aAjhFc3MqZ1ZKpSzstDQxp505t3FLd4A3jFO0Y86elsD3a0KaGpE48ZM02WY5ZethuWMj1I3FwmH
JtrdGA0v1qoAKrL52c2pgA3+xFa6z95YXAbofwddqri33KWGUeFyKGUbCfelYMajuMjiviHR8SSO
Mp5Ikl9N47KnEhAxUKFfXMFU8taRD58ZI8ERQ8EeY0GC7cpprLelvCiGqHz451zZnisc1L87VzDV
H7JmRxeKn/txsiA31/HzhLpnvrD6fpws2hGOougkt6fHG3GWDmNDdqDnCT4gMUiirfVysiBSf5Zk
AavosuhrWX8HOoFC+GttAmricISJCCiTtwIh8S10ogD+N1FpZhd9KVuLtOVqpOc6ZpN6t/IhBEza
QUTIyh1njzBYkeMECxuYphEhNfiyBIlbneK6CjanaQX59aa+MvqmOusiN3/MazdZWsInxo8tbtyg
kME0pzmt0TOW+ouqTOrzIgz1O0k264XiQlacolUknCF107PIyx3U4/4VsD1FqaJgxOX53XK0zeS2
tgeDJWiV11TpzWld+daa0N0MGlcjRQvFgLOnNTKdb61SnzKjib8YcpyuPKNiKedudd/C3Zz7Mtmz
VkkirRUSgtj4bX7ZCdOiBkM1gO981naKDmdN4prwQHyJr28UHHqGflFnUbNUxhpDQ91zQv+M7Apu
qAXRpuW55ecpWlGl9699YkKxxmjwqhhroOXuDPcfHIlkbBIxgMnizrZgTLc50JCBJ36wMSUkKJOg
IQ01BLNIEGU6UN7d/s7sYu1+kCwjm2BdlS4AYDlSGjiBdZeNCHIMBPwp/u+IojlXAg/ltZu33jdm
UjDlujPeu5U/PhGs8QUDnkXqBceSBb6dKCY8agMHLSnvPKpmpRmWEVKZjafUw0mU9TntGAcsrU8y
CVVU5wWLKqm5WtJFymkmFp91K4jXsaPcahF5cLmEhMKXu3Zi2GWNAL8yr20/5+Io1c5tLhfmWc/d
dcZpgtZOrQ3clio5eSKzwPkmWZ10rMW1Ncn75Dy0FWlW1m2/bCWp6uddXBT1jHig/LslZdUaECnF
MMAWBMXR/OqNioWwCheR3o24dYf4E1VSEd4pLiS+brSGkyoas7ux6aUNkxfwziIZE9aM+wVP6O42
FTY3TdbDgiHr4MIXBjkpZtfxLNX1tppUFSEiLY4C3OV6o5p5JNfgOYMSg9RH9ckx6fbE2rHVd9ol
mSXc/gm7U56wQh0XheAeOOReTerOfsl3/4eZbfx2L76j2f1+HxY/82YfhggGeRqrb/ZOoZ/9sQ/j
V6nCZpN1y5SBt3/iZLMLk2MvLm60en6GsDWMjUzwZuykgLL/li8l3Kdf92ELi3AdUJpZpMIL+GUf
hu8TprEa9udsmcAdUEAtt7ypVcTyoWCHjoj9b4JWic/VOkmuK8EilWQFGGd0lalCb4RwbMimha6d
aZYuz+uY6+xghXTRWNi1YKn60FUdwVvNBIMVQ7P+wkGYNQVntaZO42Y3OpTXUob7WkOCbQM/OyeZ
mvJTMGSp2Mm7Jixz7rXwZytFucUyOV7FQDl4KWC7YDRrDdKtV8C+7QUP1xSM3Fhwc2ElfmWLx25M
RB8J/m4hmLy+4PSi/aHFHaU42zEE54FC7izyOockuExAESor5Tk+OSdeNfY0HHpSQYwlZTmDksN5
FWJY3SQnDUnMkQN6LaKZazKaHRHWbJDaLDf6PLI8ea6S5xyR69yS78xonmYi8FkW0c8ob7EDifyv
BqnQvYnjHIbbnz1i1YhoxeJOREi7ZEnXIlQaYIcKM6WNanqQq0eipyWTqGsRRt2n5rEJeWxS4wSH
HoXE6lpkV/tuh68FcdZ80eHUMfPrTHLPdLZ4/J5XZAyCvxKF7Q7VhSSysSORkl3W0MELgrO1kTiV
0R3PjIyvtM7JZyFkOyJsW9XKzyPh25KbI/H0MUYgltsU+dwWikbYGWw3aI/WEDCNaQyJe4afzLkh
Er7VRCA6AM4i+zsTKeBoS+9yb7zUiQcPRU641I8ShL3IgeckkvAwqbHPkU+F2jcBeAxri+yhueV7
G2r+kTQmpcTewsBQEOOBJwmIOWhsLlXSAFrGTcbFCJ+6PD5uIahMLAM3CTVRTnA1CTkBEV65ssK1
wrCD5WBEc7tQyIKXRiRChtFOW7ukQ+1F0BsQZQ4+Crggga+Qhc4C326qdpIQ8Rir3LU0VAUEPHDa
jgU+lZmpmpdfxWkKBSXQ173toD2NEvkm9V3qbB0+aJb2UAxDzOIcE8NRF+MwXU7hf7lPA56dAVqH
dWQYN2XtflXTtJ7CLJ1i6H6GTjRGdmUA6HaNTBvYXEt2qZ9bNWpc2KD1FHa3CeSlX7cRjsxubZwQ
t5RPHbrOU1kyjkvqjWNlyDaFHivrIkMlCWt0GmtfKsU9lzpvwbHVY8YTLOuiDADMkhImJ+axGMzO
7CL+5sfGws5yljrLJM+tnoElLs2vjnury9eRZNkz4DDl3Kd9M3MbyiqUl1xfcIufNLZ71hb4loWO
OVfxE8EBomWeQ52hG9ZfDgoWetBQo+NiGG1wetVdoTJExVRl+nLwXGcmSzip50W64VZszQev0Y4r
0xuPi1CRlnpWyPOsyC9NySkXYzQcw2L8gmOldqGGMPzZ/aK1FGCp6sPCkDQU1L3nzs0wvyus0Pte
pVA2fJbxpRWGT2M41iqW51pdTv5/ucu8HPGz+/p+nuJbOFw2T+Vw9VRhXFm9gkfiby8yfFtusv+3
f/T7B70kKNwM+dO//3X/mATpLKjqMnioOY7QPfGu1o///tc2hFaBR/3T7ej5jT2/698+J77nOc0j
v0EjTVbYQbPxyM8vrjkY2ngvfy1BMT/COAJCnug487vejNFfjcLvP+B2OH//b3775n8dBPnXsuTv
D8KzuEuYlVnQUHkxrD8PgnqEnz2N95cBP7xBENfTPWeCdaTBMADYxHRk5yAoRzYW4GRAbQf88AZB
aCf2HARb+LioOK9Y2+XAovt5JuDmYoMLcFM/hOXwdkswDGe7RLcqiR/71H/YDviAf+4G1hG1NrZL
YCI7dwN8bnC5UWGTKNtJcgiDsGtj/JVv8/f3BJ2eg6pqBBTtXg6KfQR9mRWjbKfKdgEe2qIQyWR7
LwrrCM2SzYVJBJXzYnB/XhTqkYq7kSWQq8M8IrZv7O8tDLH0/1wZzpGhsOq5gG7H4N0RoRzBrwJl
VA9zIojjfe+JYB9xN0Z2+1eDwPZg8YKxtW0HHtpqMGRt/43BOnIMDB5pKW73SA6dn1cDogeH/qHj
bEuqg50P+5cMtuAkEk0gwkJ+HgOZifDcJd0eJAc7BvtvjmwMQoaJAOvXMaBoJBaMhvHBbovbVbrf
tqiKaogtYbsYxKb50/VBtFFsILWDLRpfCrl9BoFKwCCAzrLIlBMvZvu7QdAdVLCHUTTyHf16hxLy
2T0rZx1FMgitrb0Mwq/bokJtif0xJOEDLRIEo2PPMSAoCZ0z+OtLdfyuUKJzCBubOOCDvUJtrzV7
rAaCpDgd2f3B+J9f7wZBRxSoa1SLB7sv7l8k4CQDUYmZsB0DUYT/vCVwQOLtCaaAtH+7ZRxk5fyC
+uwxHzTqJcGbovb6i8oZAwT2DawptmjW4RWN8kfAbBYesAZdj5cJ8ct8EJWzjcWDrRzqzqDuf0SI
c5IunfmyMby7RzIIKoQ98lwP9YwQCuL9zgjII4yAgunTu3qRExRNM44fL+NzqOfk/qvBOFJtFQdU
vFBed79fd0eTfZHL9MFOhP0vTyongGqTfQ2WL17vCibjCN08WwY3LPE61DuUSM7Yb01oOt1/WFYW
uOP29X53JNCIQBAuEs+vA10ayrai2ee0xOFAxogHEsRfDIVAqB2TSM9DPS2V/VF440iznrG27cx/
d6HioMCNzyFDfFupHV7JoOx/WppHfDxg1VcA+tcSkkEw+TsAx0MdhJc7/x7LQVwmIP1zWLwW0r/s
DKqKUT7bJD3KQ90T9m9PMts5JaiKXq7WO0AWRzEUdBAH0ZTahS/svzHaR4YF+kzJsN0Y310rRaiU
+B8bxyEfl+r+5ROkZXF1hM28HQqe+FP5BNSCl4SMBfuh1gz41e1ZM1BH6/Qh4P09f9vvyyeIC+R6
UWKah7o9voBAe2yPGjUksjaDOvL9FFBMzQaOe2lfHujuqO5fPFpHsFPgrxC78rrwf14NoHKmbqEf
e9k5DnUo9r9SkEIjtgRC3HcPhaoBvRG+q4mr90HiTcIZcs/LBNE5OtYWBg5iz693pyVqQuE8pgl7
54MchBdgdJ+NATKPbJK6+Iq1/Lo/sDvqBEtDXjjw03LvywQlpO7IYO4iSEm83uEu8hHdXFraLxeX
w7tMCPfwPRcFXUpT1oCWtl/3O7CB+cBfcgenSyVeh1o4iIysPYfCPMKKVvTqXihev+IuWMdjuKuT
lrUtWg9wPuxfTUP7tHRFxzh4uyje7Q/0bYFikWsc6pVC4Kd7zgTwaBJldW7Qz3P+/aKA10QFKbTn
h3pSbM/xfU4KMHcCqVEfvnTwdywHGaSW/fFgZ8IWJN5nEPDJojHNneqF97hrEDCBVHB73L4OdD5o
+9eQ2pFjy/iJvUBv77E3SgvYsaBOh4rNa3vXDLDihQkFhL+X29Ov2BtnBC4QMn2cQ10U2v7bI/bz
HAAYzr326365Y4K9AduDzmkHOxP23xmeb5foh15nwjvYiTNChRXvvDDwD7Ba2Hs5gLXA6ARO0P6K
FY85oQ39B5z2QDfGd9rVv08Ih/xq0ZWhHPh1HQBSW/DA6d4e6KcXotm9ayWc50zKpb+qmp+hKFMH
iznQQTD2v0XBXOKOpMEi3l01CwKDQ5VAENOBDoK+/44IyKSpKhqZl2btu6sD9yfBhzzcgtHYG3Rk
R6Qtb6IQ+YuONWcjagHKAwR0h3yfNvYuGAWhhUYlKPTLVXLHCSk2TXr3h7o9vhC097lA0KzVyPHm
vry9SvJRfwWhcRhEPidcD9iKD69MeHlj+wwCTD9bBIyDt71O+p8GAZAJCEpRyNc71EHYv2oWGLwC
awcW2/NrB/xs0Ki1qaf++0H4L6bLD4Hy1A/ix2dpcvBU7VIw/9U/eNXkvv/7N3zxZ5XhT/9SSJW3
v3zLKhf//T8/K5efp/ubv32d/s+/6eXnXz7i+1/+0y97/Vyvf7jCWfC+fPCH578YXt7oGRGR//7X
/8b83+P9r2x30SF5/bPdMusfpdLvn54H6dPrg/7UZAuZ1Z8f9b2G+797eHL/mJWvD3rzcPaVvR8+
wUB71xtnpu797Ol9fN/ylVSvz3rz3pnv+z8/i5vq3VcKdEVx9wEPT+uSYJusqnf9Cur+vX/F7Cn+
4ywrd44/e8/ez5/Hf8yyksnz+qw348/BvPfzF+VTle56OFXg3g9fxk9p+vqcN2/8I5brqkm+ZfFj
/f7xgtO791tfJ/lTGdzHr4/6890rH7Fk1wRa7nj0R6zYzVO5Y8xFL2zvQdkEqbdjIxDcuL2ffXIf
7djDBHv+Ax5dVU+7xuQjFuhJVv3xv6n3FD/tGpmPWKKn949swK/j8GYifsQSPb0vg11D8xFLVDw7
z3bt7oIlsvfXevqUPmYPwa7dS2i2P+D55cPT4+uD/hx30c3f/+EZ7/31OW+e/RHL9JT4kR2P/ohV
yqPrp/Jp2PH4j1ipZ/f5jokuQMi9B/zsqb1/XzsaWId/wMPPy3u2gNcHvfk6P2KJXsT3D087akeh
pdh7WC7iJtlV3Anx5N4PvwooHavgccfIiMbW3s//j+Hxz/ZKe9wJCEb8Y/KUBjvT6T9iqW5/QZne
l487NzKh4/2AYUr/mAVP3o5NQVAWP+T5C1bAQ1A97PodH7F8xUAdZ/dFs+u0EiYQH/IpTpqg+uP8
W1Dluz7HRyxm8Tl+ly/9ATOWKM/Jffltd5jnRyxrPsN/iAv9mE8xLZvx9Yv9c0/VP+L4vfbvd94J
9Q9Z1L9LR9h7aILfWmTv/fgsvt9VPYi++P5L7He5aHu/8/oeE8r4vqle3+mbOfMhS1fALDvOYdGC
2Xtobp78+12RcaK1sf/DqfHxGXx90p/jIroF+z+9ITh4xxEvUPgPeDgAUbILlxP49t6P/8QTml2X
K9Fc3Pvpv7FQ3ne23zXfdlTKxn9epbtg2R/ti/dg7au7464f+xmLFv/iIX66L//n/wAAAP//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228600</xdr:colOff>
      <xdr:row>35</xdr:row>
      <xdr:rowOff>99060</xdr:rowOff>
    </xdr:to>
    <xdr:sp macro="" textlink="">
      <xdr:nvSpPr>
        <xdr:cNvPr id="5" name="Rectangle 4">
          <a:extLst>
            <a:ext uri="{FF2B5EF4-FFF2-40B4-BE49-F238E27FC236}">
              <a16:creationId xmlns:a16="http://schemas.microsoft.com/office/drawing/2014/main" id="{90BFA4E8-CC73-B97C-25DC-63A92D3DC13B}"/>
            </a:ext>
          </a:extLst>
        </xdr:cNvPr>
        <xdr:cNvSpPr/>
      </xdr:nvSpPr>
      <xdr:spPr>
        <a:xfrm>
          <a:off x="0" y="0"/>
          <a:ext cx="1447800" cy="649986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solidFill>
              <a:schemeClr val="tx2"/>
            </a:solidFill>
          </a:endParaRPr>
        </a:p>
      </xdr:txBody>
    </xdr:sp>
    <xdr:clientData/>
  </xdr:twoCellAnchor>
  <xdr:twoCellAnchor>
    <xdr:from>
      <xdr:col>2</xdr:col>
      <xdr:colOff>83820</xdr:colOff>
      <xdr:row>0</xdr:row>
      <xdr:rowOff>0</xdr:rowOff>
    </xdr:from>
    <xdr:to>
      <xdr:col>26</xdr:col>
      <xdr:colOff>160020</xdr:colOff>
      <xdr:row>35</xdr:row>
      <xdr:rowOff>99060</xdr:rowOff>
    </xdr:to>
    <xdr:sp macro="" textlink="">
      <xdr:nvSpPr>
        <xdr:cNvPr id="7" name="Rectangle 6">
          <a:extLst>
            <a:ext uri="{FF2B5EF4-FFF2-40B4-BE49-F238E27FC236}">
              <a16:creationId xmlns:a16="http://schemas.microsoft.com/office/drawing/2014/main" id="{BA0D5BE1-1356-4496-BCD4-D10A9C8A7BE7}"/>
            </a:ext>
          </a:extLst>
        </xdr:cNvPr>
        <xdr:cNvSpPr/>
      </xdr:nvSpPr>
      <xdr:spPr>
        <a:xfrm>
          <a:off x="1303020" y="0"/>
          <a:ext cx="14325600" cy="649986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205740</xdr:colOff>
      <xdr:row>1</xdr:row>
      <xdr:rowOff>91440</xdr:rowOff>
    </xdr:from>
    <xdr:to>
      <xdr:col>3</xdr:col>
      <xdr:colOff>129540</xdr:colOff>
      <xdr:row>31</xdr:row>
      <xdr:rowOff>30480</xdr:rowOff>
    </xdr:to>
    <xdr:sp macro="" textlink="">
      <xdr:nvSpPr>
        <xdr:cNvPr id="8" name="Rectangle 7">
          <a:extLst>
            <a:ext uri="{FF2B5EF4-FFF2-40B4-BE49-F238E27FC236}">
              <a16:creationId xmlns:a16="http://schemas.microsoft.com/office/drawing/2014/main" id="{10FE6304-F56D-F9A2-20A7-708EE1D829DC}"/>
            </a:ext>
          </a:extLst>
        </xdr:cNvPr>
        <xdr:cNvSpPr/>
      </xdr:nvSpPr>
      <xdr:spPr>
        <a:xfrm>
          <a:off x="205740" y="274320"/>
          <a:ext cx="1752600" cy="54254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br>
            <a:rPr lang="en-IN" sz="1400" b="1" cap="none" spc="0">
              <a:ln>
                <a:noFill/>
              </a:ln>
              <a:solidFill>
                <a:schemeClr val="bg1"/>
              </a:solidFill>
              <a:effectLst/>
            </a:rPr>
          </a:br>
          <a:endParaRPr lang="en-IN" sz="1400" b="1" cap="none" spc="0">
            <a:ln>
              <a:noFill/>
            </a:ln>
            <a:solidFill>
              <a:schemeClr val="bg1"/>
            </a:solidFill>
            <a:effectLst/>
          </a:endParaRPr>
        </a:p>
        <a:p>
          <a:pPr algn="l"/>
          <a:endParaRPr lang="en-IN" sz="1400" b="1" cap="none" spc="0">
            <a:ln>
              <a:noFill/>
            </a:ln>
            <a:solidFill>
              <a:schemeClr val="bg1"/>
            </a:solidFill>
            <a:effectLst/>
          </a:endParaRPr>
        </a:p>
      </xdr:txBody>
    </xdr:sp>
    <xdr:clientData/>
  </xdr:twoCellAnchor>
  <xdr:twoCellAnchor>
    <xdr:from>
      <xdr:col>0</xdr:col>
      <xdr:colOff>106680</xdr:colOff>
      <xdr:row>0</xdr:row>
      <xdr:rowOff>22860</xdr:rowOff>
    </xdr:from>
    <xdr:to>
      <xdr:col>2</xdr:col>
      <xdr:colOff>350520</xdr:colOff>
      <xdr:row>1</xdr:row>
      <xdr:rowOff>7620</xdr:rowOff>
    </xdr:to>
    <xdr:sp macro="" textlink="">
      <xdr:nvSpPr>
        <xdr:cNvPr id="9" name="TextBox 8">
          <a:extLst>
            <a:ext uri="{FF2B5EF4-FFF2-40B4-BE49-F238E27FC236}">
              <a16:creationId xmlns:a16="http://schemas.microsoft.com/office/drawing/2014/main" id="{51A14356-BB7F-4B80-2ABC-F9397A70310F}"/>
            </a:ext>
          </a:extLst>
        </xdr:cNvPr>
        <xdr:cNvSpPr txBox="1"/>
      </xdr:nvSpPr>
      <xdr:spPr>
        <a:xfrm>
          <a:off x="106680" y="22860"/>
          <a:ext cx="1463040" cy="1676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a:noFill/>
              </a:ln>
              <a:solidFill>
                <a:schemeClr val="tx2"/>
              </a:solidFill>
              <a:effectLst/>
            </a:rPr>
            <a:t>👕 Quantity</a:t>
          </a:r>
        </a:p>
      </xdr:txBody>
    </xdr:sp>
    <xdr:clientData/>
  </xdr:twoCellAnchor>
  <xdr:twoCellAnchor>
    <xdr:from>
      <xdr:col>0</xdr:col>
      <xdr:colOff>106680</xdr:colOff>
      <xdr:row>2</xdr:row>
      <xdr:rowOff>145826</xdr:rowOff>
    </xdr:from>
    <xdr:to>
      <xdr:col>1</xdr:col>
      <xdr:colOff>510540</xdr:colOff>
      <xdr:row>3</xdr:row>
      <xdr:rowOff>130586</xdr:rowOff>
    </xdr:to>
    <xdr:sp macro="" textlink="">
      <xdr:nvSpPr>
        <xdr:cNvPr id="10" name="TextBox 9">
          <a:extLst>
            <a:ext uri="{FF2B5EF4-FFF2-40B4-BE49-F238E27FC236}">
              <a16:creationId xmlns:a16="http://schemas.microsoft.com/office/drawing/2014/main" id="{C8CFD342-5288-49CF-8B67-D28B883EE00E}"/>
            </a:ext>
          </a:extLst>
        </xdr:cNvPr>
        <xdr:cNvSpPr txBox="1"/>
      </xdr:nvSpPr>
      <xdr:spPr>
        <a:xfrm>
          <a:off x="106680" y="511586"/>
          <a:ext cx="1013460" cy="1676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a:noFill/>
              </a:ln>
              <a:solidFill>
                <a:schemeClr val="tx2"/>
              </a:solidFill>
              <a:effectLst/>
            </a:rPr>
            <a:t>💰 Amount</a:t>
          </a:r>
        </a:p>
      </xdr:txBody>
    </xdr:sp>
    <xdr:clientData/>
  </xdr:twoCellAnchor>
  <xdr:twoCellAnchor>
    <xdr:from>
      <xdr:col>0</xdr:col>
      <xdr:colOff>129540</xdr:colOff>
      <xdr:row>5</xdr:row>
      <xdr:rowOff>113777</xdr:rowOff>
    </xdr:from>
    <xdr:to>
      <xdr:col>1</xdr:col>
      <xdr:colOff>533400</xdr:colOff>
      <xdr:row>6</xdr:row>
      <xdr:rowOff>129017</xdr:rowOff>
    </xdr:to>
    <xdr:sp macro="" textlink="">
      <xdr:nvSpPr>
        <xdr:cNvPr id="11" name="TextBox 10">
          <a:extLst>
            <a:ext uri="{FF2B5EF4-FFF2-40B4-BE49-F238E27FC236}">
              <a16:creationId xmlns:a16="http://schemas.microsoft.com/office/drawing/2014/main" id="{75076587-E7AA-4DB5-A7F8-9964D1AB4A90}"/>
            </a:ext>
          </a:extLst>
        </xdr:cNvPr>
        <xdr:cNvSpPr txBox="1"/>
      </xdr:nvSpPr>
      <xdr:spPr>
        <a:xfrm>
          <a:off x="129540" y="1028177"/>
          <a:ext cx="1013460" cy="1981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a:solidFill>
                <a:schemeClr val="tx2"/>
              </a:solidFill>
              <a:effectLst/>
              <a:latin typeface="+mn-lt"/>
              <a:ea typeface="+mn-ea"/>
              <a:cs typeface="+mn-cs"/>
            </a:rPr>
            <a:t>🛒 </a:t>
          </a:r>
          <a:r>
            <a:rPr lang="en-IN" sz="1000" b="1" cap="none" spc="0">
              <a:ln>
                <a:noFill/>
              </a:ln>
              <a:solidFill>
                <a:schemeClr val="tx2"/>
              </a:solidFill>
              <a:effectLst/>
            </a:rPr>
            <a:t>Orders</a:t>
          </a:r>
        </a:p>
      </xdr:txBody>
    </xdr:sp>
    <xdr:clientData/>
  </xdr:twoCellAnchor>
  <xdr:twoCellAnchor>
    <xdr:from>
      <xdr:col>0</xdr:col>
      <xdr:colOff>114300</xdr:colOff>
      <xdr:row>8</xdr:row>
      <xdr:rowOff>30480</xdr:rowOff>
    </xdr:from>
    <xdr:to>
      <xdr:col>1</xdr:col>
      <xdr:colOff>342900</xdr:colOff>
      <xdr:row>9</xdr:row>
      <xdr:rowOff>53340</xdr:rowOff>
    </xdr:to>
    <xdr:sp macro="" textlink="">
      <xdr:nvSpPr>
        <xdr:cNvPr id="12" name="TextBox 11">
          <a:extLst>
            <a:ext uri="{FF2B5EF4-FFF2-40B4-BE49-F238E27FC236}">
              <a16:creationId xmlns:a16="http://schemas.microsoft.com/office/drawing/2014/main" id="{F61F2049-625B-46C2-9B4C-73458E01A04E}"/>
            </a:ext>
          </a:extLst>
        </xdr:cNvPr>
        <xdr:cNvSpPr txBox="1"/>
      </xdr:nvSpPr>
      <xdr:spPr>
        <a:xfrm>
          <a:off x="114300" y="1493520"/>
          <a:ext cx="838200" cy="2057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a:noFill/>
              </a:ln>
              <a:solidFill>
                <a:schemeClr val="tx2"/>
              </a:solidFill>
              <a:effectLst/>
            </a:rPr>
            <a:t>⭐ Rating</a:t>
          </a:r>
        </a:p>
      </xdr:txBody>
    </xdr:sp>
    <xdr:clientData/>
  </xdr:twoCellAnchor>
  <xdr:twoCellAnchor>
    <xdr:from>
      <xdr:col>0</xdr:col>
      <xdr:colOff>53340</xdr:colOff>
      <xdr:row>10</xdr:row>
      <xdr:rowOff>0</xdr:rowOff>
    </xdr:from>
    <xdr:to>
      <xdr:col>2</xdr:col>
      <xdr:colOff>190500</xdr:colOff>
      <xdr:row>11</xdr:row>
      <xdr:rowOff>129539</xdr:rowOff>
    </xdr:to>
    <xdr:sp macro="" textlink="">
      <xdr:nvSpPr>
        <xdr:cNvPr id="13" name="TextBox 12">
          <a:extLst>
            <a:ext uri="{FF2B5EF4-FFF2-40B4-BE49-F238E27FC236}">
              <a16:creationId xmlns:a16="http://schemas.microsoft.com/office/drawing/2014/main" id="{BD3A3F38-C5C9-46D9-80C2-C58CA985F2CD}"/>
            </a:ext>
          </a:extLst>
        </xdr:cNvPr>
        <xdr:cNvSpPr txBox="1"/>
      </xdr:nvSpPr>
      <xdr:spPr>
        <a:xfrm>
          <a:off x="53340" y="1828800"/>
          <a:ext cx="1356360" cy="31241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00" b="1" cap="none" spc="0">
              <a:ln>
                <a:noFill/>
              </a:ln>
              <a:solidFill>
                <a:schemeClr val="tx2"/>
              </a:solidFill>
              <a:effectLst/>
            </a:rPr>
            <a:t>📅 Days of deliver</a:t>
          </a:r>
        </a:p>
      </xdr:txBody>
    </xdr:sp>
    <xdr:clientData/>
  </xdr:twoCellAnchor>
  <xdr:twoCellAnchor>
    <xdr:from>
      <xdr:col>0</xdr:col>
      <xdr:colOff>335280</xdr:colOff>
      <xdr:row>0</xdr:row>
      <xdr:rowOff>144780</xdr:rowOff>
    </xdr:from>
    <xdr:to>
      <xdr:col>2</xdr:col>
      <xdr:colOff>230963</xdr:colOff>
      <xdr:row>2</xdr:row>
      <xdr:rowOff>160543</xdr:rowOff>
    </xdr:to>
    <xdr:sp macro="" textlink="Pivots!I4">
      <xdr:nvSpPr>
        <xdr:cNvPr id="14" name="TextBox 13">
          <a:extLst>
            <a:ext uri="{FF2B5EF4-FFF2-40B4-BE49-F238E27FC236}">
              <a16:creationId xmlns:a16="http://schemas.microsoft.com/office/drawing/2014/main" id="{B63CF106-D19F-4D16-B663-B9612E30E16F}"/>
            </a:ext>
          </a:extLst>
        </xdr:cNvPr>
        <xdr:cNvSpPr txBox="1"/>
      </xdr:nvSpPr>
      <xdr:spPr>
        <a:xfrm>
          <a:off x="335280" y="144780"/>
          <a:ext cx="1114883" cy="3815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88BBD90-4252-40A7-BE92-BD099830E31E}" type="TxLink">
            <a:rPr lang="en-US" sz="1000" b="0" i="0" u="none" strike="noStrike"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latin typeface="Aptos Narrow"/>
            </a:rPr>
            <a:pPr algn="l"/>
            <a:t>11,997</a:t>
          </a:fld>
          <a:endParaRPr lang="en-IN" sz="1000" b="0"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endParaRPr>
        </a:p>
      </xdr:txBody>
    </xdr:sp>
    <xdr:clientData/>
  </xdr:twoCellAnchor>
  <xdr:twoCellAnchor>
    <xdr:from>
      <xdr:col>0</xdr:col>
      <xdr:colOff>251460</xdr:colOff>
      <xdr:row>3</xdr:row>
      <xdr:rowOff>130586</xdr:rowOff>
    </xdr:from>
    <xdr:to>
      <xdr:col>1</xdr:col>
      <xdr:colOff>571500</xdr:colOff>
      <xdr:row>5</xdr:row>
      <xdr:rowOff>130586</xdr:rowOff>
    </xdr:to>
    <xdr:sp macro="" textlink="Pivots!H4">
      <xdr:nvSpPr>
        <xdr:cNvPr id="15" name="TextBox 14">
          <a:extLst>
            <a:ext uri="{FF2B5EF4-FFF2-40B4-BE49-F238E27FC236}">
              <a16:creationId xmlns:a16="http://schemas.microsoft.com/office/drawing/2014/main" id="{45DE27C8-9B29-45A1-B76D-3AFA42D28820}"/>
            </a:ext>
          </a:extLst>
        </xdr:cNvPr>
        <xdr:cNvSpPr txBox="1"/>
      </xdr:nvSpPr>
      <xdr:spPr>
        <a:xfrm>
          <a:off x="251460" y="679226"/>
          <a:ext cx="929640" cy="36576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14EC6FC-C008-4FB3-9D2B-97B52322312E}" type="TxLink">
            <a:rPr lang="en-US" sz="1000" b="0" i="0" u="none" strike="noStrike"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latin typeface="Aptos Narrow"/>
            </a:rPr>
            <a:pPr algn="l"/>
            <a:t>$,649.0K</a:t>
          </a:fld>
          <a:endParaRPr lang="en-IN" sz="1000" b="0"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endParaRPr>
        </a:p>
      </xdr:txBody>
    </xdr:sp>
    <xdr:clientData/>
  </xdr:twoCellAnchor>
  <xdr:twoCellAnchor>
    <xdr:from>
      <xdr:col>0</xdr:col>
      <xdr:colOff>335280</xdr:colOff>
      <xdr:row>6</xdr:row>
      <xdr:rowOff>38100</xdr:rowOff>
    </xdr:from>
    <xdr:to>
      <xdr:col>1</xdr:col>
      <xdr:colOff>335280</xdr:colOff>
      <xdr:row>8</xdr:row>
      <xdr:rowOff>53863</xdr:rowOff>
    </xdr:to>
    <xdr:sp macro="" textlink="Pivots!G4">
      <xdr:nvSpPr>
        <xdr:cNvPr id="16" name="TextBox 15">
          <a:extLst>
            <a:ext uri="{FF2B5EF4-FFF2-40B4-BE49-F238E27FC236}">
              <a16:creationId xmlns:a16="http://schemas.microsoft.com/office/drawing/2014/main" id="{CB164C2A-B898-4546-8F95-4D37DC8EE3B9}"/>
            </a:ext>
          </a:extLst>
        </xdr:cNvPr>
        <xdr:cNvSpPr txBox="1"/>
      </xdr:nvSpPr>
      <xdr:spPr>
        <a:xfrm>
          <a:off x="335280" y="1135380"/>
          <a:ext cx="609600" cy="3815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558221-7CED-440F-B49D-482A6DF672A8}" type="TxLink">
            <a:rPr lang="en-US" sz="1000" b="0" i="0" u="none" strike="noStrike"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latin typeface="Aptos Narrow"/>
            </a:rPr>
            <a:pPr algn="l"/>
            <a:t>2,400</a:t>
          </a:fld>
          <a:endParaRPr lang="en-IN" sz="1000" b="0"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endParaRPr>
        </a:p>
      </xdr:txBody>
    </xdr:sp>
    <xdr:clientData/>
  </xdr:twoCellAnchor>
  <xdr:twoCellAnchor>
    <xdr:from>
      <xdr:col>0</xdr:col>
      <xdr:colOff>389394</xdr:colOff>
      <xdr:row>8</xdr:row>
      <xdr:rowOff>144780</xdr:rowOff>
    </xdr:from>
    <xdr:to>
      <xdr:col>2</xdr:col>
      <xdr:colOff>213360</xdr:colOff>
      <xdr:row>10</xdr:row>
      <xdr:rowOff>160543</xdr:rowOff>
    </xdr:to>
    <xdr:sp macro="" textlink="Pivots!K4">
      <xdr:nvSpPr>
        <xdr:cNvPr id="17" name="TextBox 16">
          <a:extLst>
            <a:ext uri="{FF2B5EF4-FFF2-40B4-BE49-F238E27FC236}">
              <a16:creationId xmlns:a16="http://schemas.microsoft.com/office/drawing/2014/main" id="{BC53EEE8-7FFB-423F-8891-F81AD098735D}"/>
            </a:ext>
          </a:extLst>
        </xdr:cNvPr>
        <xdr:cNvSpPr txBox="1"/>
      </xdr:nvSpPr>
      <xdr:spPr>
        <a:xfrm>
          <a:off x="389394" y="1607820"/>
          <a:ext cx="1043166" cy="3815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A51471-898F-41B4-B258-CB5B0A23C35D}" type="TxLink">
            <a:rPr lang="en-US" sz="1000" b="0" i="0" u="none" strike="noStrike"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latin typeface="Aptos Narrow"/>
            </a:rPr>
            <a:pPr algn="l"/>
            <a:t>4.0</a:t>
          </a:fld>
          <a:endParaRPr lang="en-IN" sz="1000" b="0"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endParaRPr>
        </a:p>
      </xdr:txBody>
    </xdr:sp>
    <xdr:clientData/>
  </xdr:twoCellAnchor>
  <xdr:twoCellAnchor>
    <xdr:from>
      <xdr:col>0</xdr:col>
      <xdr:colOff>389394</xdr:colOff>
      <xdr:row>11</xdr:row>
      <xdr:rowOff>0</xdr:rowOff>
    </xdr:from>
    <xdr:to>
      <xdr:col>1</xdr:col>
      <xdr:colOff>389394</xdr:colOff>
      <xdr:row>12</xdr:row>
      <xdr:rowOff>114300</xdr:rowOff>
    </xdr:to>
    <xdr:sp macro="" textlink="Pivots!J4">
      <xdr:nvSpPr>
        <xdr:cNvPr id="18" name="TextBox 17">
          <a:extLst>
            <a:ext uri="{FF2B5EF4-FFF2-40B4-BE49-F238E27FC236}">
              <a16:creationId xmlns:a16="http://schemas.microsoft.com/office/drawing/2014/main" id="{4247B049-2A84-4094-9F68-CDC4512D0002}"/>
            </a:ext>
          </a:extLst>
        </xdr:cNvPr>
        <xdr:cNvSpPr txBox="1"/>
      </xdr:nvSpPr>
      <xdr:spPr>
        <a:xfrm>
          <a:off x="389394" y="2011680"/>
          <a:ext cx="609600" cy="29718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922DB6D-F4E2-46A1-80C6-CB10F6C192A5}" type="TxLink">
            <a:rPr lang="en-US" sz="1000" b="0" i="0" u="none" strike="noStrike"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latin typeface="Aptos Narrow"/>
            </a:rPr>
            <a:pPr algn="l"/>
            <a:t>2.3</a:t>
          </a:fld>
          <a:endParaRPr lang="en-IN" sz="1000" b="0" cap="none" spc="0">
            <a:ln w="0">
              <a:solidFill>
                <a:schemeClr val="accent1">
                  <a:lumMod val="75000"/>
                </a:schemeClr>
              </a:solidFill>
            </a:ln>
            <a:solidFill>
              <a:schemeClr val="accent1">
                <a:lumMod val="75000"/>
              </a:schemeClr>
            </a:solidFill>
            <a:effectLst>
              <a:reflection blurRad="6350" stA="53000" endA="300" endPos="35500" dir="5400000" sy="-90000" algn="bl" rotWithShape="0"/>
            </a:effectLst>
          </a:endParaRPr>
        </a:p>
      </xdr:txBody>
    </xdr:sp>
    <xdr:clientData/>
  </xdr:twoCellAnchor>
  <xdr:twoCellAnchor>
    <xdr:from>
      <xdr:col>2</xdr:col>
      <xdr:colOff>228600</xdr:colOff>
      <xdr:row>0</xdr:row>
      <xdr:rowOff>106680</xdr:rowOff>
    </xdr:from>
    <xdr:to>
      <xdr:col>9</xdr:col>
      <xdr:colOff>91440</xdr:colOff>
      <xdr:row>16</xdr:row>
      <xdr:rowOff>38100</xdr:rowOff>
    </xdr:to>
    <xdr:graphicFrame macro="">
      <xdr:nvGraphicFramePr>
        <xdr:cNvPr id="19" name="Chart 18">
          <a:extLst>
            <a:ext uri="{FF2B5EF4-FFF2-40B4-BE49-F238E27FC236}">
              <a16:creationId xmlns:a16="http://schemas.microsoft.com/office/drawing/2014/main" id="{1517CDC4-01F6-4639-970A-F360E83E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198437</xdr:colOff>
      <xdr:row>0</xdr:row>
      <xdr:rowOff>95249</xdr:rowOff>
    </xdr:from>
    <xdr:to>
      <xdr:col>22</xdr:col>
      <xdr:colOff>428625</xdr:colOff>
      <xdr:row>8</xdr:row>
      <xdr:rowOff>141922</xdr:rowOff>
    </xdr:to>
    <xdr:graphicFrame macro="">
      <xdr:nvGraphicFramePr>
        <xdr:cNvPr id="28" name="Chart 27">
          <a:extLst>
            <a:ext uri="{FF2B5EF4-FFF2-40B4-BE49-F238E27FC236}">
              <a16:creationId xmlns:a16="http://schemas.microsoft.com/office/drawing/2014/main" id="{3BD307A1-8D39-4D89-8C5F-EBDEF0018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230963</xdr:colOff>
      <xdr:row>17</xdr:row>
      <xdr:rowOff>0</xdr:rowOff>
    </xdr:from>
    <xdr:to>
      <xdr:col>9</xdr:col>
      <xdr:colOff>93803</xdr:colOff>
      <xdr:row>31</xdr:row>
      <xdr:rowOff>114300</xdr:rowOff>
    </xdr:to>
    <xdr:graphicFrame macro="">
      <xdr:nvGraphicFramePr>
        <xdr:cNvPr id="29" name="Chart 28">
          <a:extLst>
            <a:ext uri="{FF2B5EF4-FFF2-40B4-BE49-F238E27FC236}">
              <a16:creationId xmlns:a16="http://schemas.microsoft.com/office/drawing/2014/main" id="{F696D905-B28E-4E18-AA20-ED3BC9F84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260668</xdr:colOff>
      <xdr:row>23</xdr:row>
      <xdr:rowOff>0</xdr:rowOff>
    </xdr:from>
    <xdr:to>
      <xdr:col>7</xdr:col>
      <xdr:colOff>0</xdr:colOff>
      <xdr:row>30</xdr:row>
      <xdr:rowOff>136843</xdr:rowOff>
    </xdr:to>
    <xdr:graphicFrame macro="">
      <xdr:nvGraphicFramePr>
        <xdr:cNvPr id="30" name="Chart 29">
          <a:extLst>
            <a:ext uri="{FF2B5EF4-FFF2-40B4-BE49-F238E27FC236}">
              <a16:creationId xmlns:a16="http://schemas.microsoft.com/office/drawing/2014/main" id="{0984E454-217E-4273-AC58-DE8B6A747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258501</xdr:colOff>
      <xdr:row>0</xdr:row>
      <xdr:rowOff>135778</xdr:rowOff>
    </xdr:from>
    <xdr:to>
      <xdr:col>16</xdr:col>
      <xdr:colOff>587749</xdr:colOff>
      <xdr:row>10</xdr:row>
      <xdr:rowOff>120538</xdr:rowOff>
    </xdr:to>
    <xdr:grpSp>
      <xdr:nvGrpSpPr>
        <xdr:cNvPr id="32" name="Group 31">
          <a:extLst>
            <a:ext uri="{FF2B5EF4-FFF2-40B4-BE49-F238E27FC236}">
              <a16:creationId xmlns:a16="http://schemas.microsoft.com/office/drawing/2014/main" id="{5440F2CB-75C9-5059-407C-098C23748021}"/>
            </a:ext>
          </a:extLst>
        </xdr:cNvPr>
        <xdr:cNvGrpSpPr/>
      </xdr:nvGrpSpPr>
      <xdr:grpSpPr>
        <a:xfrm>
          <a:off x="5744901" y="135778"/>
          <a:ext cx="4596448" cy="1813560"/>
          <a:chOff x="7216140" y="3162300"/>
          <a:chExt cx="4785360" cy="1813560"/>
        </a:xfrm>
      </xdr:grpSpPr>
      <xdr:sp macro="" textlink="">
        <xdr:nvSpPr>
          <xdr:cNvPr id="31" name="Rectangle 30">
            <a:extLst>
              <a:ext uri="{FF2B5EF4-FFF2-40B4-BE49-F238E27FC236}">
                <a16:creationId xmlns:a16="http://schemas.microsoft.com/office/drawing/2014/main" id="{4372A53E-96D5-7A90-1598-30E794F755BE}"/>
              </a:ext>
            </a:extLst>
          </xdr:cNvPr>
          <xdr:cNvSpPr/>
        </xdr:nvSpPr>
        <xdr:spPr>
          <a:xfrm>
            <a:off x="7216140" y="3162300"/>
            <a:ext cx="4785360" cy="18135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D5B43826-DB9A-7860-06D0-DFD71EDA3689}"/>
                  </a:ext>
                </a:extLst>
              </xdr:cNvPr>
              <xdr:cNvPicPr>
                <a:picLocks noChangeAspect="1" noChangeArrowheads="1"/>
                <a:extLst>
                  <a:ext uri="{84589F7E-364E-4C9E-8A38-B11213B215E9}">
                    <a14:cameraTool cellRange="'Pivot 2'!$H$4:$M$9" spid="_x0000_s1057"/>
                  </a:ext>
                </a:extLst>
              </xdr:cNvPicPr>
            </xdr:nvPicPr>
            <xdr:blipFill>
              <a:blip xmlns:r="http://schemas.openxmlformats.org/officeDocument/2006/relationships" r:embed="rId5"/>
              <a:srcRect/>
              <a:stretch>
                <a:fillRect/>
              </a:stretch>
            </xdr:blipFill>
            <xdr:spPr bwMode="auto">
              <a:xfrm>
                <a:off x="7368540" y="3421380"/>
                <a:ext cx="4442460" cy="151638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9</xdr:col>
      <xdr:colOff>238499</xdr:colOff>
      <xdr:row>11</xdr:row>
      <xdr:rowOff>129539</xdr:rowOff>
    </xdr:from>
    <xdr:to>
      <xdr:col>16</xdr:col>
      <xdr:colOff>590570</xdr:colOff>
      <xdr:row>31</xdr:row>
      <xdr:rowOff>137159</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263D0F40-263F-4060-94AA-1D444831A7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724899" y="2141219"/>
              <a:ext cx="4619271" cy="3665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294314</xdr:colOff>
      <xdr:row>13</xdr:row>
      <xdr:rowOff>155799</xdr:rowOff>
    </xdr:from>
    <xdr:to>
      <xdr:col>16</xdr:col>
      <xdr:colOff>8311</xdr:colOff>
      <xdr:row>20</xdr:row>
      <xdr:rowOff>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6A0C9005-9AB6-4361-908F-6797988160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828714" y="2533239"/>
              <a:ext cx="933197" cy="11243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198437</xdr:colOff>
      <xdr:row>9</xdr:row>
      <xdr:rowOff>74818</xdr:rowOff>
    </xdr:from>
    <xdr:to>
      <xdr:col>22</xdr:col>
      <xdr:colOff>428625</xdr:colOff>
      <xdr:row>19</xdr:row>
      <xdr:rowOff>43815</xdr:rowOff>
    </xdr:to>
    <xdr:graphicFrame macro="">
      <xdr:nvGraphicFramePr>
        <xdr:cNvPr id="35" name="Chart 34">
          <a:extLst>
            <a:ext uri="{FF2B5EF4-FFF2-40B4-BE49-F238E27FC236}">
              <a16:creationId xmlns:a16="http://schemas.microsoft.com/office/drawing/2014/main" id="{F4C9012C-1D8A-4EC2-9808-E537E9B1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198437</xdr:colOff>
      <xdr:row>19</xdr:row>
      <xdr:rowOff>173069</xdr:rowOff>
    </xdr:from>
    <xdr:to>
      <xdr:col>22</xdr:col>
      <xdr:colOff>428625</xdr:colOff>
      <xdr:row>31</xdr:row>
      <xdr:rowOff>114300</xdr:rowOff>
    </xdr:to>
    <xdr:graphicFrame macro="">
      <xdr:nvGraphicFramePr>
        <xdr:cNvPr id="36" name="Chart 35">
          <a:extLst>
            <a:ext uri="{FF2B5EF4-FFF2-40B4-BE49-F238E27FC236}">
              <a16:creationId xmlns:a16="http://schemas.microsoft.com/office/drawing/2014/main" id="{DA1BB13E-2F33-4C49-802F-D3CD10C1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106680</xdr:colOff>
      <xdr:row>12</xdr:row>
      <xdr:rowOff>106680</xdr:rowOff>
    </xdr:from>
    <xdr:to>
      <xdr:col>1</xdr:col>
      <xdr:colOff>586740</xdr:colOff>
      <xdr:row>21</xdr:row>
      <xdr:rowOff>0</xdr:rowOff>
    </xdr:to>
    <mc:AlternateContent xmlns:mc="http://schemas.openxmlformats.org/markup-compatibility/2006" xmlns:a14="http://schemas.microsoft.com/office/drawing/2010/main">
      <mc:Choice Requires="a14">
        <xdr:graphicFrame macro="">
          <xdr:nvGraphicFramePr>
            <xdr:cNvPr id="37" name="Gender Value">
              <a:extLst>
                <a:ext uri="{FF2B5EF4-FFF2-40B4-BE49-F238E27FC236}">
                  <a16:creationId xmlns:a16="http://schemas.microsoft.com/office/drawing/2014/main" id="{942AC01B-85FA-4772-82A7-C5400AF7FDC9}"/>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6680" y="2301240"/>
              <a:ext cx="108966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21</xdr:row>
      <xdr:rowOff>129540</xdr:rowOff>
    </xdr:from>
    <xdr:to>
      <xdr:col>1</xdr:col>
      <xdr:colOff>594360</xdr:colOff>
      <xdr:row>31</xdr:row>
      <xdr:rowOff>114300</xdr:rowOff>
    </xdr:to>
    <mc:AlternateContent xmlns:mc="http://schemas.openxmlformats.org/markup-compatibility/2006" xmlns:a14="http://schemas.microsoft.com/office/drawing/2010/main">
      <mc:Choice Requires="a14">
        <xdr:graphicFrame macro="">
          <xdr:nvGraphicFramePr>
            <xdr:cNvPr id="38" name="Order Mode">
              <a:extLst>
                <a:ext uri="{FF2B5EF4-FFF2-40B4-BE49-F238E27FC236}">
                  <a16:creationId xmlns:a16="http://schemas.microsoft.com/office/drawing/2014/main" id="{968D082A-99C5-4B99-A4A6-79876822004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14300" y="3970020"/>
              <a:ext cx="108966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xdr:row>
      <xdr:rowOff>11429</xdr:rowOff>
    </xdr:from>
    <xdr:to>
      <xdr:col>15</xdr:col>
      <xdr:colOff>0</xdr:colOff>
      <xdr:row>1</xdr:row>
      <xdr:rowOff>178752</xdr:rowOff>
    </xdr:to>
    <xdr:sp macro="" textlink="">
      <xdr:nvSpPr>
        <xdr:cNvPr id="39" name="TextBox 38">
          <a:extLst>
            <a:ext uri="{FF2B5EF4-FFF2-40B4-BE49-F238E27FC236}">
              <a16:creationId xmlns:a16="http://schemas.microsoft.com/office/drawing/2014/main" id="{63F0137E-69B9-61BF-CD83-25EA6A8CCC72}"/>
            </a:ext>
          </a:extLst>
        </xdr:cNvPr>
        <xdr:cNvSpPr txBox="1"/>
      </xdr:nvSpPr>
      <xdr:spPr>
        <a:xfrm>
          <a:off x="7334250" y="193992"/>
          <a:ext cx="1833563" cy="16732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1">
              <a:solidFill>
                <a:schemeClr val="tx1">
                  <a:lumMod val="50000"/>
                  <a:lumOff val="50000"/>
                </a:schemeClr>
              </a:solidFill>
            </a:rPr>
            <a:t>How they like to buy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aya laxme" refreshedDate="46271.671480324076" createdVersion="8" refreshedVersion="8" minRefreshableVersion="3" recordCount="2400" xr:uid="{4230D51C-B3FB-4613-AD37-FA6D480F10FD}">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ount="4">
        <s v="Unknown"/>
        <s v="Male"/>
        <s v="Female"/>
        <s v="Oth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752630092589" backgroundQuery="1" createdVersion="8" refreshedVersion="8" minRefreshableVersion="3" recordCount="0" supportSubquery="1" supportAdvancedDrill="1" xr:uid="{B004FC87-5AE7-4FA5-A596-CF851BCC8AC8}">
  <cacheSource type="external" connectionId="1"/>
  <cacheFields count="5">
    <cacheField name="[Measures].[Sum of Quantity]" caption="Sum of Quantity" numFmtId="0" hierarchy="20" level="32767"/>
    <cacheField name="[Measures].[Count of TX ID]" caption="Count of TX ID" numFmtId="0" hierarchy="21" level="32767"/>
    <cacheField name="[Measures].[Sum of Amount]" caption="Sum of Amount" numFmtId="0" hierarchy="24" level="32767"/>
    <cacheField name="[Measures].[Average of Days to Deliver]" caption="Average of Days to Deliver" numFmtId="0" hierarchy="25" level="32767"/>
    <cacheField name="[Measures].[Average of Rating C]" caption="Average of Rating C" numFmtId="0" hierarchy="26" level="32767"/>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oneField="1" hidden="1">
      <fieldsUsage count="1">
        <fieldUsage x="3"/>
      </fieldsUsage>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752635648147" backgroundQuery="1" createdVersion="8" refreshedVersion="8" minRefreshableVersion="3" recordCount="0" supportSubquery="1" supportAdvancedDrill="1" xr:uid="{4FFE7A03-1434-4805-A6E9-F67A60C327B8}">
  <cacheSource type="external" connectionId="1"/>
  <cacheFields count="3">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Gender Value].[Gender Value]" caption="Gender Value" numFmtId="0" hierarchy="14" level="1">
      <sharedItems count="4">
        <s v="Female"/>
        <s v="Male"/>
        <s v="Other"/>
        <s v="Unknown"/>
      </sharedItems>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49099305553" backgroundQuery="1" createdVersion="8" refreshedVersion="8" minRefreshableVersion="3" recordCount="0" supportSubquery="1" supportAdvancedDrill="1" xr:uid="{0D866509-8BC4-4406-A731-8675CE4F23E3}">
  <cacheSource type="external" connectionId="1"/>
  <cacheFields count="4">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Customer Gender].[Customer Gender]" caption="Customer Gender" numFmtId="0" hierarchy="7" level="1">
      <sharedItems count="4">
        <s v=""/>
        <s v="F"/>
        <s v="M"/>
        <s v="O"/>
      </sharedItems>
    </cacheField>
    <cacheField name="[orders].[Order Mode].[Order Mode]" caption="Order Mode" numFmtId="0" hierarchy="8"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2" memberValueDatatype="130" unbalanced="0">
      <fieldsUsage count="2">
        <fieldUsage x="-1"/>
        <fieldUsage x="2"/>
      </fieldsUsage>
    </cacheHierarchy>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50796643521" backgroundQuery="1" createdVersion="8" refreshedVersion="8" minRefreshableVersion="3" recordCount="0" supportSubquery="1" supportAdvancedDrill="1" xr:uid="{DCDCD33D-BDC1-483F-9C7E-C5F1DF94D6DF}">
  <cacheSource type="external" connectionId="1"/>
  <cacheFields count="4">
    <cacheField name="[Measures].[Count of TX ID]" caption="Count of TX ID" numFmtId="0" hierarchy="21" level="32767"/>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orders].[Order Date (Month)].[Order Date (Month)]" caption="Order Date (Month)" numFmtId="0" hierarchy="16" level="1">
      <sharedItems count="3">
        <s v="Jan"/>
        <s v="Feb"/>
        <s v="Mar"/>
      </sharedItems>
    </cacheField>
    <cacheField name="[orders].[Gender Value].[Gender Value]" caption="Gender Value" numFmtId="0" hierarchy="14"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2" memberValueDatatype="2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5079837963" backgroundQuery="1" createdVersion="8" refreshedVersion="8" minRefreshableVersion="3" recordCount="0" supportSubquery="1" supportAdvancedDrill="1" xr:uid="{5335B3E5-7908-42DC-AC17-21B0CCE9FC59}">
  <cacheSource type="external" connectionId="1"/>
  <cacheFields count="4">
    <cacheField name="[Measures].[Sum of Quantity]" caption="Sum of Quantity" numFmtId="0" hierarchy="20" level="32767"/>
    <cacheField name="[Measures].[Sum of Amount]" caption="Sum of Amount" numFmtId="0" hierarchy="24" level="32767"/>
    <cacheField name="[orders].[Weeknum].[Weeknum]" caption="Weeknum" numFmtId="0" hierarchy="13" level="1">
      <sharedItems containsSemiMixedTypes="0" containsString="0" containsNumber="1" containsInteger="1" minValue="1" maxValue="13" count="13">
        <n v="1"/>
        <n v="2"/>
        <n v="3"/>
        <n v="4"/>
        <n v="5"/>
        <n v="6"/>
        <n v="7"/>
        <n v="8"/>
        <n v="9"/>
        <n v="10"/>
        <n v="11"/>
        <n v="12"/>
        <n v="13"/>
      </sharedItems>
      <extLst>
        <ext xmlns:x15="http://schemas.microsoft.com/office/spreadsheetml/2010/11/main" uri="{4F2E5C28-24EA-4eb8-9CBF-B6C8F9C3D259}">
          <x15:cachedUniqueNames>
            <x15:cachedUniqueName index="0" name="[orders].[Weeknum].&amp;[1]"/>
            <x15:cachedUniqueName index="1" name="[orders].[Weeknum].&amp;[2]"/>
            <x15:cachedUniqueName index="2" name="[orders].[Weeknum].&amp;[3]"/>
            <x15:cachedUniqueName index="3" name="[orders].[Weeknum].&amp;[4]"/>
            <x15:cachedUniqueName index="4" name="[orders].[Weeknum].&amp;[5]"/>
            <x15:cachedUniqueName index="5" name="[orders].[Weeknum].&amp;[6]"/>
            <x15:cachedUniqueName index="6" name="[orders].[Weeknum].&amp;[7]"/>
            <x15:cachedUniqueName index="7" name="[orders].[Weeknum].&amp;[8]"/>
            <x15:cachedUniqueName index="8" name="[orders].[Weeknum].&amp;[9]"/>
            <x15:cachedUniqueName index="9" name="[orders].[Weeknum].&amp;[10]"/>
            <x15:cachedUniqueName index="10" name="[orders].[Weeknum].&amp;[11]"/>
            <x15:cachedUniqueName index="11" name="[orders].[Weeknum].&amp;[12]"/>
            <x15:cachedUniqueName index="12" name="[orders].[Weeknum].&amp;[13]"/>
          </x15:cachedUniqueNames>
        </ext>
      </extLst>
    </cacheField>
    <cacheField name="[orders].[Gender Value].[Gender Value]" caption="Gender Value" numFmtId="0" hierarchy="14"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2" memberValueDatatype="20" unbalanced="0">
      <fieldsUsage count="2">
        <fieldUsage x="-1"/>
        <fieldUsage x="2"/>
      </fieldsUsage>
    </cacheHierarchy>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3"/>
      </fieldsUsage>
    </cacheHierarchy>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508" backgroundQuery="1" createdVersion="8" refreshedVersion="8" minRefreshableVersion="3" recordCount="0" supportSubquery="1" supportAdvancedDrill="1" xr:uid="{A6B3B5A7-C4A1-42F7-8593-78B273335AC9}">
  <cacheSource type="external" connectionId="1"/>
  <cacheFields count="3">
    <cacheField name="[Measures].[Count of TX ID]" caption="Count of TX ID" numFmtId="0" hierarchy="21" level="32767"/>
    <cacheField name="[orders].[Days to Deliver].[Days to Deliver]" caption="Days to Deliver" numFmtId="0" hierarchy="12"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 index="10" name="[orders].[Days to Deliver].&amp;[10]"/>
            <x15:cachedUniqueName index="11" name="[orders].[Days to Deliver].&amp;[11]"/>
            <x15:cachedUniqueName index="12" name="[orders].[Days to Deliver].&amp;[12]"/>
            <x15:cachedUniqueName index="13" name="[orders].[Days to Deliver].&amp;[13]"/>
            <x15:cachedUniqueName index="14" name="[orders].[Days to Deliver].&amp;[14]"/>
          </x15:cachedUniqueNames>
        </ext>
      </extLst>
    </cacheField>
    <cacheField name="[orders].[Gender Value].[Gender Value]" caption="Gender Value" numFmtId="0" hierarchy="14"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1"/>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50801273147" backgroundQuery="1" createdVersion="8" refreshedVersion="8" minRefreshableVersion="3" recordCount="0" supportSubquery="1" supportAdvancedDrill="1" xr:uid="{FFC8B03C-C0C5-455E-9EC7-B00692E4804B}">
  <cacheSource type="external" connectionId="1"/>
  <cacheFields count="3">
    <cacheField name="[orders].[Qty Group].[Qty Group]" caption="Qty Group" numFmtId="0" hierarchy="15" level="1">
      <sharedItems count="4">
        <s v="1 to 5"/>
        <s v="11 to 16"/>
        <s v="6 to 10"/>
        <s v="Above 16"/>
      </sharedItems>
    </cacheField>
    <cacheField name="[Measures].[Sum of Quantity]" caption="Sum of Quantity" numFmtId="0" hierarchy="20" level="32767"/>
    <cacheField name="[orders].[Gender Value].[Gender Value]" caption="Gender Value" numFmtId="0" hierarchy="14"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Qty Group]" caption="Qty Group" attribute="1" defaultMemberUniqueName="[orders].[Qty Group].[All]" allUniqueName="[orders].[Qty Group].[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50802777779" backgroundQuery="1" createdVersion="8" refreshedVersion="8" minRefreshableVersion="3" recordCount="0" supportSubquery="1" supportAdvancedDrill="1" xr:uid="{18C2616D-F77B-4D06-A1EB-2C1C04BE79BF}">
  <cacheSource type="external" connectionId="1"/>
  <cacheFields count="6">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Measures].[Sum of Amount]" caption="Sum of Amount" numFmtId="0" hierarchy="24" level="32767"/>
    <cacheField name="[orders].[State].[State]" caption="State" numFmtId="0" hierarchy="10" level="1">
      <sharedItems count="1">
        <s v="California"/>
      </sharedItems>
    </cacheField>
    <cacheField name="[orders].[County].[County]" caption="County" numFmtId="0" hierarchy="11" level="1">
      <sharedItems count="58">
        <s v="Alameda County"/>
        <s v="Alpine County"/>
        <s v="Amador County"/>
        <s v="Butte County"/>
        <s v="Calaveras County"/>
        <s v="Colusa County"/>
        <s v="Contra Costa County"/>
        <s v="Del Norte County"/>
        <s v="El Dorado County"/>
        <s v="Fresno County"/>
        <s v="Glenn County"/>
        <s v="Humboldt County"/>
        <s v="Imperial County"/>
        <s v="Inyo County"/>
        <s v="Kern County"/>
        <s v="Kings County"/>
        <s v="Lake County"/>
        <s v="Lassen County"/>
        <s v="Los Angeles County"/>
        <s v="Madera County"/>
        <s v="Marin County"/>
        <s v="Mariposa County"/>
        <s v="Mendocino County"/>
        <s v="Merced County"/>
        <s v="Modoc County"/>
        <s v="Mono County"/>
        <s v="Monterey County"/>
        <s v="Napa County"/>
        <s v="Nevada County"/>
        <s v="Orange County"/>
        <s v="Placer County"/>
        <s v="Plumas County"/>
        <s v="Riverside County"/>
        <s v="Sacramento County"/>
        <s v="San Benito County"/>
        <s v="San Bernardino County"/>
        <s v="San Diego County"/>
        <s v="San Francisco"/>
        <s v="San Joaquin County"/>
        <s v="San Luis Obispo County"/>
        <s v="San Mateo County"/>
        <s v="Santa Barbara County"/>
        <s v="Santa Clara County"/>
        <s v="Santa Cruz County"/>
        <s v="Shasta County"/>
        <s v="Sierra County"/>
        <s v="Siskiyou County"/>
        <s v="Solano County"/>
        <s v="Sonoma County"/>
        <s v="Stanislaus County"/>
        <s v="Sutter County"/>
        <s v="Tehama County"/>
        <s v="Trinity County"/>
        <s v="Tulare County"/>
        <s v="Tuolumne County"/>
        <s v="Ventura County"/>
        <s v="Yolo County"/>
        <s v="Yuba County"/>
      </sharedItems>
    </cacheField>
    <cacheField name="[orders].[Gender Value].[Gender Value]" caption="Gender Value" numFmtId="0" hierarchy="14" level="1">
      <sharedItems containsSemiMixedTypes="0" containsNonDate="0" containsString="0"/>
    </cacheField>
  </cacheFields>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County]" caption="County" attribute="1" defaultMemberUniqueName="[orders].[County].[All]" allUniqueName="[orders].[County].[All]" dimensionUniqueName="[orders]" displayFolder="" count="2" memberValueDatatype="130" unbalanced="0">
      <fieldsUsage count="2">
        <fieldUsage x="-1"/>
        <fieldUsage x="4"/>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5"/>
      </fieldsUsage>
    </cacheHierarchy>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aya laxme" refreshedDate="46271.833616319447" backgroundQuery="1" createdVersion="3" refreshedVersion="8" minRefreshableVersion="3" recordCount="0" supportSubquery="1" supportAdvancedDrill="1" xr:uid="{288E2FE9-6D09-4E63-8B50-DDEEE39D8525}">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Qty Group]" caption="Qty Group" attribute="1" defaultMemberUniqueName="[orders].[Qty Group].[All]" allUniqueName="[orders].[Qty Group].[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Count of Qty Group]" caption="Count of Qty Group" measure="1" displayFolder="" measureGroup="orders" count="0" hidden="1">
      <extLst>
        <ext xmlns:x15="http://schemas.microsoft.com/office/spreadsheetml/2010/11/main" uri="{B97F6D7D-B522-45F9-BDA1-12C45D357490}">
          <x15:cacheHierarchy aggregatedColumn="15"/>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200448062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x v="0"/>
    <n v="4"/>
    <s v="California"/>
    <s v="Alpine County"/>
    <n v="5"/>
    <n v="1"/>
    <x v="0"/>
  </r>
  <r>
    <s v="TX500002"/>
    <s v="Tank Tops"/>
    <n v="2"/>
    <n v="30.6"/>
    <n v="61.2"/>
    <d v="2025-01-01T00:00:00"/>
    <d v="2025-01-03T00:00:00"/>
    <s v="M"/>
    <x v="0"/>
    <n v="4"/>
    <s v="California"/>
    <s v="Contra Costa County"/>
    <n v="2"/>
    <n v="1"/>
    <x v="1"/>
  </r>
  <r>
    <s v="TX500003"/>
    <s v="Sneakers"/>
    <n v="3"/>
    <n v="109.4"/>
    <n v="328.20000000000005"/>
    <d v="2025-01-01T00:00:00"/>
    <d v="2025-01-04T00:00:00"/>
    <s v="F"/>
    <x v="0"/>
    <n v="3"/>
    <s v="California"/>
    <s v="Fresno County"/>
    <n v="3"/>
    <n v="1"/>
    <x v="2"/>
  </r>
  <r>
    <s v="TX500004"/>
    <s v="Workout Tops"/>
    <n v="7"/>
    <n v="37.700000000000003"/>
    <n v="263.90000000000003"/>
    <d v="2025-01-01T00:00:00"/>
    <d v="2025-01-02T00:00:00"/>
    <s v="F"/>
    <x v="0"/>
    <n v="4"/>
    <s v="California"/>
    <s v="Fresno County"/>
    <n v="1"/>
    <n v="1"/>
    <x v="2"/>
  </r>
  <r>
    <s v="TX500005"/>
    <s v="Graphic Tees"/>
    <n v="3"/>
    <n v="56.7"/>
    <n v="170.10000000000002"/>
    <d v="2025-01-01T00:00:00"/>
    <d v="2025-01-04T00:00:00"/>
    <s v="F"/>
    <x v="0"/>
    <n v="5"/>
    <s v="California"/>
    <s v="Los Angeles County"/>
    <n v="3"/>
    <n v="1"/>
    <x v="2"/>
  </r>
  <r>
    <s v="TX500006"/>
    <s v="Tank Tops"/>
    <n v="12"/>
    <n v="83.5"/>
    <n v="1002"/>
    <d v="2025-01-01T00:00:00"/>
    <d v="2025-01-04T00:00:00"/>
    <s v="M"/>
    <x v="1"/>
    <n v="4"/>
    <s v="California"/>
    <s v="Los Angeles County"/>
    <n v="3"/>
    <n v="1"/>
    <x v="1"/>
  </r>
  <r>
    <s v="TX500007"/>
    <s v="Sandals"/>
    <n v="1"/>
    <n v="55.3"/>
    <n v="55.3"/>
    <d v="2025-01-01T00:00:00"/>
    <d v="2025-01-02T00:00:00"/>
    <s v="F"/>
    <x v="0"/>
    <n v="4"/>
    <s v="California"/>
    <s v="Los Angeles County"/>
    <n v="1"/>
    <n v="1"/>
    <x v="2"/>
  </r>
  <r>
    <s v="TX500008"/>
    <s v="Jeans"/>
    <n v="2"/>
    <n v="40.299999999999997"/>
    <n v="80.599999999999994"/>
    <d v="2025-01-01T00:00:00"/>
    <d v="2025-01-02T00:00:00"/>
    <s v="M"/>
    <x v="2"/>
    <n v="5"/>
    <s v="California"/>
    <s v="Los Angeles County"/>
    <n v="1"/>
    <n v="1"/>
    <x v="1"/>
  </r>
  <r>
    <s v="TX500009"/>
    <s v="Hoodies &amp; Sweatshirts"/>
    <n v="11"/>
    <n v="35.700000000000003"/>
    <n v="392.70000000000005"/>
    <d v="2025-01-01T00:00:00"/>
    <d v="2025-01-02T00:00:00"/>
    <s v="F"/>
    <x v="0"/>
    <n v="4"/>
    <s v="California"/>
    <s v="Los Angeles County"/>
    <n v="1"/>
    <n v="1"/>
    <x v="2"/>
  </r>
  <r>
    <s v="TX500010"/>
    <s v="T-Shirts"/>
    <n v="7"/>
    <n v="22.4"/>
    <n v="156.79999999999998"/>
    <d v="2025-01-01T00:00:00"/>
    <d v="2025-01-04T00:00:00"/>
    <s v="M"/>
    <x v="0"/>
    <n v="3"/>
    <s v="California"/>
    <s v="Los Angeles County"/>
    <n v="3"/>
    <n v="1"/>
    <x v="1"/>
  </r>
  <r>
    <s v="TX500011"/>
    <s v="Sundresses"/>
    <n v="2"/>
    <n v="54.4"/>
    <n v="108.8"/>
    <d v="2025-01-01T00:00:00"/>
    <d v="2025-01-07T00:00:00"/>
    <s v="F"/>
    <x v="0"/>
    <n v="4"/>
    <s v="California"/>
    <s v="Los Angeles County"/>
    <n v="6"/>
    <n v="1"/>
    <x v="2"/>
  </r>
  <r>
    <s v="TX500012"/>
    <s v="Sundresses"/>
    <n v="2"/>
    <n v="49"/>
    <n v="98"/>
    <d v="2025-01-01T00:00:00"/>
    <d v="2025-01-03T00:00:00"/>
    <s v="F"/>
    <x v="2"/>
    <n v="3"/>
    <s v="California"/>
    <s v="Los Angeles County"/>
    <n v="2"/>
    <n v="1"/>
    <x v="2"/>
  </r>
  <r>
    <s v="TX500013"/>
    <s v="Sandals"/>
    <n v="7"/>
    <n v="118.6"/>
    <n v="830.19999999999993"/>
    <d v="2025-01-01T00:00:00"/>
    <d v="2025-01-05T00:00:00"/>
    <s v="F"/>
    <x v="1"/>
    <n v="4"/>
    <s v="California"/>
    <s v="Nevada County"/>
    <n v="4"/>
    <n v="1"/>
    <x v="2"/>
  </r>
  <r>
    <s v="TX500014"/>
    <s v="Jeans"/>
    <n v="27"/>
    <n v="88.4"/>
    <n v="2386.8000000000002"/>
    <d v="2025-01-01T00:00:00"/>
    <d v="2025-01-08T00:00:00"/>
    <s v="M"/>
    <x v="3"/>
    <n v="4"/>
    <s v="California"/>
    <s v="Placer County"/>
    <n v="7"/>
    <n v="1"/>
    <x v="1"/>
  </r>
  <r>
    <s v="TX500015"/>
    <s v="Bikinis"/>
    <n v="1"/>
    <n v="66.7"/>
    <n v="66.7"/>
    <d v="2025-01-01T00:00:00"/>
    <d v="2025-01-04T00:00:00"/>
    <s v="M"/>
    <x v="0"/>
    <n v="4"/>
    <s v="California"/>
    <s v="Sacramento County"/>
    <n v="3"/>
    <n v="1"/>
    <x v="1"/>
  </r>
  <r>
    <s v="TX500016"/>
    <s v="Sundresses"/>
    <n v="10"/>
    <n v="30.9"/>
    <n v="309"/>
    <d v="2025-01-01T00:00:00"/>
    <d v="2025-01-02T00:00:00"/>
    <s v="M"/>
    <x v="1"/>
    <n v="5"/>
    <s v="California"/>
    <s v="Sacramento County"/>
    <n v="1"/>
    <n v="1"/>
    <x v="1"/>
  </r>
  <r>
    <s v="TX500017"/>
    <s v="Graphic Tees"/>
    <n v="3"/>
    <n v="31.1"/>
    <n v="93.300000000000011"/>
    <d v="2025-01-01T00:00:00"/>
    <d v="2025-01-02T00:00:00"/>
    <s v="F"/>
    <x v="0"/>
    <n v="3"/>
    <s v="California"/>
    <s v="Sacramento County"/>
    <n v="1"/>
    <n v="1"/>
    <x v="2"/>
  </r>
  <r>
    <s v="TX500018"/>
    <s v="Hoodies &amp; Sweatshirts"/>
    <n v="3"/>
    <n v="36.6"/>
    <n v="109.80000000000001"/>
    <d v="2025-01-01T00:00:00"/>
    <d v="2025-01-04T00:00:00"/>
    <s v="F"/>
    <x v="0"/>
    <n v="4"/>
    <s v="California"/>
    <s v="San Bernardino County"/>
    <n v="3"/>
    <n v="1"/>
    <x v="2"/>
  </r>
  <r>
    <s v="TX500019"/>
    <s v="Jeans"/>
    <n v="8"/>
    <n v="51.1"/>
    <n v="408.8"/>
    <d v="2025-01-01T00:00:00"/>
    <d v="2025-01-04T00:00:00"/>
    <s v="F"/>
    <x v="2"/>
    <n v="1"/>
    <s v="California"/>
    <s v="San Bernardino County"/>
    <n v="3"/>
    <n v="1"/>
    <x v="2"/>
  </r>
  <r>
    <s v="TX500020"/>
    <s v="Sundresses"/>
    <n v="1"/>
    <n v="25.2"/>
    <n v="25.2"/>
    <d v="2025-01-01T00:00:00"/>
    <d v="2025-01-02T00:00:00"/>
    <s v="F"/>
    <x v="1"/>
    <n v="5"/>
    <s v="California"/>
    <s v="San Diego County"/>
    <n v="1"/>
    <n v="1"/>
    <x v="2"/>
  </r>
  <r>
    <s v="TX500021"/>
    <s v="Sundresses"/>
    <n v="5"/>
    <n v="43.8"/>
    <n v="219"/>
    <d v="2025-01-01T00:00:00"/>
    <d v="2025-01-04T00:00:00"/>
    <s v="F"/>
    <x v="2"/>
    <n v="4"/>
    <s v="California"/>
    <s v="San Diego County"/>
    <n v="3"/>
    <n v="1"/>
    <x v="2"/>
  </r>
  <r>
    <s v="TX500022"/>
    <s v="T-Shirts"/>
    <n v="12"/>
    <n v="46.7"/>
    <n v="560.40000000000009"/>
    <d v="2025-01-01T00:00:00"/>
    <d v="2025-01-02T00:00:00"/>
    <s v="F"/>
    <x v="1"/>
    <n v="3"/>
    <s v="California"/>
    <s v="San Diego County"/>
    <n v="1"/>
    <n v="1"/>
    <x v="2"/>
  </r>
  <r>
    <s v="TX500023"/>
    <s v="Workout Tops"/>
    <n v="19"/>
    <n v="79.900000000000006"/>
    <n v="1518.1000000000001"/>
    <d v="2025-01-01T00:00:00"/>
    <d v="2025-01-02T00:00:00"/>
    <s v="M"/>
    <x v="0"/>
    <n v="5"/>
    <s v="California"/>
    <s v="San Diego County"/>
    <n v="1"/>
    <n v="1"/>
    <x v="1"/>
  </r>
  <r>
    <s v="TX500024"/>
    <s v="Maxi Dresses"/>
    <n v="8"/>
    <n v="26.4"/>
    <n v="211.2"/>
    <d v="2025-01-01T00:00:00"/>
    <d v="2025-01-02T00:00:00"/>
    <s v="F"/>
    <x v="3"/>
    <n v="4"/>
    <s v="California"/>
    <s v="San Diego County"/>
    <n v="1"/>
    <n v="1"/>
    <x v="2"/>
  </r>
  <r>
    <s v="TX500025"/>
    <s v="Casual Dresses"/>
    <n v="8"/>
    <n v="88.8"/>
    <n v="710.4"/>
    <d v="2025-01-01T00:00:00"/>
    <d v="2025-01-02T00:00:00"/>
    <s v="F"/>
    <x v="4"/>
    <n v="4"/>
    <s v="California"/>
    <s v="San Diego County"/>
    <n v="1"/>
    <n v="1"/>
    <x v="2"/>
  </r>
  <r>
    <s v="TX500026"/>
    <s v="Shorts"/>
    <n v="10"/>
    <n v="17.5"/>
    <n v="175"/>
    <d v="2025-01-01T00:00:00"/>
    <d v="2025-01-02T00:00:00"/>
    <s v="F"/>
    <x v="2"/>
    <n v="4"/>
    <s v="California"/>
    <s v="San Mateo County"/>
    <n v="1"/>
    <n v="1"/>
    <x v="2"/>
  </r>
  <r>
    <s v="TX500027"/>
    <s v="Tank Tops"/>
    <n v="9"/>
    <n v="38.700000000000003"/>
    <n v="348.3"/>
    <d v="2025-01-01T00:00:00"/>
    <d v="2025-01-04T00:00:00"/>
    <s v="M"/>
    <x v="1"/>
    <n v="4"/>
    <s v="California"/>
    <s v="Santa Barbara County"/>
    <n v="3"/>
    <n v="1"/>
    <x v="1"/>
  </r>
  <r>
    <s v="TX500028"/>
    <s v="Tote Bags"/>
    <n v="4"/>
    <n v="57.2"/>
    <n v="228.8"/>
    <d v="2025-01-01T00:00:00"/>
    <d v="2025-01-03T00:00:00"/>
    <s v=""/>
    <x v="1"/>
    <n v="5"/>
    <s v="California"/>
    <s v="Santa Clara County"/>
    <n v="2"/>
    <n v="1"/>
    <x v="0"/>
  </r>
  <r>
    <s v="TX500029"/>
    <s v="Jeans"/>
    <n v="5"/>
    <n v="50.9"/>
    <n v="254.5"/>
    <d v="2025-01-01T00:00:00"/>
    <d v="2025-01-07T00:00:00"/>
    <s v=""/>
    <x v="1"/>
    <n v="5"/>
    <s v="California"/>
    <s v="Tehama County"/>
    <n v="6"/>
    <n v="1"/>
    <x v="0"/>
  </r>
  <r>
    <s v="TX500030"/>
    <s v="Baseball Caps"/>
    <n v="7"/>
    <n v="41"/>
    <n v="287"/>
    <d v="2025-01-01T00:00:00"/>
    <d v="2025-01-05T00:00:00"/>
    <s v="F"/>
    <x v="1"/>
    <n v="4"/>
    <s v="California"/>
    <s v="Ventura County"/>
    <n v="4"/>
    <n v="1"/>
    <x v="2"/>
  </r>
  <r>
    <s v="TX500031"/>
    <s v="T-Shirts"/>
    <n v="7"/>
    <n v="19.100000000000001"/>
    <n v="133.70000000000002"/>
    <d v="2025-01-01T00:00:00"/>
    <d v="2025-01-05T00:00:00"/>
    <s v="M"/>
    <x v="0"/>
    <n v="5"/>
    <s v="California"/>
    <s v="Calaveras County"/>
    <n v="4"/>
    <n v="1"/>
    <x v="1"/>
  </r>
  <r>
    <s v="TX500032"/>
    <s v="Sneakers"/>
    <n v="5"/>
    <n v="166.1"/>
    <n v="830.5"/>
    <d v="2025-01-01T00:00:00"/>
    <d v="2025-01-04T00:00:00"/>
    <s v="M"/>
    <x v="0"/>
    <n v="4"/>
    <s v="California"/>
    <s v="Inyo County"/>
    <n v="3"/>
    <n v="1"/>
    <x v="1"/>
  </r>
  <r>
    <s v="TX500033"/>
    <s v="Graphic Tees"/>
    <n v="3"/>
    <n v="29.9"/>
    <n v="89.699999999999989"/>
    <d v="2025-01-01T00:00:00"/>
    <d v="2025-01-02T00:00:00"/>
    <s v="M"/>
    <x v="3"/>
    <n v="4"/>
    <s v="California"/>
    <s v="Los Angeles County"/>
    <n v="1"/>
    <n v="1"/>
    <x v="1"/>
  </r>
  <r>
    <s v="TX500034"/>
    <s v="Bikinis"/>
    <n v="6"/>
    <n v="21.7"/>
    <n v="130.19999999999999"/>
    <d v="2025-01-01T00:00:00"/>
    <d v="2025-01-03T00:00:00"/>
    <s v="O"/>
    <x v="2"/>
    <n v="5"/>
    <s v="California"/>
    <s v="Los Angeles County"/>
    <n v="2"/>
    <n v="1"/>
    <x v="3"/>
  </r>
  <r>
    <s v="TX500035"/>
    <s v="Maxi Dresses"/>
    <n v="2"/>
    <n v="32"/>
    <n v="64"/>
    <d v="2025-01-01T00:00:00"/>
    <d v="2025-01-04T00:00:00"/>
    <s v="M"/>
    <x v="0"/>
    <n v="5"/>
    <s v="California"/>
    <s v="Los Angeles County"/>
    <n v="3"/>
    <n v="1"/>
    <x v="1"/>
  </r>
  <r>
    <s v="TX500036"/>
    <s v="T-Shirts"/>
    <n v="2"/>
    <n v="15.8"/>
    <n v="31.6"/>
    <d v="2025-01-01T00:00:00"/>
    <d v="2025-01-02T00:00:00"/>
    <s v="M"/>
    <x v="4"/>
    <n v="5"/>
    <s v="California"/>
    <s v="Los Angeles County"/>
    <n v="1"/>
    <n v="1"/>
    <x v="1"/>
  </r>
  <r>
    <s v="TX500037"/>
    <s v="Sneakers"/>
    <n v="17"/>
    <n v="203.1"/>
    <n v="3452.7"/>
    <d v="2025-01-01T00:00:00"/>
    <d v="2025-01-05T00:00:00"/>
    <s v="M"/>
    <x v="3"/>
    <n v="3"/>
    <s v="California"/>
    <s v="Los Angeles County"/>
    <n v="4"/>
    <n v="1"/>
    <x v="1"/>
  </r>
  <r>
    <s v="TX500038"/>
    <s v="Hoodies &amp; Sweatshirts"/>
    <n v="13"/>
    <n v="39"/>
    <n v="507"/>
    <d v="2025-01-01T00:00:00"/>
    <d v="2025-01-07T00:00:00"/>
    <s v="M"/>
    <x v="0"/>
    <n v="5"/>
    <s v="California"/>
    <s v="Los Angeles County"/>
    <n v="6"/>
    <n v="1"/>
    <x v="1"/>
  </r>
  <r>
    <s v="TX500039"/>
    <s v="Bikinis"/>
    <n v="1"/>
    <n v="26.5"/>
    <n v="26.5"/>
    <d v="2025-01-02T00:00:00"/>
    <d v="2025-01-03T00:00:00"/>
    <s v="M"/>
    <x v="2"/>
    <n v="4"/>
    <s v="California"/>
    <s v="Los Angeles County"/>
    <n v="1"/>
    <n v="1"/>
    <x v="1"/>
  </r>
  <r>
    <s v="TX500040"/>
    <s v="Sandals"/>
    <n v="1"/>
    <n v="43.1"/>
    <n v="43.1"/>
    <d v="2025-01-02T00:00:00"/>
    <d v="2025-01-03T00:00:00"/>
    <s v="F"/>
    <x v="2"/>
    <n v="3"/>
    <s v="California"/>
    <s v="Los Angeles County"/>
    <n v="1"/>
    <n v="1"/>
    <x v="2"/>
  </r>
  <r>
    <s v="TX500041"/>
    <s v="Tank Tops"/>
    <n v="3"/>
    <n v="139"/>
    <n v="417"/>
    <d v="2025-01-02T00:00:00"/>
    <d v="2025-01-03T00:00:00"/>
    <s v="F"/>
    <x v="4"/>
    <n v="5"/>
    <s v="California"/>
    <s v="Los Angeles County"/>
    <n v="1"/>
    <n v="1"/>
    <x v="2"/>
  </r>
  <r>
    <s v="TX500042"/>
    <s v="Casual Dresses"/>
    <n v="1"/>
    <n v="80.7"/>
    <n v="80.7"/>
    <d v="2025-01-02T00:00:00"/>
    <d v="2025-01-03T00:00:00"/>
    <s v="M"/>
    <x v="0"/>
    <n v="5"/>
    <s v="California"/>
    <s v="Napa County"/>
    <n v="1"/>
    <n v="1"/>
    <x v="1"/>
  </r>
  <r>
    <s v="TX500043"/>
    <s v="Graphic Tees"/>
    <n v="2"/>
    <n v="54.5"/>
    <n v="109"/>
    <d v="2025-01-02T00:00:00"/>
    <d v="2025-01-04T00:00:00"/>
    <s v="M"/>
    <x v="1"/>
    <n v="3"/>
    <s v="California"/>
    <s v="Sacramento County"/>
    <n v="2"/>
    <n v="1"/>
    <x v="1"/>
  </r>
  <r>
    <s v="TX500044"/>
    <s v="Jeans"/>
    <n v="3"/>
    <n v="68.599999999999994"/>
    <n v="205.79999999999998"/>
    <d v="2025-01-02T00:00:00"/>
    <d v="2025-01-02T00:00:00"/>
    <s v="F"/>
    <x v="0"/>
    <n v="3"/>
    <s v="California"/>
    <s v="San Diego County"/>
    <n v="0"/>
    <n v="1"/>
    <x v="2"/>
  </r>
  <r>
    <s v="TX500045"/>
    <s v="Sneakers"/>
    <n v="4"/>
    <n v="135.9"/>
    <n v="543.6"/>
    <d v="2025-01-02T00:00:00"/>
    <d v="2025-01-03T00:00:00"/>
    <s v="F"/>
    <x v="2"/>
    <n v="5"/>
    <s v="California"/>
    <s v="San Diego County"/>
    <n v="1"/>
    <n v="1"/>
    <x v="2"/>
  </r>
  <r>
    <s v="TX500046"/>
    <s v="Sneakers"/>
    <n v="4"/>
    <n v="70.900000000000006"/>
    <n v="283.60000000000002"/>
    <d v="2025-01-02T00:00:00"/>
    <d v="2025-01-03T00:00:00"/>
    <s v="F"/>
    <x v="0"/>
    <n v="4"/>
    <s v="California"/>
    <s v="San Francisco"/>
    <n v="1"/>
    <n v="1"/>
    <x v="2"/>
  </r>
  <r>
    <s v="TX500047"/>
    <s v="Tank Tops"/>
    <n v="5"/>
    <n v="63.7"/>
    <n v="318.5"/>
    <d v="2025-01-02T00:00:00"/>
    <d v="2025-01-03T00:00:00"/>
    <s v="M"/>
    <x v="1"/>
    <n v="3"/>
    <s v="California"/>
    <s v="San Mateo County"/>
    <n v="1"/>
    <n v="1"/>
    <x v="1"/>
  </r>
  <r>
    <s v="TX500048"/>
    <s v="Tote Bags"/>
    <n v="1"/>
    <n v="29.7"/>
    <n v="29.7"/>
    <d v="2025-01-02T00:00:00"/>
    <d v="2025-01-04T00:00:00"/>
    <s v="F"/>
    <x v="1"/>
    <n v="4"/>
    <s v="California"/>
    <s v="Santa Clara County"/>
    <n v="2"/>
    <n v="1"/>
    <x v="2"/>
  </r>
  <r>
    <s v="TX500049"/>
    <s v="Graphic Tees"/>
    <n v="3"/>
    <n v="26.8"/>
    <n v="80.400000000000006"/>
    <d v="2025-01-02T00:00:00"/>
    <d v="2025-01-11T00:00:00"/>
    <s v="F"/>
    <x v="1"/>
    <n v="5"/>
    <s v="California"/>
    <s v="Santa Clara County"/>
    <n v="9"/>
    <n v="1"/>
    <x v="2"/>
  </r>
  <r>
    <s v="TX500050"/>
    <s v="Baseball Caps"/>
    <n v="1"/>
    <n v="27"/>
    <n v="27"/>
    <d v="2025-01-02T00:00:00"/>
    <d v="2025-01-04T00:00:00"/>
    <s v="F"/>
    <x v="0"/>
    <n v="4"/>
    <s v="California"/>
    <s v="Sonoma County"/>
    <n v="2"/>
    <n v="1"/>
    <x v="2"/>
  </r>
  <r>
    <s v="TX500051"/>
    <s v="T-Shirts"/>
    <n v="1"/>
    <n v="41.4"/>
    <n v="41.4"/>
    <d v="2025-01-02T00:00:00"/>
    <d v="2025-01-03T00:00:00"/>
    <s v="M"/>
    <x v="1"/>
    <n v="5"/>
    <s v="California"/>
    <s v="Stanislaus County"/>
    <n v="1"/>
    <n v="1"/>
    <x v="1"/>
  </r>
  <r>
    <s v="TX500052"/>
    <s v="T-Shirts"/>
    <n v="2"/>
    <n v="24.3"/>
    <n v="48.6"/>
    <d v="2025-01-02T00:00:00"/>
    <d v="2025-01-05T00:00:00"/>
    <s v="F"/>
    <x v="1"/>
    <n v="4"/>
    <s v="California"/>
    <s v="Stanislaus County"/>
    <n v="3"/>
    <n v="1"/>
    <x v="2"/>
  </r>
  <r>
    <s v="TX500053"/>
    <s v="T-Shirts"/>
    <n v="3"/>
    <n v="41.7"/>
    <n v="125.10000000000001"/>
    <d v="2025-01-02T00:00:00"/>
    <d v="2025-01-04T00:00:00"/>
    <s v="M"/>
    <x v="0"/>
    <n v="5"/>
    <s v="California"/>
    <s v="Tulare County"/>
    <n v="2"/>
    <n v="1"/>
    <x v="1"/>
  </r>
  <r>
    <s v="TX500054"/>
    <s v="Shorts"/>
    <n v="2"/>
    <n v="18"/>
    <n v="36"/>
    <d v="2025-01-02T00:00:00"/>
    <d v="2025-01-03T00:00:00"/>
    <s v="F"/>
    <x v="0"/>
    <n v="5"/>
    <s v="California"/>
    <s v="Alameda County"/>
    <n v="1"/>
    <n v="1"/>
    <x v="2"/>
  </r>
  <r>
    <s v="TX500055"/>
    <s v="Hoodies &amp; Sweatshirts"/>
    <n v="3"/>
    <n v="91.3"/>
    <n v="273.89999999999998"/>
    <d v="2025-01-02T00:00:00"/>
    <d v="2025-01-05T00:00:00"/>
    <s v="M"/>
    <x v="2"/>
    <n v="5"/>
    <s v="California"/>
    <s v="Los Angeles County"/>
    <n v="3"/>
    <n v="1"/>
    <x v="1"/>
  </r>
  <r>
    <s v="TX500056"/>
    <s v="T-Shirts"/>
    <n v="8"/>
    <n v="19.3"/>
    <n v="154.4"/>
    <d v="2025-01-02T00:00:00"/>
    <d v="2025-01-03T00:00:00"/>
    <s v="M"/>
    <x v="0"/>
    <n v="4"/>
    <s v="California"/>
    <s v="Los Angeles County"/>
    <n v="1"/>
    <n v="1"/>
    <x v="1"/>
  </r>
  <r>
    <s v="TX500057"/>
    <s v="Casual Dresses"/>
    <n v="13"/>
    <n v="63.2"/>
    <n v="821.6"/>
    <d v="2025-01-02T00:00:00"/>
    <d v="2025-01-03T00:00:00"/>
    <s v="F"/>
    <x v="0"/>
    <n v="4"/>
    <s v="California"/>
    <s v="Los Angeles County"/>
    <n v="1"/>
    <n v="1"/>
    <x v="2"/>
  </r>
  <r>
    <s v="TX500058"/>
    <s v="Bikinis"/>
    <n v="9"/>
    <n v="33.299999999999997"/>
    <n v="299.7"/>
    <d v="2025-01-03T00:00:00"/>
    <d v="2025-01-11T00:00:00"/>
    <s v="F"/>
    <x v="0"/>
    <n v="5"/>
    <s v="California"/>
    <s v="Los Angeles County"/>
    <n v="8"/>
    <n v="1"/>
    <x v="2"/>
  </r>
  <r>
    <s v="TX500059"/>
    <s v="Hoodies &amp; Sweatshirts"/>
    <n v="2"/>
    <n v="64.2"/>
    <n v="128.4"/>
    <d v="2025-01-03T00:00:00"/>
    <d v="2025-01-04T00:00:00"/>
    <s v="M"/>
    <x v="0"/>
    <n v="5"/>
    <s v="California"/>
    <s v="Los Angeles County"/>
    <n v="1"/>
    <n v="1"/>
    <x v="1"/>
  </r>
  <r>
    <s v="TX500060"/>
    <s v="Sundresses"/>
    <n v="3"/>
    <n v="23.1"/>
    <n v="69.300000000000011"/>
    <d v="2025-01-03T00:00:00"/>
    <d v="2025-01-06T00:00:00"/>
    <s v="F"/>
    <x v="1"/>
    <n v="5"/>
    <s v="California"/>
    <s v="Los Angeles County"/>
    <n v="3"/>
    <n v="1"/>
    <x v="2"/>
  </r>
  <r>
    <s v="TX500061"/>
    <s v="Crop Tops"/>
    <n v="2"/>
    <n v="71.099999999999994"/>
    <n v="142.19999999999999"/>
    <d v="2025-01-03T00:00:00"/>
    <d v="2025-01-05T00:00:00"/>
    <s v="F"/>
    <x v="3"/>
    <n v="3"/>
    <s v="California"/>
    <s v="Los Angeles County"/>
    <n v="2"/>
    <n v="1"/>
    <x v="2"/>
  </r>
  <r>
    <s v="TX500062"/>
    <s v="Shorts"/>
    <n v="2"/>
    <n v="11.5"/>
    <n v="23"/>
    <d v="2025-01-03T00:00:00"/>
    <d v="2025-01-04T00:00:00"/>
    <s v="F"/>
    <x v="0"/>
    <n v="4"/>
    <s v="California"/>
    <s v="Los Angeles County"/>
    <n v="1"/>
    <n v="1"/>
    <x v="2"/>
  </r>
  <r>
    <s v="TX500063"/>
    <s v="Crop Tops"/>
    <n v="19"/>
    <n v="69.2"/>
    <n v="1314.8"/>
    <d v="2025-01-03T00:00:00"/>
    <d v="2025-01-08T00:00:00"/>
    <s v="F"/>
    <x v="0"/>
    <n v="4"/>
    <s v="California"/>
    <s v="Los Angeles County"/>
    <n v="5"/>
    <n v="1"/>
    <x v="2"/>
  </r>
  <r>
    <s v="TX500064"/>
    <s v="Shorts"/>
    <n v="1"/>
    <n v="26.8"/>
    <n v="26.8"/>
    <d v="2025-01-03T00:00:00"/>
    <d v="2025-01-04T00:00:00"/>
    <s v="M"/>
    <x v="2"/>
    <n v="2"/>
    <s v="California"/>
    <s v="Los Angeles County"/>
    <n v="1"/>
    <n v="1"/>
    <x v="1"/>
  </r>
  <r>
    <s v="TX500065"/>
    <s v="Sunglasses"/>
    <n v="3"/>
    <n v="31.2"/>
    <n v="93.6"/>
    <d v="2025-01-03T00:00:00"/>
    <d v="2025-01-06T00:00:00"/>
    <s v="F"/>
    <x v="0"/>
    <n v="4"/>
    <s v="California"/>
    <s v="Los Angeles County"/>
    <n v="3"/>
    <n v="1"/>
    <x v="2"/>
  </r>
  <r>
    <s v="TX500066"/>
    <s v="Casual Dresses"/>
    <n v="2"/>
    <n v="113.2"/>
    <n v="226.4"/>
    <d v="2025-01-03T00:00:00"/>
    <d v="2025-01-04T00:00:00"/>
    <s v="F"/>
    <x v="4"/>
    <n v="4"/>
    <s v="California"/>
    <s v="Los Angeles County"/>
    <n v="1"/>
    <n v="1"/>
    <x v="2"/>
  </r>
  <r>
    <s v="TX500067"/>
    <s v="Bikinis"/>
    <n v="8"/>
    <n v="21"/>
    <n v="168"/>
    <d v="2025-01-03T00:00:00"/>
    <d v="2025-01-04T00:00:00"/>
    <s v="M"/>
    <x v="0"/>
    <n v="4"/>
    <s v="California"/>
    <s v="Sacramento County"/>
    <n v="1"/>
    <n v="1"/>
    <x v="1"/>
  </r>
  <r>
    <s v="TX500068"/>
    <s v="Tank Tops"/>
    <n v="2"/>
    <n v="89.1"/>
    <n v="178.2"/>
    <d v="2025-01-03T00:00:00"/>
    <d v="2025-01-04T00:00:00"/>
    <s v="F"/>
    <x v="2"/>
    <n v="5"/>
    <s v="California"/>
    <s v="Sacramento County"/>
    <n v="1"/>
    <n v="1"/>
    <x v="2"/>
  </r>
  <r>
    <s v="TX500069"/>
    <s v="Tank Tops"/>
    <n v="1"/>
    <n v="97.7"/>
    <n v="97.7"/>
    <d v="2025-01-03T00:00:00"/>
    <d v="2025-01-05T00:00:00"/>
    <s v="F"/>
    <x v="0"/>
    <n v="3"/>
    <s v="California"/>
    <s v="Sacramento County"/>
    <n v="2"/>
    <n v="1"/>
    <x v="2"/>
  </r>
  <r>
    <s v="TX500070"/>
    <s v="Crop Tops"/>
    <n v="4"/>
    <n v="97.7"/>
    <n v="390.8"/>
    <d v="2025-01-03T00:00:00"/>
    <d v="2025-01-05T00:00:00"/>
    <s v="M"/>
    <x v="3"/>
    <n v="4"/>
    <s v="California"/>
    <s v="Sacramento County"/>
    <n v="2"/>
    <n v="1"/>
    <x v="1"/>
  </r>
  <r>
    <s v="TX500071"/>
    <s v="Pajama Sets"/>
    <n v="3"/>
    <n v="47.4"/>
    <n v="142.19999999999999"/>
    <d v="2025-01-03T00:00:00"/>
    <d v="2025-01-06T00:00:00"/>
    <s v="M"/>
    <x v="3"/>
    <n v="5"/>
    <s v="California"/>
    <s v="San Diego County"/>
    <n v="3"/>
    <n v="1"/>
    <x v="1"/>
  </r>
  <r>
    <s v="TX500072"/>
    <s v="Hoodies &amp; Sweatshirts"/>
    <n v="1"/>
    <n v="89.6"/>
    <n v="89.6"/>
    <d v="2025-01-03T00:00:00"/>
    <d v="2025-01-06T00:00:00"/>
    <s v="F"/>
    <x v="0"/>
    <n v="5"/>
    <s v="California"/>
    <s v="San Diego County"/>
    <n v="3"/>
    <n v="1"/>
    <x v="2"/>
  </r>
  <r>
    <s v="TX500073"/>
    <s v="Bikinis"/>
    <n v="18"/>
    <n v="28.4"/>
    <n v="511.2"/>
    <d v="2025-01-03T00:00:00"/>
    <d v="2025-01-06T00:00:00"/>
    <s v="F"/>
    <x v="3"/>
    <n v="5"/>
    <s v="California"/>
    <s v="San Francisco"/>
    <n v="3"/>
    <n v="1"/>
    <x v="2"/>
  </r>
  <r>
    <s v="TX500074"/>
    <s v="Shorts"/>
    <n v="2"/>
    <n v="17.899999999999999"/>
    <n v="35.799999999999997"/>
    <d v="2025-01-03T00:00:00"/>
    <d v="2025-01-04T00:00:00"/>
    <s v="F"/>
    <x v="0"/>
    <n v="5"/>
    <s v="California"/>
    <s v="San Mateo County"/>
    <n v="1"/>
    <n v="1"/>
    <x v="2"/>
  </r>
  <r>
    <s v="TX500075"/>
    <s v="Sundresses"/>
    <n v="2"/>
    <n v="48.4"/>
    <n v="96.8"/>
    <d v="2025-01-03T00:00:00"/>
    <d v="2025-01-06T00:00:00"/>
    <s v="M"/>
    <x v="1"/>
    <n v="4"/>
    <s v="California"/>
    <s v="San Mateo County"/>
    <n v="3"/>
    <n v="1"/>
    <x v="1"/>
  </r>
  <r>
    <s v="TX500076"/>
    <s v="Casual Dresses"/>
    <n v="4"/>
    <n v="44.4"/>
    <n v="177.6"/>
    <d v="2025-01-03T00:00:00"/>
    <d v="2025-01-04T00:00:00"/>
    <s v="O"/>
    <x v="1"/>
    <n v="3"/>
    <s v="California"/>
    <s v="Santa Clara County"/>
    <n v="1"/>
    <n v="1"/>
    <x v="3"/>
  </r>
  <r>
    <s v="TX500077"/>
    <s v="Sneakers"/>
    <n v="8"/>
    <n v="103.7"/>
    <n v="829.6"/>
    <d v="2025-01-03T00:00:00"/>
    <d v="2025-01-04T00:00:00"/>
    <s v="F"/>
    <x v="0"/>
    <n v="3"/>
    <s v="California"/>
    <s v="Stanislaus County"/>
    <n v="1"/>
    <n v="1"/>
    <x v="2"/>
  </r>
  <r>
    <s v="TX500078"/>
    <s v="Sandals"/>
    <n v="4"/>
    <n v="58.6"/>
    <n v="234.4"/>
    <d v="2025-01-03T00:00:00"/>
    <d v="2025-01-05T00:00:00"/>
    <s v="M"/>
    <x v="3"/>
    <n v="4"/>
    <s v="California"/>
    <s v="Stanislaus County"/>
    <n v="2"/>
    <n v="1"/>
    <x v="1"/>
  </r>
  <r>
    <s v="TX500079"/>
    <s v="Sundresses"/>
    <n v="4"/>
    <n v="54.8"/>
    <n v="219.2"/>
    <d v="2025-01-03T00:00:00"/>
    <d v="2025-01-07T00:00:00"/>
    <s v="F"/>
    <x v="2"/>
    <n v="3"/>
    <s v="California"/>
    <s v="Ventura County"/>
    <n v="4"/>
    <n v="1"/>
    <x v="2"/>
  </r>
  <r>
    <s v="TX500080"/>
    <s v="Casual Dresses"/>
    <n v="3"/>
    <n v="78.8"/>
    <n v="236.39999999999998"/>
    <d v="2025-01-03T00:00:00"/>
    <d v="2025-01-09T00:00:00"/>
    <s v="F"/>
    <x v="4"/>
    <n v="3"/>
    <s v="California"/>
    <s v="Alameda County"/>
    <n v="6"/>
    <n v="1"/>
    <x v="2"/>
  </r>
  <r>
    <s v="TX500081"/>
    <s v="Leggings"/>
    <n v="5"/>
    <n v="36.799999999999997"/>
    <n v="184"/>
    <d v="2025-01-03T00:00:00"/>
    <d v="2025-01-06T00:00:00"/>
    <s v="M"/>
    <x v="4"/>
    <n v="3"/>
    <s v="California"/>
    <s v="Kern County"/>
    <n v="3"/>
    <n v="1"/>
    <x v="1"/>
  </r>
  <r>
    <s v="TX500082"/>
    <s v="Jeans"/>
    <n v="6"/>
    <n v="50.6"/>
    <n v="303.60000000000002"/>
    <d v="2025-01-03T00:00:00"/>
    <d v="2025-01-05T00:00:00"/>
    <s v="F"/>
    <x v="3"/>
    <n v="4"/>
    <s v="California"/>
    <s v="Los Angeles County"/>
    <n v="2"/>
    <n v="1"/>
    <x v="2"/>
  </r>
  <r>
    <s v="TX500083"/>
    <s v="Crop Tops"/>
    <n v="3"/>
    <n v="36.799999999999997"/>
    <n v="110.39999999999999"/>
    <d v="2025-01-03T00:00:00"/>
    <d v="2025-01-03T00:00:00"/>
    <s v="M"/>
    <x v="2"/>
    <n v="3"/>
    <s v="California"/>
    <s v="Los Angeles County"/>
    <n v="0"/>
    <n v="1"/>
    <x v="1"/>
  </r>
  <r>
    <s v="TX500084"/>
    <s v="T-Shirts"/>
    <n v="9"/>
    <n v="41.8"/>
    <n v="376.2"/>
    <d v="2025-01-04T00:00:00"/>
    <d v="2025-01-10T00:00:00"/>
    <s v="F"/>
    <x v="3"/>
    <n v="4"/>
    <s v="California"/>
    <s v="Los Angeles County"/>
    <n v="6"/>
    <n v="1"/>
    <x v="2"/>
  </r>
  <r>
    <s v="TX500085"/>
    <s v="Leggings"/>
    <n v="1"/>
    <n v="77.3"/>
    <n v="77.3"/>
    <d v="2025-01-04T00:00:00"/>
    <d v="2025-01-05T00:00:00"/>
    <s v="M"/>
    <x v="4"/>
    <n v="2"/>
    <s v="California"/>
    <s v="Los Angeles County"/>
    <n v="1"/>
    <n v="1"/>
    <x v="1"/>
  </r>
  <r>
    <s v="TX500086"/>
    <s v="T-Shirts"/>
    <n v="4"/>
    <n v="19.8"/>
    <n v="79.2"/>
    <d v="2025-01-04T00:00:00"/>
    <d v="2025-01-10T00:00:00"/>
    <s v="M"/>
    <x v="1"/>
    <n v="5"/>
    <s v="California"/>
    <s v="Los Angeles County"/>
    <n v="6"/>
    <n v="1"/>
    <x v="1"/>
  </r>
  <r>
    <s v="TX500087"/>
    <s v="Tote Bags"/>
    <n v="4"/>
    <n v="15.5"/>
    <n v="62"/>
    <d v="2025-01-04T00:00:00"/>
    <d v="2025-01-05T00:00:00"/>
    <s v="F"/>
    <x v="1"/>
    <n v="5"/>
    <s v="California"/>
    <s v="Los Angeles County"/>
    <n v="1"/>
    <n v="1"/>
    <x v="2"/>
  </r>
  <r>
    <s v="TX500088"/>
    <s v="Casual Dresses"/>
    <n v="1"/>
    <n v="46.8"/>
    <n v="46.8"/>
    <d v="2025-01-04T00:00:00"/>
    <d v="2025-01-08T00:00:00"/>
    <s v="M"/>
    <x v="0"/>
    <n v="5"/>
    <s v="California"/>
    <s v="Los Angeles County"/>
    <n v="4"/>
    <n v="1"/>
    <x v="1"/>
  </r>
  <r>
    <s v="TX500089"/>
    <s v="Sundresses"/>
    <n v="9"/>
    <n v="28.6"/>
    <n v="257.40000000000003"/>
    <d v="2025-01-04T00:00:00"/>
    <d v="2025-01-08T00:00:00"/>
    <s v="M"/>
    <x v="0"/>
    <n v="5"/>
    <s v="California"/>
    <s v="Los Angeles County"/>
    <n v="4"/>
    <n v="1"/>
    <x v="1"/>
  </r>
  <r>
    <s v="TX500090"/>
    <s v="Sneakers"/>
    <n v="1"/>
    <n v="97.7"/>
    <n v="97.7"/>
    <d v="2025-01-04T00:00:00"/>
    <d v="2025-01-07T00:00:00"/>
    <s v="F"/>
    <x v="1"/>
    <n v="4"/>
    <s v="California"/>
    <s v="Los Angeles County"/>
    <n v="3"/>
    <n v="1"/>
    <x v="2"/>
  </r>
  <r>
    <s v="TX500091"/>
    <s v="Sundresses"/>
    <n v="5"/>
    <n v="54.7"/>
    <n v="273.5"/>
    <d v="2025-01-04T00:00:00"/>
    <d v="2025-01-07T00:00:00"/>
    <s v=""/>
    <x v="0"/>
    <n v="5"/>
    <s v="California"/>
    <s v="Riverside County"/>
    <n v="3"/>
    <n v="1"/>
    <x v="0"/>
  </r>
  <r>
    <s v="TX500092"/>
    <s v="Sneakers"/>
    <n v="6"/>
    <n v="130.5"/>
    <n v="783"/>
    <d v="2025-01-04T00:00:00"/>
    <d v="2025-01-06T00:00:00"/>
    <s v="F"/>
    <x v="0"/>
    <n v="3"/>
    <s v="California"/>
    <s v="Riverside County"/>
    <n v="2"/>
    <n v="1"/>
    <x v="2"/>
  </r>
  <r>
    <s v="TX500093"/>
    <s v="Maxi Dresses"/>
    <n v="2"/>
    <n v="50.4"/>
    <n v="100.8"/>
    <d v="2025-01-04T00:00:00"/>
    <d v="2025-01-06T00:00:00"/>
    <s v="M"/>
    <x v="2"/>
    <n v="5"/>
    <s v="California"/>
    <s v="Sacramento County"/>
    <n v="2"/>
    <n v="1"/>
    <x v="1"/>
  </r>
  <r>
    <s v="TX500094"/>
    <s v="Jeans"/>
    <n v="13"/>
    <n v="61.5"/>
    <n v="799.5"/>
    <d v="2025-01-04T00:00:00"/>
    <d v="2025-01-05T00:00:00"/>
    <s v=""/>
    <x v="3"/>
    <n v="3"/>
    <s v="California"/>
    <s v="Santa Clara County"/>
    <n v="1"/>
    <n v="1"/>
    <x v="0"/>
  </r>
  <r>
    <s v="TX500095"/>
    <s v="Sundresses"/>
    <n v="4"/>
    <n v="30.1"/>
    <n v="120.4"/>
    <d v="2025-01-04T00:00:00"/>
    <d v="2025-01-05T00:00:00"/>
    <s v="F"/>
    <x v="0"/>
    <n v="5"/>
    <s v="California"/>
    <s v="Alameda County"/>
    <n v="1"/>
    <n v="1"/>
    <x v="2"/>
  </r>
  <r>
    <s v="TX500096"/>
    <s v="Sneakers"/>
    <n v="5"/>
    <n v="74.8"/>
    <n v="374"/>
    <d v="2025-01-04T00:00:00"/>
    <d v="2025-01-05T00:00:00"/>
    <s v="F"/>
    <x v="1"/>
    <n v="4"/>
    <s v="California"/>
    <s v="Contra Costa County"/>
    <n v="1"/>
    <n v="1"/>
    <x v="2"/>
  </r>
  <r>
    <s v="TX500097"/>
    <s v="Sunglasses"/>
    <n v="3"/>
    <n v="64.900000000000006"/>
    <n v="194.70000000000002"/>
    <d v="2025-01-04T00:00:00"/>
    <d v="2025-01-11T00:00:00"/>
    <s v="M"/>
    <x v="0"/>
    <n v="4"/>
    <s v="California"/>
    <s v="Fresno County"/>
    <n v="7"/>
    <n v="1"/>
    <x v="1"/>
  </r>
  <r>
    <s v="TX500098"/>
    <s v="Sundresses"/>
    <n v="2"/>
    <n v="50.5"/>
    <n v="101"/>
    <d v="2025-01-04T00:00:00"/>
    <d v="2025-01-06T00:00:00"/>
    <s v="M"/>
    <x v="1"/>
    <n v="4"/>
    <s v="California"/>
    <s v="Kern County"/>
    <n v="2"/>
    <n v="1"/>
    <x v="1"/>
  </r>
  <r>
    <s v="TX500099"/>
    <s v="Maxi Dresses"/>
    <n v="7"/>
    <n v="63"/>
    <n v="441"/>
    <d v="2025-01-04T00:00:00"/>
    <d v="2025-01-07T00:00:00"/>
    <s v="M"/>
    <x v="3"/>
    <n v="5"/>
    <s v="California"/>
    <s v="Los Angeles County"/>
    <n v="3"/>
    <n v="1"/>
    <x v="1"/>
  </r>
  <r>
    <s v="TX500100"/>
    <s v="Sneakers"/>
    <n v="3"/>
    <n v="93.6"/>
    <n v="280.79999999999995"/>
    <d v="2025-01-04T00:00:00"/>
    <d v="2025-01-17T00:00:00"/>
    <s v="F"/>
    <x v="0"/>
    <n v="5"/>
    <s v="California"/>
    <s v="Los Angeles County"/>
    <n v="13"/>
    <n v="1"/>
    <x v="2"/>
  </r>
  <r>
    <s v="TX500101"/>
    <s v="Sandals"/>
    <n v="30"/>
    <n v="41.4"/>
    <n v="1242"/>
    <d v="2025-01-04T00:00:00"/>
    <d v="2025-01-08T00:00:00"/>
    <s v="M"/>
    <x v="2"/>
    <n v="5"/>
    <s v="California"/>
    <s v="Los Angeles County"/>
    <n v="4"/>
    <n v="1"/>
    <x v="1"/>
  </r>
  <r>
    <s v="TX500102"/>
    <s v="Sneakers"/>
    <n v="2"/>
    <n v="160"/>
    <n v="320"/>
    <d v="2025-01-05T00:00:00"/>
    <d v="2025-01-06T00:00:00"/>
    <s v="M"/>
    <x v="2"/>
    <n v="5"/>
    <s v="California"/>
    <s v="Placer County"/>
    <n v="1"/>
    <n v="2"/>
    <x v="1"/>
  </r>
  <r>
    <s v="TX500103"/>
    <s v="Jewelry"/>
    <n v="11"/>
    <n v="10.5"/>
    <n v="115.5"/>
    <d v="2025-01-05T00:00:00"/>
    <d v="2025-01-08T00:00:00"/>
    <s v="F"/>
    <x v="4"/>
    <n v="4"/>
    <s v="California"/>
    <s v="San Diego County"/>
    <n v="3"/>
    <n v="2"/>
    <x v="2"/>
  </r>
  <r>
    <s v="TX500104"/>
    <s v="Bikinis"/>
    <n v="2"/>
    <n v="53"/>
    <n v="106"/>
    <d v="2025-01-05T00:00:00"/>
    <d v="2025-01-05T00:00:00"/>
    <s v="M"/>
    <x v="2"/>
    <n v="2"/>
    <s v="California"/>
    <s v="San Francisco"/>
    <n v="0"/>
    <n v="2"/>
    <x v="1"/>
  </r>
  <r>
    <s v="TX500105"/>
    <s v="T-Shirts"/>
    <n v="3"/>
    <n v="18.5"/>
    <n v="55.5"/>
    <d v="2025-01-05T00:00:00"/>
    <d v="2025-01-10T00:00:00"/>
    <s v="F"/>
    <x v="1"/>
    <n v="5"/>
    <s v="California"/>
    <s v="Santa Clara County"/>
    <n v="5"/>
    <n v="2"/>
    <x v="2"/>
  </r>
  <r>
    <s v="TX500106"/>
    <s v="Sunglasses"/>
    <n v="3"/>
    <n v="84.5"/>
    <n v="253.5"/>
    <d v="2025-01-05T00:00:00"/>
    <d v="2025-01-07T00:00:00"/>
    <s v="F"/>
    <x v="4"/>
    <n v="3"/>
    <s v="California"/>
    <s v="Ventura County"/>
    <n v="2"/>
    <n v="2"/>
    <x v="2"/>
  </r>
  <r>
    <s v="TX500107"/>
    <s v="Crop Tops"/>
    <n v="7"/>
    <n v="31.2"/>
    <n v="218.4"/>
    <d v="2025-01-05T00:00:00"/>
    <d v="2025-01-05T00:00:00"/>
    <s v="F"/>
    <x v="2"/>
    <n v="5"/>
    <s v="California"/>
    <s v="Los Angeles County"/>
    <n v="0"/>
    <n v="2"/>
    <x v="2"/>
  </r>
  <r>
    <s v="TX500108"/>
    <s v="T-Shirts"/>
    <n v="18"/>
    <n v="32.6"/>
    <n v="586.80000000000007"/>
    <d v="2025-01-05T00:00:00"/>
    <d v="2025-01-06T00:00:00"/>
    <s v="M"/>
    <x v="1"/>
    <n v="3"/>
    <s v="California"/>
    <s v="Los Angeles County"/>
    <n v="1"/>
    <n v="2"/>
    <x v="1"/>
  </r>
  <r>
    <s v="TX500109"/>
    <s v="Bikinis"/>
    <n v="4"/>
    <n v="45.4"/>
    <n v="181.6"/>
    <d v="2025-01-05T00:00:00"/>
    <d v="2025-01-07T00:00:00"/>
    <s v="M"/>
    <x v="1"/>
    <n v="4"/>
    <s v="California"/>
    <s v="Los Angeles County"/>
    <n v="2"/>
    <n v="2"/>
    <x v="1"/>
  </r>
  <r>
    <s v="TX500110"/>
    <s v="Sneakers"/>
    <n v="12"/>
    <n v="120"/>
    <n v="1440"/>
    <d v="2025-01-05T00:00:00"/>
    <d v="2025-01-06T00:00:00"/>
    <s v="F"/>
    <x v="2"/>
    <n v="2"/>
    <s v="California"/>
    <s v="Los Angeles County"/>
    <n v="1"/>
    <n v="2"/>
    <x v="2"/>
  </r>
  <r>
    <s v="TX500111"/>
    <s v="Shorts"/>
    <n v="4"/>
    <n v="18.899999999999999"/>
    <n v="75.599999999999994"/>
    <d v="2025-01-05T00:00:00"/>
    <d v="2025-01-07T00:00:00"/>
    <s v="M"/>
    <x v="0"/>
    <n v="5"/>
    <s v="California"/>
    <s v="Los Angeles County"/>
    <n v="2"/>
    <n v="2"/>
    <x v="1"/>
  </r>
  <r>
    <s v="TX500112"/>
    <s v="Graphic Tees"/>
    <n v="1"/>
    <n v="32"/>
    <n v="32"/>
    <d v="2025-01-05T00:00:00"/>
    <d v="2025-01-07T00:00:00"/>
    <s v="F"/>
    <x v="4"/>
    <n v="4"/>
    <s v="California"/>
    <s v="Los Angeles County"/>
    <n v="2"/>
    <n v="2"/>
    <x v="2"/>
  </r>
  <r>
    <s v="TX500113"/>
    <s v="Hoodies &amp; Sweatshirts"/>
    <n v="2"/>
    <n v="37.299999999999997"/>
    <n v="74.599999999999994"/>
    <d v="2025-01-05T00:00:00"/>
    <d v="2025-01-06T00:00:00"/>
    <s v="M"/>
    <x v="2"/>
    <n v="4"/>
    <s v="California"/>
    <s v="Los Angeles County"/>
    <n v="1"/>
    <n v="2"/>
    <x v="1"/>
  </r>
  <r>
    <s v="TX500114"/>
    <s v="Leggings"/>
    <n v="1"/>
    <n v="119.8"/>
    <n v="119.8"/>
    <d v="2025-01-05T00:00:00"/>
    <d v="2025-01-06T00:00:00"/>
    <s v="M"/>
    <x v="1"/>
    <n v="3"/>
    <s v="California"/>
    <s v="Los Angeles County"/>
    <n v="1"/>
    <n v="2"/>
    <x v="1"/>
  </r>
  <r>
    <s v="TX500115"/>
    <s v="Bikinis"/>
    <n v="2"/>
    <n v="26.4"/>
    <n v="52.8"/>
    <d v="2025-01-05T00:00:00"/>
    <d v="2025-01-08T00:00:00"/>
    <s v="M"/>
    <x v="2"/>
    <n v="4"/>
    <s v="California"/>
    <s v="Los Angeles County"/>
    <n v="3"/>
    <n v="2"/>
    <x v="1"/>
  </r>
  <r>
    <s v="TX500116"/>
    <s v="Jeans"/>
    <n v="6"/>
    <n v="76.5"/>
    <n v="459"/>
    <d v="2025-01-05T00:00:00"/>
    <d v="2025-01-06T00:00:00"/>
    <s v="F"/>
    <x v="1"/>
    <n v="3"/>
    <s v="California"/>
    <s v="Los Angeles County"/>
    <n v="1"/>
    <n v="2"/>
    <x v="2"/>
  </r>
  <r>
    <s v="TX500117"/>
    <s v="Graphic Tees"/>
    <n v="10"/>
    <n v="45.7"/>
    <n v="457"/>
    <d v="2025-01-05T00:00:00"/>
    <d v="2025-01-06T00:00:00"/>
    <s v="F"/>
    <x v="2"/>
    <n v="4"/>
    <s v="California"/>
    <s v="Merced County"/>
    <n v="1"/>
    <n v="2"/>
    <x v="2"/>
  </r>
  <r>
    <s v="TX500118"/>
    <s v="Tank Tops"/>
    <n v="12"/>
    <n v="92.6"/>
    <n v="1111.1999999999998"/>
    <d v="2025-01-05T00:00:00"/>
    <d v="2025-01-07T00:00:00"/>
    <s v="F"/>
    <x v="2"/>
    <n v="4"/>
    <s v="California"/>
    <s v="Orange County"/>
    <n v="2"/>
    <n v="2"/>
    <x v="2"/>
  </r>
  <r>
    <s v="TX500119"/>
    <s v="Jeans"/>
    <n v="6"/>
    <n v="60.1"/>
    <n v="360.6"/>
    <d v="2025-01-05T00:00:00"/>
    <d v="2025-01-06T00:00:00"/>
    <s v="M"/>
    <x v="1"/>
    <n v="4"/>
    <s v="California"/>
    <s v="Riverside County"/>
    <n v="1"/>
    <n v="2"/>
    <x v="1"/>
  </r>
  <r>
    <s v="TX500120"/>
    <s v="Tank Tops"/>
    <n v="3"/>
    <n v="73"/>
    <n v="219"/>
    <d v="2025-01-05T00:00:00"/>
    <d v="2025-01-06T00:00:00"/>
    <s v="F"/>
    <x v="3"/>
    <n v="3"/>
    <s v="California"/>
    <s v="Sacramento County"/>
    <n v="1"/>
    <n v="2"/>
    <x v="2"/>
  </r>
  <r>
    <s v="TX500121"/>
    <s v="Jeans"/>
    <n v="3"/>
    <n v="44.3"/>
    <n v="132.89999999999998"/>
    <d v="2025-01-05T00:00:00"/>
    <d v="2025-01-09T00:00:00"/>
    <s v=""/>
    <x v="2"/>
    <n v="5"/>
    <s v="California"/>
    <s v="Sacramento County"/>
    <n v="4"/>
    <n v="2"/>
    <x v="0"/>
  </r>
  <r>
    <s v="TX500122"/>
    <s v="Jeans"/>
    <n v="3"/>
    <n v="63.3"/>
    <n v="189.89999999999998"/>
    <d v="2025-01-05T00:00:00"/>
    <d v="2025-01-06T00:00:00"/>
    <s v="M"/>
    <x v="2"/>
    <n v="4"/>
    <s v="California"/>
    <s v="Sacramento County"/>
    <n v="1"/>
    <n v="2"/>
    <x v="1"/>
  </r>
  <r>
    <s v="TX500123"/>
    <s v="Casual Dresses"/>
    <n v="1"/>
    <n v="66.8"/>
    <n v="66.8"/>
    <d v="2025-01-05T00:00:00"/>
    <d v="2025-01-06T00:00:00"/>
    <s v="F"/>
    <x v="1"/>
    <n v="4"/>
    <s v="California"/>
    <s v="Sacramento County"/>
    <n v="1"/>
    <n v="2"/>
    <x v="2"/>
  </r>
  <r>
    <s v="TX500124"/>
    <s v="Sneakers"/>
    <n v="2"/>
    <n v="59.7"/>
    <n v="119.4"/>
    <d v="2025-01-05T00:00:00"/>
    <d v="2025-01-06T00:00:00"/>
    <s v="F"/>
    <x v="0"/>
    <n v="4"/>
    <s v="California"/>
    <s v="San Bernardino County"/>
    <n v="1"/>
    <n v="2"/>
    <x v="2"/>
  </r>
  <r>
    <s v="TX500125"/>
    <s v="Tank Tops"/>
    <n v="6"/>
    <n v="92"/>
    <n v="552"/>
    <d v="2025-01-05T00:00:00"/>
    <d v="2025-01-07T00:00:00"/>
    <s v="M"/>
    <x v="0"/>
    <n v="2"/>
    <s v="California"/>
    <s v="San Bernardino County"/>
    <n v="2"/>
    <n v="2"/>
    <x v="1"/>
  </r>
  <r>
    <s v="TX500126"/>
    <s v="Hoodies &amp; Sweatshirts"/>
    <n v="2"/>
    <n v="87.6"/>
    <n v="175.2"/>
    <d v="2025-01-05T00:00:00"/>
    <d v="2025-01-07T00:00:00"/>
    <s v="M"/>
    <x v="1"/>
    <n v="3"/>
    <s v="California"/>
    <s v="San Diego County"/>
    <n v="2"/>
    <n v="2"/>
    <x v="1"/>
  </r>
  <r>
    <s v="TX500127"/>
    <s v="Jeans"/>
    <n v="3"/>
    <n v="84.5"/>
    <n v="253.5"/>
    <d v="2025-01-05T00:00:00"/>
    <d v="2025-01-06T00:00:00"/>
    <s v="F"/>
    <x v="1"/>
    <n v="3"/>
    <s v="California"/>
    <s v="San Diego County"/>
    <n v="1"/>
    <n v="2"/>
    <x v="2"/>
  </r>
  <r>
    <s v="TX500128"/>
    <s v="Tank Tops"/>
    <n v="2"/>
    <n v="116.3"/>
    <n v="232.6"/>
    <d v="2025-01-06T00:00:00"/>
    <d v="2025-01-08T00:00:00"/>
    <s v="M"/>
    <x v="2"/>
    <n v="5"/>
    <s v="California"/>
    <s v="San Diego County"/>
    <n v="2"/>
    <n v="2"/>
    <x v="1"/>
  </r>
  <r>
    <s v="TX500129"/>
    <s v="Jeans"/>
    <n v="5"/>
    <n v="52.7"/>
    <n v="263.5"/>
    <d v="2025-01-06T00:00:00"/>
    <d v="2025-01-10T00:00:00"/>
    <s v="M"/>
    <x v="0"/>
    <n v="4"/>
    <s v="California"/>
    <s v="San Diego County"/>
    <n v="4"/>
    <n v="2"/>
    <x v="1"/>
  </r>
  <r>
    <s v="TX500130"/>
    <s v="Sunglasses"/>
    <n v="3"/>
    <n v="34.200000000000003"/>
    <n v="102.60000000000001"/>
    <d v="2025-01-06T00:00:00"/>
    <d v="2025-01-07T00:00:00"/>
    <s v="M"/>
    <x v="0"/>
    <n v="5"/>
    <s v="California"/>
    <s v="San Joaquin County"/>
    <n v="1"/>
    <n v="2"/>
    <x v="1"/>
  </r>
  <r>
    <s v="TX500131"/>
    <s v="Sundresses"/>
    <n v="1"/>
    <n v="23.3"/>
    <n v="23.3"/>
    <d v="2025-01-06T00:00:00"/>
    <d v="2025-01-15T00:00:00"/>
    <s v="O"/>
    <x v="2"/>
    <n v="5"/>
    <s v="California"/>
    <s v="San Mateo County"/>
    <n v="9"/>
    <n v="2"/>
    <x v="3"/>
  </r>
  <r>
    <s v="TX500132"/>
    <s v="Shorts"/>
    <n v="26"/>
    <n v="25.9"/>
    <n v="673.4"/>
    <d v="2025-01-06T00:00:00"/>
    <d v="2025-01-09T00:00:00"/>
    <s v="F"/>
    <x v="4"/>
    <n v="3"/>
    <s v="California"/>
    <s v="San Mateo County"/>
    <n v="3"/>
    <n v="2"/>
    <x v="2"/>
  </r>
  <r>
    <s v="TX500133"/>
    <s v="Jeans"/>
    <n v="29"/>
    <n v="54.9"/>
    <n v="1592.1"/>
    <d v="2025-01-06T00:00:00"/>
    <d v="2025-01-07T00:00:00"/>
    <s v="M"/>
    <x v="1"/>
    <n v="5"/>
    <s v="California"/>
    <s v="San Mateo County"/>
    <n v="1"/>
    <n v="2"/>
    <x v="1"/>
  </r>
  <r>
    <s v="TX500134"/>
    <s v="Sandals"/>
    <n v="3"/>
    <n v="75.8"/>
    <n v="227.39999999999998"/>
    <d v="2025-01-06T00:00:00"/>
    <d v="2025-01-11T00:00:00"/>
    <s v="O"/>
    <x v="1"/>
    <n v="4"/>
    <s v="California"/>
    <s v="Sonoma County"/>
    <n v="5"/>
    <n v="2"/>
    <x v="3"/>
  </r>
  <r>
    <s v="TX500135"/>
    <s v="Tank Tops"/>
    <n v="9"/>
    <n v="44.9"/>
    <n v="404.09999999999997"/>
    <d v="2025-01-06T00:00:00"/>
    <d v="2025-01-09T00:00:00"/>
    <s v="F"/>
    <x v="2"/>
    <n v="5"/>
    <s v="California"/>
    <s v="Fresno County"/>
    <n v="3"/>
    <n v="2"/>
    <x v="2"/>
  </r>
  <r>
    <s v="TX500136"/>
    <s v="Maxi Dresses"/>
    <n v="2"/>
    <n v="48.8"/>
    <n v="97.6"/>
    <d v="2025-01-06T00:00:00"/>
    <d v="2025-01-08T00:00:00"/>
    <s v="F"/>
    <x v="3"/>
    <n v="4"/>
    <s v="California"/>
    <s v="Glenn County"/>
    <n v="2"/>
    <n v="2"/>
    <x v="2"/>
  </r>
  <r>
    <s v="TX500137"/>
    <s v="Crop Tops"/>
    <n v="1"/>
    <n v="20.3"/>
    <n v="20.3"/>
    <d v="2025-01-06T00:00:00"/>
    <d v="2025-01-07T00:00:00"/>
    <s v="F"/>
    <x v="0"/>
    <n v="5"/>
    <s v="California"/>
    <s v="Kern County"/>
    <n v="1"/>
    <n v="2"/>
    <x v="2"/>
  </r>
  <r>
    <s v="TX500138"/>
    <s v="Sandals"/>
    <n v="7"/>
    <n v="36.4"/>
    <n v="254.79999999999998"/>
    <d v="2025-01-06T00:00:00"/>
    <d v="2025-01-09T00:00:00"/>
    <s v="F"/>
    <x v="0"/>
    <n v="3"/>
    <s v="California"/>
    <s v="Los Angeles County"/>
    <n v="3"/>
    <n v="2"/>
    <x v="2"/>
  </r>
  <r>
    <s v="TX500139"/>
    <s v="Shorts"/>
    <n v="1"/>
    <n v="19"/>
    <n v="19"/>
    <d v="2025-01-06T00:00:00"/>
    <d v="2025-01-11T00:00:00"/>
    <s v="F"/>
    <x v="1"/>
    <n v="5"/>
    <s v="California"/>
    <s v="Los Angeles County"/>
    <n v="5"/>
    <n v="2"/>
    <x v="2"/>
  </r>
  <r>
    <s v="TX500140"/>
    <s v="T-Shirts"/>
    <n v="1"/>
    <n v="17.8"/>
    <n v="17.8"/>
    <d v="2025-01-06T00:00:00"/>
    <d v="2025-01-06T00:00:00"/>
    <s v="M"/>
    <x v="0"/>
    <n v="4"/>
    <s v="California"/>
    <s v="Los Angeles County"/>
    <n v="0"/>
    <n v="2"/>
    <x v="1"/>
  </r>
  <r>
    <s v="TX500141"/>
    <s v="Sneakers"/>
    <n v="6"/>
    <n v="139.6"/>
    <n v="837.59999999999991"/>
    <d v="2025-01-06T00:00:00"/>
    <d v="2025-01-09T00:00:00"/>
    <s v="M"/>
    <x v="0"/>
    <n v="4"/>
    <s v="California"/>
    <s v="Los Angeles County"/>
    <n v="3"/>
    <n v="2"/>
    <x v="1"/>
  </r>
  <r>
    <s v="TX500142"/>
    <s v="Sundresses"/>
    <n v="1"/>
    <n v="31.7"/>
    <n v="31.7"/>
    <d v="2025-01-06T00:00:00"/>
    <d v="2025-01-06T00:00:00"/>
    <s v=""/>
    <x v="0"/>
    <n v="4"/>
    <s v="California"/>
    <s v="Los Angeles County"/>
    <n v="0"/>
    <n v="2"/>
    <x v="0"/>
  </r>
  <r>
    <s v="TX500143"/>
    <s v="T-Shirts"/>
    <n v="8"/>
    <n v="26.3"/>
    <n v="210.4"/>
    <d v="2025-01-06T00:00:00"/>
    <d v="2025-01-09T00:00:00"/>
    <s v="F"/>
    <x v="4"/>
    <n v="2"/>
    <s v="California"/>
    <s v="Los Angeles County"/>
    <n v="3"/>
    <n v="2"/>
    <x v="2"/>
  </r>
  <r>
    <s v="TX500144"/>
    <s v="Graphic Tees"/>
    <n v="2"/>
    <n v="47.8"/>
    <n v="95.6"/>
    <d v="2025-01-06T00:00:00"/>
    <d v="2025-01-07T00:00:00"/>
    <s v=""/>
    <x v="0"/>
    <n v="4"/>
    <s v="California"/>
    <s v="Los Angeles County"/>
    <n v="1"/>
    <n v="2"/>
    <x v="0"/>
  </r>
  <r>
    <s v="TX500145"/>
    <s v="Sundresses"/>
    <n v="3"/>
    <n v="69.400000000000006"/>
    <n v="208.20000000000002"/>
    <d v="2025-01-06T00:00:00"/>
    <d v="2025-01-10T00:00:00"/>
    <s v="F"/>
    <x v="0"/>
    <n v="4"/>
    <s v="California"/>
    <s v="Los Angeles County"/>
    <n v="4"/>
    <n v="2"/>
    <x v="2"/>
  </r>
  <r>
    <s v="TX500146"/>
    <s v="Leggings"/>
    <n v="12"/>
    <n v="25.8"/>
    <n v="309.60000000000002"/>
    <d v="2025-01-06T00:00:00"/>
    <d v="2025-01-07T00:00:00"/>
    <s v="M"/>
    <x v="4"/>
    <n v="2"/>
    <s v="California"/>
    <s v="Los Angeles County"/>
    <n v="1"/>
    <n v="2"/>
    <x v="1"/>
  </r>
  <r>
    <s v="TX500147"/>
    <s v="Shorts"/>
    <n v="4"/>
    <n v="26.4"/>
    <n v="105.6"/>
    <d v="2025-01-06T00:00:00"/>
    <d v="2025-01-07T00:00:00"/>
    <s v="M"/>
    <x v="1"/>
    <n v="5"/>
    <s v="California"/>
    <s v="Los Angeles County"/>
    <n v="1"/>
    <n v="2"/>
    <x v="1"/>
  </r>
  <r>
    <s v="TX500148"/>
    <s v="T-Shirts"/>
    <n v="4"/>
    <n v="15.7"/>
    <n v="62.8"/>
    <d v="2025-01-06T00:00:00"/>
    <d v="2025-01-07T00:00:00"/>
    <s v="M"/>
    <x v="2"/>
    <n v="4"/>
    <s v="California"/>
    <s v="Los Angeles County"/>
    <n v="1"/>
    <n v="2"/>
    <x v="1"/>
  </r>
  <r>
    <s v="TX500149"/>
    <s v="T-Shirts"/>
    <n v="1"/>
    <n v="39.700000000000003"/>
    <n v="39.700000000000003"/>
    <d v="2025-01-06T00:00:00"/>
    <d v="2025-01-10T00:00:00"/>
    <s v="M"/>
    <x v="0"/>
    <n v="4"/>
    <s v="California"/>
    <s v="Los Angeles County"/>
    <n v="4"/>
    <n v="2"/>
    <x v="1"/>
  </r>
  <r>
    <s v="TX500150"/>
    <s v="Bikinis"/>
    <n v="4"/>
    <n v="31.1"/>
    <n v="124.4"/>
    <d v="2025-01-06T00:00:00"/>
    <d v="2025-01-08T00:00:00"/>
    <s v="F"/>
    <x v="2"/>
    <n v="3"/>
    <s v="California"/>
    <s v="Los Angeles County"/>
    <n v="2"/>
    <n v="2"/>
    <x v="2"/>
  </r>
  <r>
    <s v="TX500151"/>
    <s v="Tote Bags"/>
    <n v="15"/>
    <n v="23.4"/>
    <n v="351"/>
    <d v="2025-01-06T00:00:00"/>
    <d v="2025-01-15T00:00:00"/>
    <s v="M"/>
    <x v="0"/>
    <n v="4"/>
    <s v="California"/>
    <s v="Los Angeles County"/>
    <n v="9"/>
    <n v="2"/>
    <x v="1"/>
  </r>
  <r>
    <s v="TX500152"/>
    <s v="Tank Tops"/>
    <n v="4"/>
    <n v="57.1"/>
    <n v="228.4"/>
    <d v="2025-01-07T00:00:00"/>
    <d v="2025-01-08T00:00:00"/>
    <s v="M"/>
    <x v="2"/>
    <n v="4"/>
    <s v="California"/>
    <s v="Orange County"/>
    <n v="1"/>
    <n v="2"/>
    <x v="1"/>
  </r>
  <r>
    <s v="TX500153"/>
    <s v="Sneakers"/>
    <n v="5"/>
    <n v="89.9"/>
    <n v="449.5"/>
    <d v="2025-01-07T00:00:00"/>
    <d v="2025-01-07T00:00:00"/>
    <s v="F"/>
    <x v="0"/>
    <n v="1"/>
    <s v="California"/>
    <s v="Riverside County"/>
    <n v="0"/>
    <n v="2"/>
    <x v="2"/>
  </r>
  <r>
    <s v="TX500154"/>
    <s v="Bikinis"/>
    <n v="7"/>
    <n v="48.1"/>
    <n v="336.7"/>
    <d v="2025-01-07T00:00:00"/>
    <d v="2025-01-09T00:00:00"/>
    <s v="F"/>
    <x v="1"/>
    <n v="5"/>
    <s v="California"/>
    <s v="Sacramento County"/>
    <n v="2"/>
    <n v="2"/>
    <x v="2"/>
  </r>
  <r>
    <s v="TX500155"/>
    <s v="T-Shirts"/>
    <n v="2"/>
    <n v="29.3"/>
    <n v="58.6"/>
    <d v="2025-01-07T00:00:00"/>
    <d v="2025-01-07T00:00:00"/>
    <s v="F"/>
    <x v="1"/>
    <n v="3"/>
    <s v="California"/>
    <s v="Sacramento County"/>
    <n v="0"/>
    <n v="2"/>
    <x v="2"/>
  </r>
  <r>
    <s v="TX500156"/>
    <s v="T-Shirts"/>
    <n v="4"/>
    <n v="28.8"/>
    <n v="115.2"/>
    <d v="2025-01-07T00:00:00"/>
    <d v="2025-01-08T00:00:00"/>
    <s v="F"/>
    <x v="0"/>
    <n v="2"/>
    <s v="California"/>
    <s v="Sacramento County"/>
    <n v="1"/>
    <n v="2"/>
    <x v="2"/>
  </r>
  <r>
    <s v="TX500157"/>
    <s v="Bikinis"/>
    <n v="5"/>
    <n v="40.5"/>
    <n v="202.5"/>
    <d v="2025-01-07T00:00:00"/>
    <d v="2025-01-11T00:00:00"/>
    <s v="F"/>
    <x v="3"/>
    <n v="4"/>
    <s v="California"/>
    <s v="Sacramento County"/>
    <n v="4"/>
    <n v="2"/>
    <x v="2"/>
  </r>
  <r>
    <s v="TX500158"/>
    <s v="Leggings"/>
    <n v="14"/>
    <n v="65.099999999999994"/>
    <n v="911.39999999999986"/>
    <d v="2025-01-07T00:00:00"/>
    <d v="2025-01-08T00:00:00"/>
    <s v="F"/>
    <x v="4"/>
    <n v="4"/>
    <s v="California"/>
    <s v="San Bernardino County"/>
    <n v="1"/>
    <n v="2"/>
    <x v="2"/>
  </r>
  <r>
    <s v="TX500159"/>
    <s v="T-Shirts"/>
    <n v="4"/>
    <n v="40.299999999999997"/>
    <n v="161.19999999999999"/>
    <d v="2025-01-07T00:00:00"/>
    <d v="2025-01-12T00:00:00"/>
    <s v="F"/>
    <x v="2"/>
    <n v="4"/>
    <s v="California"/>
    <s v="San Bernardino County"/>
    <n v="5"/>
    <n v="2"/>
    <x v="2"/>
  </r>
  <r>
    <s v="TX500160"/>
    <s v="Jeans"/>
    <n v="5"/>
    <n v="51.8"/>
    <n v="259"/>
    <d v="2025-01-07T00:00:00"/>
    <d v="2025-01-08T00:00:00"/>
    <s v="M"/>
    <x v="2"/>
    <n v="5"/>
    <s v="California"/>
    <s v="San Diego County"/>
    <n v="1"/>
    <n v="2"/>
    <x v="1"/>
  </r>
  <r>
    <s v="TX500161"/>
    <s v="Jeans"/>
    <n v="3"/>
    <n v="61.3"/>
    <n v="183.89999999999998"/>
    <d v="2025-01-07T00:00:00"/>
    <d v="2025-01-08T00:00:00"/>
    <s v="F"/>
    <x v="3"/>
    <n v="4"/>
    <s v="California"/>
    <s v="San Diego County"/>
    <n v="1"/>
    <n v="2"/>
    <x v="2"/>
  </r>
  <r>
    <s v="TX500162"/>
    <s v="Sneakers"/>
    <n v="4"/>
    <n v="122.5"/>
    <n v="490"/>
    <d v="2025-01-07T00:00:00"/>
    <d v="2025-01-08T00:00:00"/>
    <s v="M"/>
    <x v="0"/>
    <n v="4"/>
    <s v="California"/>
    <s v="San Diego County"/>
    <n v="1"/>
    <n v="2"/>
    <x v="1"/>
  </r>
  <r>
    <s v="TX500163"/>
    <s v="Shorts"/>
    <n v="9"/>
    <n v="12.5"/>
    <n v="112.5"/>
    <d v="2025-01-07T00:00:00"/>
    <d v="2025-01-08T00:00:00"/>
    <s v=""/>
    <x v="1"/>
    <n v="5"/>
    <s v="California"/>
    <s v="San Diego County"/>
    <n v="1"/>
    <n v="2"/>
    <x v="0"/>
  </r>
  <r>
    <s v="TX500164"/>
    <s v="Crop Tops"/>
    <n v="8"/>
    <n v="37.5"/>
    <n v="300"/>
    <d v="2025-01-07T00:00:00"/>
    <d v="2025-01-08T00:00:00"/>
    <s v="F"/>
    <x v="0"/>
    <n v="4"/>
    <s v="California"/>
    <s v="San Mateo County"/>
    <n v="1"/>
    <n v="2"/>
    <x v="2"/>
  </r>
  <r>
    <s v="TX500165"/>
    <s v="Jeans"/>
    <n v="3"/>
    <n v="40"/>
    <n v="120"/>
    <d v="2025-01-07T00:00:00"/>
    <d v="2025-01-10T00:00:00"/>
    <s v="M"/>
    <x v="0"/>
    <n v="2"/>
    <s v="California"/>
    <s v="Santa Clara County"/>
    <n v="3"/>
    <n v="2"/>
    <x v="1"/>
  </r>
  <r>
    <s v="TX500166"/>
    <s v="Pajama Sets"/>
    <n v="8"/>
    <n v="38.5"/>
    <n v="308"/>
    <d v="2025-01-07T00:00:00"/>
    <d v="2025-01-12T00:00:00"/>
    <s v="F"/>
    <x v="2"/>
    <n v="3"/>
    <s v="California"/>
    <s v="Santa Clara County"/>
    <n v="5"/>
    <n v="2"/>
    <x v="2"/>
  </r>
  <r>
    <s v="TX500167"/>
    <s v="Sneakers"/>
    <n v="2"/>
    <n v="86.4"/>
    <n v="172.8"/>
    <d v="2025-01-07T00:00:00"/>
    <d v="2025-01-09T00:00:00"/>
    <s v="F"/>
    <x v="0"/>
    <n v="4"/>
    <s v="California"/>
    <s v="Sonoma County"/>
    <n v="2"/>
    <n v="2"/>
    <x v="2"/>
  </r>
  <r>
    <s v="TX500168"/>
    <s v="Bikinis"/>
    <n v="1"/>
    <n v="50.7"/>
    <n v="50.7"/>
    <d v="2025-01-07T00:00:00"/>
    <d v="2025-01-11T00:00:00"/>
    <s v="F"/>
    <x v="1"/>
    <n v="4"/>
    <s v="California"/>
    <s v="Sonoma County"/>
    <n v="4"/>
    <n v="2"/>
    <x v="2"/>
  </r>
  <r>
    <s v="TX500169"/>
    <s v="Bikinis"/>
    <n v="2"/>
    <n v="61"/>
    <n v="122"/>
    <d v="2025-01-07T00:00:00"/>
    <d v="2025-01-18T00:00:00"/>
    <s v="F"/>
    <x v="4"/>
    <n v="3"/>
    <s v="California"/>
    <s v="Sonoma County"/>
    <n v="11"/>
    <n v="2"/>
    <x v="2"/>
  </r>
  <r>
    <s v="TX500170"/>
    <s v="Graphic Tees"/>
    <n v="2"/>
    <n v="19.899999999999999"/>
    <n v="39.799999999999997"/>
    <d v="2025-01-07T00:00:00"/>
    <d v="2025-01-10T00:00:00"/>
    <s v="F"/>
    <x v="1"/>
    <n v="4"/>
    <s v="California"/>
    <s v="Yolo County"/>
    <n v="3"/>
    <n v="2"/>
    <x v="2"/>
  </r>
  <r>
    <s v="TX500171"/>
    <s v="Sandals"/>
    <n v="1"/>
    <n v="78.3"/>
    <n v="78.3"/>
    <d v="2025-01-07T00:00:00"/>
    <d v="2025-01-07T00:00:00"/>
    <s v="F"/>
    <x v="0"/>
    <n v="5"/>
    <s v="California"/>
    <s v="Contra Costa County"/>
    <n v="0"/>
    <n v="2"/>
    <x v="2"/>
  </r>
  <r>
    <s v="TX500172"/>
    <s v="Shorts"/>
    <n v="19"/>
    <n v="10.4"/>
    <n v="197.6"/>
    <d v="2025-01-07T00:00:00"/>
    <d v="2025-01-09T00:00:00"/>
    <s v="M"/>
    <x v="0"/>
    <n v="5"/>
    <s v="California"/>
    <s v="Fresno County"/>
    <n v="2"/>
    <n v="2"/>
    <x v="1"/>
  </r>
  <r>
    <s v="TX500173"/>
    <s v="Bikinis"/>
    <n v="1"/>
    <n v="36.1"/>
    <n v="36.1"/>
    <d v="2025-01-07T00:00:00"/>
    <d v="2025-01-10T00:00:00"/>
    <s v="M"/>
    <x v="3"/>
    <n v="5"/>
    <s v="California"/>
    <s v="Los Angeles County"/>
    <n v="3"/>
    <n v="2"/>
    <x v="1"/>
  </r>
  <r>
    <s v="TX500174"/>
    <s v="Baseball Caps"/>
    <n v="2"/>
    <n v="17.3"/>
    <n v="34.6"/>
    <d v="2025-01-07T00:00:00"/>
    <d v="2025-01-09T00:00:00"/>
    <s v="F"/>
    <x v="1"/>
    <n v="5"/>
    <s v="California"/>
    <s v="Los Angeles County"/>
    <n v="2"/>
    <n v="2"/>
    <x v="2"/>
  </r>
  <r>
    <s v="TX500175"/>
    <s v="Bikinis"/>
    <n v="2"/>
    <n v="30.5"/>
    <n v="61"/>
    <d v="2025-01-07T00:00:00"/>
    <d v="2025-01-08T00:00:00"/>
    <s v="F"/>
    <x v="1"/>
    <n v="5"/>
    <s v="California"/>
    <s v="Los Angeles County"/>
    <n v="1"/>
    <n v="2"/>
    <x v="2"/>
  </r>
  <r>
    <s v="TX500176"/>
    <s v="Leggings"/>
    <n v="62"/>
    <n v="70.099999999999994"/>
    <n v="4346.2"/>
    <d v="2025-01-07T00:00:00"/>
    <d v="2025-01-07T00:00:00"/>
    <s v="F"/>
    <x v="2"/>
    <n v="4"/>
    <s v="California"/>
    <s v="Los Angeles County"/>
    <n v="0"/>
    <n v="2"/>
    <x v="2"/>
  </r>
  <r>
    <s v="TX500177"/>
    <s v="Workout Tops"/>
    <n v="1"/>
    <n v="76.099999999999994"/>
    <n v="76.099999999999994"/>
    <d v="2025-01-07T00:00:00"/>
    <d v="2025-01-07T00:00:00"/>
    <s v="F"/>
    <x v="2"/>
    <n v="3"/>
    <s v="California"/>
    <s v="Los Angeles County"/>
    <n v="0"/>
    <n v="2"/>
    <x v="2"/>
  </r>
  <r>
    <s v="TX500178"/>
    <s v="Crop Tops"/>
    <n v="13"/>
    <n v="34.200000000000003"/>
    <n v="444.6"/>
    <d v="2025-01-07T00:00:00"/>
    <d v="2025-01-08T00:00:00"/>
    <s v="M"/>
    <x v="0"/>
    <n v="4"/>
    <s v="California"/>
    <s v="Los Angeles County"/>
    <n v="1"/>
    <n v="2"/>
    <x v="1"/>
  </r>
  <r>
    <s v="TX500179"/>
    <s v="T-Shirts"/>
    <n v="5"/>
    <n v="30.3"/>
    <n v="151.5"/>
    <d v="2025-01-07T00:00:00"/>
    <d v="2025-01-12T00:00:00"/>
    <s v="F"/>
    <x v="4"/>
    <n v="4"/>
    <s v="California"/>
    <s v="Los Angeles County"/>
    <n v="5"/>
    <n v="2"/>
    <x v="2"/>
  </r>
  <r>
    <s v="TX500180"/>
    <s v="Jeans"/>
    <n v="5"/>
    <n v="52.5"/>
    <n v="262.5"/>
    <d v="2025-01-07T00:00:00"/>
    <d v="2025-01-11T00:00:00"/>
    <s v=""/>
    <x v="3"/>
    <n v="4"/>
    <s v="California"/>
    <s v="Los Angeles County"/>
    <n v="4"/>
    <n v="2"/>
    <x v="0"/>
  </r>
  <r>
    <s v="TX500181"/>
    <s v="Sundresses"/>
    <n v="11"/>
    <n v="28.7"/>
    <n v="315.7"/>
    <d v="2025-01-07T00:00:00"/>
    <d v="2025-01-08T00:00:00"/>
    <s v="F"/>
    <x v="2"/>
    <n v="4"/>
    <s v="California"/>
    <s v="Los Angeles County"/>
    <n v="1"/>
    <n v="2"/>
    <x v="2"/>
  </r>
  <r>
    <s v="TX500182"/>
    <s v="Hoodies &amp; Sweatshirts"/>
    <n v="7"/>
    <n v="52"/>
    <n v="364"/>
    <d v="2025-01-07T00:00:00"/>
    <d v="2025-01-08T00:00:00"/>
    <s v="M"/>
    <x v="1"/>
    <n v="2"/>
    <s v="California"/>
    <s v="Los Angeles County"/>
    <n v="1"/>
    <n v="2"/>
    <x v="1"/>
  </r>
  <r>
    <s v="TX500183"/>
    <s v="Shorts"/>
    <n v="1"/>
    <n v="13.3"/>
    <n v="13.3"/>
    <d v="2025-01-08T00:00:00"/>
    <d v="2025-01-12T00:00:00"/>
    <s v="F"/>
    <x v="2"/>
    <n v="3"/>
    <s v="California"/>
    <s v="Los Angeles County"/>
    <n v="4"/>
    <n v="2"/>
    <x v="2"/>
  </r>
  <r>
    <s v="TX500184"/>
    <s v="Shorts"/>
    <n v="3"/>
    <n v="15.7"/>
    <n v="47.099999999999994"/>
    <d v="2025-01-08T00:00:00"/>
    <d v="2025-01-09T00:00:00"/>
    <s v="F"/>
    <x v="1"/>
    <n v="4"/>
    <s v="California"/>
    <s v="Mendocino County"/>
    <n v="1"/>
    <n v="2"/>
    <x v="2"/>
  </r>
  <r>
    <s v="TX500185"/>
    <s v="T-Shirts"/>
    <n v="2"/>
    <n v="25.6"/>
    <n v="51.2"/>
    <d v="2025-01-08T00:00:00"/>
    <d v="2025-01-09T00:00:00"/>
    <s v="M"/>
    <x v="0"/>
    <n v="5"/>
    <s v="California"/>
    <s v="Riverside County"/>
    <n v="1"/>
    <n v="2"/>
    <x v="1"/>
  </r>
  <r>
    <s v="TX500186"/>
    <s v="T-Shirts"/>
    <n v="1"/>
    <n v="43.4"/>
    <n v="43.4"/>
    <d v="2025-01-08T00:00:00"/>
    <d v="2025-01-13T00:00:00"/>
    <s v="M"/>
    <x v="0"/>
    <n v="4"/>
    <s v="California"/>
    <s v="Sacramento County"/>
    <n v="5"/>
    <n v="2"/>
    <x v="1"/>
  </r>
  <r>
    <s v="TX500187"/>
    <s v="Maxi Dresses"/>
    <n v="9"/>
    <n v="33.4"/>
    <n v="300.59999999999997"/>
    <d v="2025-01-08T00:00:00"/>
    <d v="2025-01-08T00:00:00"/>
    <s v="F"/>
    <x v="0"/>
    <n v="4"/>
    <s v="California"/>
    <s v="San Diego County"/>
    <n v="0"/>
    <n v="2"/>
    <x v="2"/>
  </r>
  <r>
    <s v="TX500188"/>
    <s v="T-Shirts"/>
    <n v="19"/>
    <n v="55"/>
    <n v="1045"/>
    <d v="2025-01-08T00:00:00"/>
    <d v="2025-01-09T00:00:00"/>
    <s v="F"/>
    <x v="1"/>
    <n v="5"/>
    <s v="California"/>
    <s v="San Diego County"/>
    <n v="1"/>
    <n v="2"/>
    <x v="2"/>
  </r>
  <r>
    <s v="TX500189"/>
    <s v="T-Shirts"/>
    <n v="3"/>
    <n v="23.6"/>
    <n v="70.800000000000011"/>
    <d v="2025-01-08T00:00:00"/>
    <d v="2025-01-09T00:00:00"/>
    <s v="M"/>
    <x v="0"/>
    <n v="5"/>
    <s v="California"/>
    <s v="San Diego County"/>
    <n v="1"/>
    <n v="2"/>
    <x v="1"/>
  </r>
  <r>
    <s v="TX500190"/>
    <s v="Casual Dresses"/>
    <n v="9"/>
    <n v="104"/>
    <n v="936"/>
    <d v="2025-01-08T00:00:00"/>
    <d v="2025-01-10T00:00:00"/>
    <s v="F"/>
    <x v="2"/>
    <n v="5"/>
    <s v="California"/>
    <s v="San Francisco"/>
    <n v="2"/>
    <n v="2"/>
    <x v="2"/>
  </r>
  <r>
    <s v="TX500191"/>
    <s v="Jeans"/>
    <n v="2"/>
    <n v="51.8"/>
    <n v="103.6"/>
    <d v="2025-01-08T00:00:00"/>
    <d v="2025-01-12T00:00:00"/>
    <s v=""/>
    <x v="0"/>
    <n v="5"/>
    <s v="California"/>
    <s v="Santa Barbara County"/>
    <n v="4"/>
    <n v="2"/>
    <x v="0"/>
  </r>
  <r>
    <s v="TX500192"/>
    <s v="Bikinis"/>
    <n v="5"/>
    <n v="34.5"/>
    <n v="172.5"/>
    <d v="2025-01-08T00:00:00"/>
    <d v="2025-01-10T00:00:00"/>
    <s v=""/>
    <x v="2"/>
    <n v="5"/>
    <s v="California"/>
    <s v="Santa Clara County"/>
    <n v="2"/>
    <n v="2"/>
    <x v="0"/>
  </r>
  <r>
    <s v="TX500193"/>
    <s v="Jeans"/>
    <n v="2"/>
    <n v="51.8"/>
    <n v="103.6"/>
    <d v="2025-01-08T00:00:00"/>
    <d v="2025-01-10T00:00:00"/>
    <s v="M"/>
    <x v="1"/>
    <n v="5"/>
    <s v="California"/>
    <s v="Siskiyou County"/>
    <n v="2"/>
    <n v="2"/>
    <x v="1"/>
  </r>
  <r>
    <s v="TX500194"/>
    <s v="Leggings"/>
    <n v="43"/>
    <n v="131.5"/>
    <n v="5654.5"/>
    <d v="2025-01-08T00:00:00"/>
    <d v="2025-01-09T00:00:00"/>
    <s v="F"/>
    <x v="0"/>
    <n v="5"/>
    <s v="California"/>
    <s v="Sonoma County"/>
    <n v="1"/>
    <n v="2"/>
    <x v="2"/>
  </r>
  <r>
    <s v="TX500195"/>
    <s v="T-Shirts"/>
    <n v="7"/>
    <n v="47.8"/>
    <n v="334.59999999999997"/>
    <d v="2025-01-08T00:00:00"/>
    <d v="2025-01-08T00:00:00"/>
    <s v="F"/>
    <x v="0"/>
    <n v="4"/>
    <s v="California"/>
    <s v="Stanislaus County"/>
    <n v="0"/>
    <n v="2"/>
    <x v="2"/>
  </r>
  <r>
    <s v="TX500196"/>
    <s v="Shorts"/>
    <n v="2"/>
    <n v="10.199999999999999"/>
    <n v="20.399999999999999"/>
    <d v="2025-01-08T00:00:00"/>
    <d v="2025-01-10T00:00:00"/>
    <s v="F"/>
    <x v="0"/>
    <n v="4"/>
    <s v="California"/>
    <s v="Stanislaus County"/>
    <n v="2"/>
    <n v="2"/>
    <x v="2"/>
  </r>
  <r>
    <s v="TX500197"/>
    <s v="T-Shirts"/>
    <n v="8"/>
    <n v="41"/>
    <n v="328"/>
    <d v="2025-01-08T00:00:00"/>
    <d v="2025-01-08T00:00:00"/>
    <s v="F"/>
    <x v="1"/>
    <n v="5"/>
    <s v="California"/>
    <s v="Stanislaus County"/>
    <n v="0"/>
    <n v="2"/>
    <x v="2"/>
  </r>
  <r>
    <s v="TX500198"/>
    <s v="Bikinis"/>
    <n v="7"/>
    <n v="50.8"/>
    <n v="355.59999999999997"/>
    <d v="2025-01-08T00:00:00"/>
    <d v="2025-01-11T00:00:00"/>
    <s v="F"/>
    <x v="1"/>
    <n v="4"/>
    <s v="California"/>
    <s v="Alameda County"/>
    <n v="3"/>
    <n v="2"/>
    <x v="2"/>
  </r>
  <r>
    <s v="TX500199"/>
    <s v="Leggings"/>
    <n v="3"/>
    <n v="39.6"/>
    <n v="118.80000000000001"/>
    <d v="2025-01-08T00:00:00"/>
    <d v="2025-01-09T00:00:00"/>
    <s v="M"/>
    <x v="2"/>
    <n v="5"/>
    <s v="California"/>
    <s v="Contra Costa County"/>
    <n v="1"/>
    <n v="2"/>
    <x v="1"/>
  </r>
  <r>
    <s v="TX500200"/>
    <s v="Sandals"/>
    <n v="2"/>
    <n v="69.5"/>
    <n v="139"/>
    <d v="2025-01-08T00:00:00"/>
    <d v="2025-01-10T00:00:00"/>
    <s v="M"/>
    <x v="0"/>
    <n v="5"/>
    <s v="California"/>
    <s v="Fresno County"/>
    <n v="2"/>
    <n v="2"/>
    <x v="1"/>
  </r>
  <r>
    <s v="TX500201"/>
    <s v="T-Shirts"/>
    <n v="8"/>
    <n v="32.6"/>
    <n v="260.8"/>
    <d v="2025-01-08T00:00:00"/>
    <d v="2025-01-11T00:00:00"/>
    <s v="M"/>
    <x v="1"/>
    <n v="4"/>
    <s v="California"/>
    <s v="Los Angeles County"/>
    <n v="3"/>
    <n v="2"/>
    <x v="1"/>
  </r>
  <r>
    <s v="TX500202"/>
    <s v="Hoodies &amp; Sweatshirts"/>
    <n v="2"/>
    <n v="49.1"/>
    <n v="98.2"/>
    <d v="2025-01-08T00:00:00"/>
    <d v="2025-01-16T00:00:00"/>
    <s v="M"/>
    <x v="3"/>
    <n v="5"/>
    <s v="California"/>
    <s v="Los Angeles County"/>
    <n v="8"/>
    <n v="2"/>
    <x v="1"/>
  </r>
  <r>
    <s v="TX500203"/>
    <s v="Jeans"/>
    <n v="2"/>
    <n v="49.4"/>
    <n v="98.8"/>
    <d v="2025-01-09T00:00:00"/>
    <d v="2025-01-10T00:00:00"/>
    <s v="F"/>
    <x v="2"/>
    <n v="4"/>
    <s v="California"/>
    <s v="Los Angeles County"/>
    <n v="1"/>
    <n v="2"/>
    <x v="2"/>
  </r>
  <r>
    <s v="TX500204"/>
    <s v="Hoodies &amp; Sweatshirts"/>
    <n v="7"/>
    <n v="65.099999999999994"/>
    <n v="455.69999999999993"/>
    <d v="2025-01-09T00:00:00"/>
    <d v="2025-01-12T00:00:00"/>
    <s v="F"/>
    <x v="2"/>
    <n v="5"/>
    <s v="California"/>
    <s v="Los Angeles County"/>
    <n v="3"/>
    <n v="2"/>
    <x v="2"/>
  </r>
  <r>
    <s v="TX500205"/>
    <s v="Workout Tops"/>
    <n v="2"/>
    <n v="52.1"/>
    <n v="104.2"/>
    <d v="2025-01-09T00:00:00"/>
    <d v="2025-01-13T00:00:00"/>
    <s v="F"/>
    <x v="2"/>
    <n v="4"/>
    <s v="California"/>
    <s v="Los Angeles County"/>
    <n v="4"/>
    <n v="2"/>
    <x v="2"/>
  </r>
  <r>
    <s v="TX500206"/>
    <s v="Sneakers"/>
    <n v="4"/>
    <n v="129.19999999999999"/>
    <n v="516.79999999999995"/>
    <d v="2025-01-09T00:00:00"/>
    <d v="2025-01-10T00:00:00"/>
    <s v="F"/>
    <x v="1"/>
    <n v="4"/>
    <s v="California"/>
    <s v="Los Angeles County"/>
    <n v="1"/>
    <n v="2"/>
    <x v="2"/>
  </r>
  <r>
    <s v="TX500207"/>
    <s v="Tank Tops"/>
    <n v="19"/>
    <n v="81.8"/>
    <n v="1554.2"/>
    <d v="2025-01-09T00:00:00"/>
    <d v="2025-01-09T00:00:00"/>
    <s v="F"/>
    <x v="1"/>
    <n v="3"/>
    <s v="California"/>
    <s v="Los Angeles County"/>
    <n v="0"/>
    <n v="2"/>
    <x v="2"/>
  </r>
  <r>
    <s v="TX500208"/>
    <s v="Pajama Sets"/>
    <n v="1"/>
    <n v="24.9"/>
    <n v="24.9"/>
    <d v="2025-01-09T00:00:00"/>
    <d v="2025-01-13T00:00:00"/>
    <s v="F"/>
    <x v="1"/>
    <n v="4"/>
    <s v="California"/>
    <s v="Los Angeles County"/>
    <n v="4"/>
    <n v="2"/>
    <x v="2"/>
  </r>
  <r>
    <s v="TX500209"/>
    <s v="Shorts"/>
    <n v="3"/>
    <n v="49.4"/>
    <n v="148.19999999999999"/>
    <d v="2025-01-09T00:00:00"/>
    <d v="2025-01-12T00:00:00"/>
    <s v="F"/>
    <x v="4"/>
    <n v="2"/>
    <s v="California"/>
    <s v="Los Angeles County"/>
    <n v="3"/>
    <n v="2"/>
    <x v="2"/>
  </r>
  <r>
    <s v="TX500210"/>
    <s v="T-Shirts"/>
    <n v="2"/>
    <n v="22.7"/>
    <n v="45.4"/>
    <d v="2025-01-09T00:00:00"/>
    <d v="2025-01-10T00:00:00"/>
    <s v="M"/>
    <x v="3"/>
    <n v="5"/>
    <s v="California"/>
    <s v="Los Angeles County"/>
    <n v="1"/>
    <n v="2"/>
    <x v="1"/>
  </r>
  <r>
    <s v="TX500211"/>
    <s v="Tank Tops"/>
    <n v="1"/>
    <n v="77.3"/>
    <n v="77.3"/>
    <d v="2025-01-09T00:00:00"/>
    <d v="2025-01-09T00:00:00"/>
    <s v="F"/>
    <x v="0"/>
    <n v="5"/>
    <s v="California"/>
    <s v="Sacramento County"/>
    <n v="0"/>
    <n v="2"/>
    <x v="2"/>
  </r>
  <r>
    <s v="TX500212"/>
    <s v="Tank Tops"/>
    <n v="5"/>
    <n v="109.1"/>
    <n v="545.5"/>
    <d v="2025-01-09T00:00:00"/>
    <d v="2025-01-12T00:00:00"/>
    <s v="F"/>
    <x v="0"/>
    <n v="4"/>
    <s v="California"/>
    <s v="Sacramento County"/>
    <n v="3"/>
    <n v="2"/>
    <x v="2"/>
  </r>
  <r>
    <s v="TX500213"/>
    <s v="Sneakers"/>
    <n v="4"/>
    <n v="53.9"/>
    <n v="215.6"/>
    <d v="2025-01-09T00:00:00"/>
    <d v="2025-01-10T00:00:00"/>
    <s v="M"/>
    <x v="0"/>
    <n v="3"/>
    <s v="California"/>
    <s v="San Diego County"/>
    <n v="1"/>
    <n v="2"/>
    <x v="1"/>
  </r>
  <r>
    <s v="TX500214"/>
    <s v="Sundresses"/>
    <n v="26"/>
    <n v="21.2"/>
    <n v="551.19999999999993"/>
    <d v="2025-01-09T00:00:00"/>
    <d v="2025-01-09T00:00:00"/>
    <s v="F"/>
    <x v="0"/>
    <n v="4"/>
    <s v="California"/>
    <s v="San Mateo County"/>
    <n v="0"/>
    <n v="2"/>
    <x v="2"/>
  </r>
  <r>
    <s v="TX500215"/>
    <s v="Sunglasses"/>
    <n v="4"/>
    <n v="69"/>
    <n v="276"/>
    <d v="2025-01-09T00:00:00"/>
    <d v="2025-01-11T00:00:00"/>
    <s v="F"/>
    <x v="1"/>
    <n v="3"/>
    <s v="California"/>
    <s v="Sonoma County"/>
    <n v="2"/>
    <n v="2"/>
    <x v="2"/>
  </r>
  <r>
    <s v="TX500216"/>
    <s v="Jeans"/>
    <n v="3"/>
    <n v="46.2"/>
    <n v="138.60000000000002"/>
    <d v="2025-01-09T00:00:00"/>
    <d v="2025-01-11T00:00:00"/>
    <s v="F"/>
    <x v="0"/>
    <n v="5"/>
    <s v="California"/>
    <s v="Sutter County"/>
    <n v="2"/>
    <n v="2"/>
    <x v="2"/>
  </r>
  <r>
    <s v="TX500217"/>
    <s v="Tank Tops"/>
    <n v="5"/>
    <n v="97.4"/>
    <n v="487"/>
    <d v="2025-01-09T00:00:00"/>
    <d v="2025-01-13T00:00:00"/>
    <s v="F"/>
    <x v="4"/>
    <n v="5"/>
    <s v="California"/>
    <s v="Alameda County"/>
    <n v="4"/>
    <n v="2"/>
    <x v="2"/>
  </r>
  <r>
    <s v="TX500218"/>
    <s v="T-Shirts"/>
    <n v="5"/>
    <n v="21"/>
    <n v="105"/>
    <d v="2025-01-09T00:00:00"/>
    <d v="2025-01-10T00:00:00"/>
    <s v="M"/>
    <x v="0"/>
    <n v="3"/>
    <s v="California"/>
    <s v="Alameda County"/>
    <n v="1"/>
    <n v="2"/>
    <x v="1"/>
  </r>
  <r>
    <s v="TX500219"/>
    <s v="Sandals"/>
    <n v="2"/>
    <n v="32.700000000000003"/>
    <n v="65.400000000000006"/>
    <d v="2025-01-10T00:00:00"/>
    <d v="2025-01-13T00:00:00"/>
    <s v="F"/>
    <x v="1"/>
    <n v="4"/>
    <s v="California"/>
    <s v="Fresno County"/>
    <n v="3"/>
    <n v="2"/>
    <x v="2"/>
  </r>
  <r>
    <s v="TX500220"/>
    <s v="Jeans"/>
    <n v="4"/>
    <n v="48"/>
    <n v="192"/>
    <d v="2025-01-10T00:00:00"/>
    <d v="2025-01-11T00:00:00"/>
    <s v="M"/>
    <x v="3"/>
    <n v="4"/>
    <s v="California"/>
    <s v="Los Angeles County"/>
    <n v="1"/>
    <n v="2"/>
    <x v="1"/>
  </r>
  <r>
    <s v="TX500221"/>
    <s v="Jeans"/>
    <n v="3"/>
    <n v="68.2"/>
    <n v="204.60000000000002"/>
    <d v="2025-01-10T00:00:00"/>
    <d v="2025-01-14T00:00:00"/>
    <s v=""/>
    <x v="0"/>
    <n v="5"/>
    <s v="California"/>
    <s v="Los Angeles County"/>
    <n v="4"/>
    <n v="2"/>
    <x v="0"/>
  </r>
  <r>
    <s v="TX500222"/>
    <s v="Sandals"/>
    <n v="1"/>
    <n v="45.4"/>
    <n v="45.4"/>
    <d v="2025-01-10T00:00:00"/>
    <d v="2025-01-12T00:00:00"/>
    <s v="M"/>
    <x v="1"/>
    <n v="4"/>
    <s v="California"/>
    <s v="Los Angeles County"/>
    <n v="2"/>
    <n v="2"/>
    <x v="1"/>
  </r>
  <r>
    <s v="TX500223"/>
    <s v="Casual Dresses"/>
    <n v="2"/>
    <n v="53.9"/>
    <n v="107.8"/>
    <d v="2025-01-10T00:00:00"/>
    <d v="2025-01-11T00:00:00"/>
    <s v="F"/>
    <x v="2"/>
    <n v="4"/>
    <s v="California"/>
    <s v="Los Angeles County"/>
    <n v="1"/>
    <n v="2"/>
    <x v="2"/>
  </r>
  <r>
    <s v="TX500224"/>
    <s v="Sneakers"/>
    <n v="4"/>
    <n v="62.1"/>
    <n v="248.4"/>
    <d v="2025-01-10T00:00:00"/>
    <d v="2025-01-14T00:00:00"/>
    <s v="F"/>
    <x v="0"/>
    <n v="4"/>
    <s v="California"/>
    <s v="Nevada County"/>
    <n v="4"/>
    <n v="2"/>
    <x v="2"/>
  </r>
  <r>
    <s v="TX500225"/>
    <s v="Tote Bags"/>
    <n v="7"/>
    <n v="33.1"/>
    <n v="231.70000000000002"/>
    <d v="2025-01-10T00:00:00"/>
    <d v="2025-01-15T00:00:00"/>
    <s v="M"/>
    <x v="1"/>
    <n v="4"/>
    <s v="California"/>
    <s v="Sacramento County"/>
    <n v="5"/>
    <n v="2"/>
    <x v="1"/>
  </r>
  <r>
    <s v="TX500226"/>
    <s v="Leggings"/>
    <n v="5"/>
    <n v="35.200000000000003"/>
    <n v="176"/>
    <d v="2025-01-10T00:00:00"/>
    <d v="2025-01-10T00:00:00"/>
    <s v="F"/>
    <x v="1"/>
    <n v="4"/>
    <s v="California"/>
    <s v="Sacramento County"/>
    <n v="0"/>
    <n v="2"/>
    <x v="2"/>
  </r>
  <r>
    <s v="TX500227"/>
    <s v="Sundresses"/>
    <n v="3"/>
    <n v="32.1"/>
    <n v="96.300000000000011"/>
    <d v="2025-01-10T00:00:00"/>
    <d v="2025-01-15T00:00:00"/>
    <s v="M"/>
    <x v="3"/>
    <n v="4"/>
    <s v="California"/>
    <s v="San Diego County"/>
    <n v="5"/>
    <n v="2"/>
    <x v="1"/>
  </r>
  <r>
    <s v="TX500228"/>
    <s v="Maxi Dresses"/>
    <n v="1"/>
    <n v="38.1"/>
    <n v="38.1"/>
    <d v="2025-01-10T00:00:00"/>
    <d v="2025-01-15T00:00:00"/>
    <s v="F"/>
    <x v="0"/>
    <n v="5"/>
    <s v="California"/>
    <s v="San Diego County"/>
    <n v="5"/>
    <n v="2"/>
    <x v="2"/>
  </r>
  <r>
    <s v="TX500229"/>
    <s v="T-Shirts"/>
    <n v="1"/>
    <n v="65.2"/>
    <n v="65.2"/>
    <d v="2025-01-10T00:00:00"/>
    <d v="2025-01-15T00:00:00"/>
    <s v="F"/>
    <x v="3"/>
    <n v="3"/>
    <s v="California"/>
    <s v="San Diego County"/>
    <n v="5"/>
    <n v="2"/>
    <x v="2"/>
  </r>
  <r>
    <s v="TX500230"/>
    <s v="Bikinis"/>
    <n v="7"/>
    <n v="55.2"/>
    <n v="386.40000000000003"/>
    <d v="2025-01-10T00:00:00"/>
    <d v="2025-01-11T00:00:00"/>
    <s v="M"/>
    <x v="2"/>
    <n v="4"/>
    <s v="California"/>
    <s v="Santa Clara County"/>
    <n v="1"/>
    <n v="2"/>
    <x v="1"/>
  </r>
  <r>
    <s v="TX500231"/>
    <s v="Jeans"/>
    <n v="1"/>
    <n v="62"/>
    <n v="62"/>
    <d v="2025-01-10T00:00:00"/>
    <d v="2025-01-14T00:00:00"/>
    <s v="F"/>
    <x v="0"/>
    <n v="4"/>
    <s v="California"/>
    <s v="Santa Clara County"/>
    <n v="4"/>
    <n v="2"/>
    <x v="2"/>
  </r>
  <r>
    <s v="TX500232"/>
    <s v="Hoodies &amp; Sweatshirts"/>
    <n v="3"/>
    <n v="45.9"/>
    <n v="137.69999999999999"/>
    <d v="2025-01-10T00:00:00"/>
    <d v="2025-01-11T00:00:00"/>
    <s v="F"/>
    <x v="2"/>
    <n v="4"/>
    <s v="California"/>
    <s v="Santa Cruz County"/>
    <n v="1"/>
    <n v="2"/>
    <x v="2"/>
  </r>
  <r>
    <s v="TX500233"/>
    <s v="Leggings"/>
    <n v="3"/>
    <n v="58.3"/>
    <n v="174.89999999999998"/>
    <d v="2025-01-10T00:00:00"/>
    <d v="2025-01-10T00:00:00"/>
    <s v="M"/>
    <x v="1"/>
    <n v="3"/>
    <s v="California"/>
    <s v="Sonoma County"/>
    <n v="0"/>
    <n v="2"/>
    <x v="1"/>
  </r>
  <r>
    <s v="TX500234"/>
    <s v="T-Shirts"/>
    <n v="2"/>
    <n v="22.3"/>
    <n v="44.6"/>
    <d v="2025-01-10T00:00:00"/>
    <d v="2025-01-13T00:00:00"/>
    <s v="F"/>
    <x v="0"/>
    <n v="5"/>
    <s v="California"/>
    <s v="Tulare County"/>
    <n v="3"/>
    <n v="2"/>
    <x v="2"/>
  </r>
  <r>
    <s v="TX500235"/>
    <s v="Jewelry"/>
    <n v="5"/>
    <n v="24"/>
    <n v="120"/>
    <d v="2025-01-10T00:00:00"/>
    <d v="2025-01-11T00:00:00"/>
    <s v="M"/>
    <x v="4"/>
    <n v="4"/>
    <s v="California"/>
    <s v="Contra Costa County"/>
    <n v="1"/>
    <n v="2"/>
    <x v="1"/>
  </r>
  <r>
    <s v="TX500236"/>
    <s v="Shorts"/>
    <n v="10"/>
    <n v="21.3"/>
    <n v="213"/>
    <d v="2025-01-10T00:00:00"/>
    <d v="2025-01-10T00:00:00"/>
    <s v="F"/>
    <x v="1"/>
    <n v="5"/>
    <s v="California"/>
    <s v="Kern County"/>
    <n v="0"/>
    <n v="2"/>
    <x v="2"/>
  </r>
  <r>
    <s v="TX500237"/>
    <s v="Jeans"/>
    <n v="41"/>
    <n v="57.8"/>
    <n v="2369.7999999999997"/>
    <d v="2025-01-10T00:00:00"/>
    <d v="2025-01-12T00:00:00"/>
    <s v="F"/>
    <x v="0"/>
    <n v="5"/>
    <s v="California"/>
    <s v="Los Angeles County"/>
    <n v="2"/>
    <n v="2"/>
    <x v="2"/>
  </r>
  <r>
    <s v="TX500238"/>
    <s v="Bikinis"/>
    <n v="3"/>
    <n v="67.599999999999994"/>
    <n v="202.79999999999998"/>
    <d v="2025-01-10T00:00:00"/>
    <d v="2025-01-11T00:00:00"/>
    <s v="F"/>
    <x v="0"/>
    <n v="4"/>
    <s v="California"/>
    <s v="Los Angeles County"/>
    <n v="1"/>
    <n v="2"/>
    <x v="2"/>
  </r>
  <r>
    <s v="TX500239"/>
    <s v="Jeans"/>
    <n v="6"/>
    <n v="66.7"/>
    <n v="400.20000000000005"/>
    <d v="2025-01-10T00:00:00"/>
    <d v="2025-01-14T00:00:00"/>
    <s v="M"/>
    <x v="4"/>
    <n v="3"/>
    <s v="California"/>
    <s v="Los Angeles County"/>
    <n v="4"/>
    <n v="2"/>
    <x v="1"/>
  </r>
  <r>
    <s v="TX500240"/>
    <s v="Tank Tops"/>
    <n v="4"/>
    <n v="53.1"/>
    <n v="212.4"/>
    <d v="2025-01-10T00:00:00"/>
    <d v="2025-01-12T00:00:00"/>
    <s v="F"/>
    <x v="1"/>
    <n v="4"/>
    <s v="California"/>
    <s v="Los Angeles County"/>
    <n v="2"/>
    <n v="2"/>
    <x v="2"/>
  </r>
  <r>
    <s v="TX500241"/>
    <s v="Casual Dresses"/>
    <n v="3"/>
    <n v="57.4"/>
    <n v="172.2"/>
    <d v="2025-01-10T00:00:00"/>
    <d v="2025-01-13T00:00:00"/>
    <s v="F"/>
    <x v="0"/>
    <n v="5"/>
    <s v="California"/>
    <s v="Mendocino County"/>
    <n v="3"/>
    <n v="2"/>
    <x v="2"/>
  </r>
  <r>
    <s v="TX500242"/>
    <s v="Sneakers"/>
    <n v="5"/>
    <n v="58.1"/>
    <n v="290.5"/>
    <d v="2025-01-10T00:00:00"/>
    <d v="2025-01-10T00:00:00"/>
    <s v="M"/>
    <x v="2"/>
    <n v="5"/>
    <s v="California"/>
    <s v="Sacramento County"/>
    <n v="0"/>
    <n v="2"/>
    <x v="1"/>
  </r>
  <r>
    <s v="TX500243"/>
    <s v="Sandals"/>
    <n v="3"/>
    <n v="31.8"/>
    <n v="95.4"/>
    <d v="2025-01-11T00:00:00"/>
    <d v="2025-01-13T00:00:00"/>
    <s v="M"/>
    <x v="3"/>
    <n v="4"/>
    <s v="California"/>
    <s v="Sacramento County"/>
    <n v="2"/>
    <n v="2"/>
    <x v="1"/>
  </r>
  <r>
    <s v="TX500244"/>
    <s v="Graphic Tees"/>
    <n v="3"/>
    <n v="31.5"/>
    <n v="94.5"/>
    <d v="2025-01-11T00:00:00"/>
    <d v="2025-01-14T00:00:00"/>
    <s v="M"/>
    <x v="0"/>
    <n v="3"/>
    <s v="California"/>
    <s v="San Diego County"/>
    <n v="3"/>
    <n v="2"/>
    <x v="1"/>
  </r>
  <r>
    <s v="TX500245"/>
    <s v="Jeans"/>
    <n v="7"/>
    <n v="55.9"/>
    <n v="391.3"/>
    <d v="2025-01-11T00:00:00"/>
    <d v="2025-01-15T00:00:00"/>
    <s v="F"/>
    <x v="1"/>
    <n v="5"/>
    <s v="California"/>
    <s v="San Diego County"/>
    <n v="4"/>
    <n v="2"/>
    <x v="2"/>
  </r>
  <r>
    <s v="TX500246"/>
    <s v="T-Shirts"/>
    <n v="2"/>
    <n v="36.4"/>
    <n v="72.8"/>
    <d v="2025-01-11T00:00:00"/>
    <d v="2025-01-12T00:00:00"/>
    <s v="M"/>
    <x v="1"/>
    <n v="3"/>
    <s v="California"/>
    <s v="San Mateo County"/>
    <n v="1"/>
    <n v="2"/>
    <x v="1"/>
  </r>
  <r>
    <s v="TX500247"/>
    <s v="Tank Tops"/>
    <n v="5"/>
    <n v="47.3"/>
    <n v="236.5"/>
    <d v="2025-01-11T00:00:00"/>
    <d v="2025-01-14T00:00:00"/>
    <s v="M"/>
    <x v="2"/>
    <n v="4"/>
    <s v="California"/>
    <s v="Santa Barbara County"/>
    <n v="3"/>
    <n v="2"/>
    <x v="1"/>
  </r>
  <r>
    <s v="TX500248"/>
    <s v="Jeans"/>
    <n v="3"/>
    <n v="82.5"/>
    <n v="247.5"/>
    <d v="2025-01-11T00:00:00"/>
    <d v="2025-01-12T00:00:00"/>
    <s v="M"/>
    <x v="0"/>
    <n v="4"/>
    <s v="California"/>
    <s v="Santa Clara County"/>
    <n v="1"/>
    <n v="2"/>
    <x v="1"/>
  </r>
  <r>
    <s v="TX500249"/>
    <s v="Shorts"/>
    <n v="1"/>
    <n v="14.3"/>
    <n v="14.3"/>
    <d v="2025-01-11T00:00:00"/>
    <d v="2025-01-12T00:00:00"/>
    <s v="F"/>
    <x v="0"/>
    <n v="4"/>
    <s v="California"/>
    <s v="Alameda County"/>
    <n v="1"/>
    <n v="2"/>
    <x v="2"/>
  </r>
  <r>
    <s v="TX500250"/>
    <s v="Sneakers"/>
    <n v="6"/>
    <n v="57.6"/>
    <n v="345.6"/>
    <d v="2025-01-11T00:00:00"/>
    <d v="2025-01-25T00:00:00"/>
    <s v="F"/>
    <x v="0"/>
    <n v="4"/>
    <s v="California"/>
    <s v="Alameda County"/>
    <n v="14"/>
    <n v="2"/>
    <x v="2"/>
  </r>
  <r>
    <s v="TX500251"/>
    <s v="Sneakers"/>
    <n v="3"/>
    <n v="142.4"/>
    <n v="427.20000000000005"/>
    <d v="2025-01-11T00:00:00"/>
    <d v="2025-01-13T00:00:00"/>
    <s v="M"/>
    <x v="4"/>
    <n v="3"/>
    <s v="California"/>
    <s v="Alameda County"/>
    <n v="2"/>
    <n v="2"/>
    <x v="1"/>
  </r>
  <r>
    <s v="TX500252"/>
    <s v="Casual Dresses"/>
    <n v="1"/>
    <n v="30.2"/>
    <n v="30.2"/>
    <d v="2025-01-11T00:00:00"/>
    <d v="2025-01-15T00:00:00"/>
    <s v="M"/>
    <x v="1"/>
    <n v="5"/>
    <s v="California"/>
    <s v="Fresno County"/>
    <n v="4"/>
    <n v="2"/>
    <x v="1"/>
  </r>
  <r>
    <s v="TX500253"/>
    <s v="Leggings"/>
    <n v="3"/>
    <n v="65.3"/>
    <n v="195.89999999999998"/>
    <d v="2025-01-11T00:00:00"/>
    <d v="2025-01-12T00:00:00"/>
    <s v="O"/>
    <x v="1"/>
    <n v="4"/>
    <s v="California"/>
    <s v="Imperial County"/>
    <n v="1"/>
    <n v="2"/>
    <x v="3"/>
  </r>
  <r>
    <s v="TX500254"/>
    <s v="Shorts"/>
    <n v="2"/>
    <n v="33.4"/>
    <n v="66.8"/>
    <d v="2025-01-11T00:00:00"/>
    <d v="2025-01-12T00:00:00"/>
    <s v="M"/>
    <x v="1"/>
    <n v="3"/>
    <s v="California"/>
    <s v="Kern County"/>
    <n v="1"/>
    <n v="2"/>
    <x v="1"/>
  </r>
  <r>
    <s v="TX500255"/>
    <s v="Hoodies &amp; Sweatshirts"/>
    <n v="2"/>
    <n v="45.1"/>
    <n v="90.2"/>
    <d v="2025-01-11T00:00:00"/>
    <d v="2025-01-19T00:00:00"/>
    <s v="M"/>
    <x v="0"/>
    <n v="4"/>
    <s v="California"/>
    <s v="Kings County"/>
    <n v="8"/>
    <n v="2"/>
    <x v="1"/>
  </r>
  <r>
    <s v="TX500256"/>
    <s v="Sneakers"/>
    <n v="7"/>
    <n v="61.7"/>
    <n v="431.90000000000003"/>
    <d v="2025-01-11T00:00:00"/>
    <d v="2025-01-13T00:00:00"/>
    <s v="F"/>
    <x v="4"/>
    <n v="4"/>
    <s v="California"/>
    <s v="Los Angeles County"/>
    <n v="2"/>
    <n v="2"/>
    <x v="2"/>
  </r>
  <r>
    <s v="TX500257"/>
    <s v="Sundresses"/>
    <n v="3"/>
    <n v="45.1"/>
    <n v="135.30000000000001"/>
    <d v="2025-01-12T00:00:00"/>
    <d v="2025-01-13T00:00:00"/>
    <s v="M"/>
    <x v="4"/>
    <n v="3"/>
    <s v="California"/>
    <s v="Los Angeles County"/>
    <n v="1"/>
    <n v="3"/>
    <x v="1"/>
  </r>
  <r>
    <s v="TX500258"/>
    <s v="Crop Tops"/>
    <n v="5"/>
    <n v="22.7"/>
    <n v="113.5"/>
    <d v="2025-01-12T00:00:00"/>
    <d v="2025-01-17T00:00:00"/>
    <s v="M"/>
    <x v="0"/>
    <n v="5"/>
    <s v="California"/>
    <s v="Plumas County"/>
    <n v="5"/>
    <n v="3"/>
    <x v="1"/>
  </r>
  <r>
    <s v="TX500259"/>
    <s v="T-Shirts"/>
    <n v="1"/>
    <n v="17.600000000000001"/>
    <n v="17.600000000000001"/>
    <d v="2025-01-12T00:00:00"/>
    <d v="2025-01-13T00:00:00"/>
    <s v="F"/>
    <x v="0"/>
    <n v="5"/>
    <s v="California"/>
    <s v="Riverside County"/>
    <n v="1"/>
    <n v="3"/>
    <x v="2"/>
  </r>
  <r>
    <s v="TX500260"/>
    <s v="Baseball Caps"/>
    <n v="2"/>
    <n v="11.3"/>
    <n v="22.6"/>
    <d v="2025-01-12T00:00:00"/>
    <d v="2025-01-15T00:00:00"/>
    <s v="F"/>
    <x v="3"/>
    <n v="5"/>
    <s v="California"/>
    <s v="Riverside County"/>
    <n v="3"/>
    <n v="3"/>
    <x v="2"/>
  </r>
  <r>
    <s v="TX500261"/>
    <s v="Jeans"/>
    <n v="3"/>
    <n v="53.4"/>
    <n v="160.19999999999999"/>
    <d v="2025-01-12T00:00:00"/>
    <d v="2025-01-15T00:00:00"/>
    <s v="M"/>
    <x v="3"/>
    <n v="5"/>
    <s v="California"/>
    <s v="San Benito County"/>
    <n v="3"/>
    <n v="3"/>
    <x v="1"/>
  </r>
  <r>
    <s v="TX500262"/>
    <s v="Jeans"/>
    <n v="11"/>
    <n v="51.1"/>
    <n v="562.1"/>
    <d v="2025-01-12T00:00:00"/>
    <d v="2025-01-14T00:00:00"/>
    <s v="F"/>
    <x v="2"/>
    <n v="5"/>
    <s v="California"/>
    <s v="San Diego County"/>
    <n v="2"/>
    <n v="3"/>
    <x v="2"/>
  </r>
  <r>
    <s v="TX500263"/>
    <s v="T-Shirts"/>
    <n v="2"/>
    <n v="27.5"/>
    <n v="55"/>
    <d v="2025-01-12T00:00:00"/>
    <d v="2025-01-13T00:00:00"/>
    <s v="M"/>
    <x v="4"/>
    <n v="3"/>
    <s v="California"/>
    <s v="San Diego County"/>
    <n v="1"/>
    <n v="3"/>
    <x v="1"/>
  </r>
  <r>
    <s v="TX500264"/>
    <s v="Sundresses"/>
    <n v="1"/>
    <n v="33.5"/>
    <n v="33.5"/>
    <d v="2025-01-12T00:00:00"/>
    <d v="2025-01-14T00:00:00"/>
    <s v="F"/>
    <x v="0"/>
    <n v="2"/>
    <s v="California"/>
    <s v="San Diego County"/>
    <n v="2"/>
    <n v="3"/>
    <x v="2"/>
  </r>
  <r>
    <s v="TX500265"/>
    <s v="Graphic Tees"/>
    <n v="1"/>
    <n v="59.5"/>
    <n v="59.5"/>
    <d v="2025-01-12T00:00:00"/>
    <d v="2025-01-12T00:00:00"/>
    <s v="M"/>
    <x v="0"/>
    <n v="5"/>
    <s v="California"/>
    <s v="Sonoma County"/>
    <n v="0"/>
    <n v="3"/>
    <x v="1"/>
  </r>
  <r>
    <s v="TX500266"/>
    <s v="Pajama Sets"/>
    <n v="4"/>
    <n v="23.5"/>
    <n v="94"/>
    <d v="2025-01-12T00:00:00"/>
    <d v="2025-01-13T00:00:00"/>
    <s v="F"/>
    <x v="3"/>
    <n v="1"/>
    <s v="California"/>
    <s v="Stanislaus County"/>
    <n v="1"/>
    <n v="3"/>
    <x v="2"/>
  </r>
  <r>
    <s v="TX500267"/>
    <s v="Jeans"/>
    <n v="1"/>
    <n v="49.7"/>
    <n v="49.7"/>
    <d v="2025-01-12T00:00:00"/>
    <d v="2025-01-13T00:00:00"/>
    <s v=""/>
    <x v="1"/>
    <n v="5"/>
    <s v="California"/>
    <s v="Tulare County"/>
    <n v="1"/>
    <n v="3"/>
    <x v="0"/>
  </r>
  <r>
    <s v="TX500268"/>
    <s v="Jeans"/>
    <n v="4"/>
    <n v="44.2"/>
    <n v="176.8"/>
    <d v="2025-01-12T00:00:00"/>
    <d v="2025-01-15T00:00:00"/>
    <s v="F"/>
    <x v="0"/>
    <n v="5"/>
    <s v="California"/>
    <s v="Alameda County"/>
    <n v="3"/>
    <n v="3"/>
    <x v="2"/>
  </r>
  <r>
    <s v="TX500269"/>
    <s v="T-Shirts"/>
    <n v="1"/>
    <n v="22.1"/>
    <n v="22.1"/>
    <d v="2025-01-12T00:00:00"/>
    <d v="2025-01-16T00:00:00"/>
    <s v="F"/>
    <x v="1"/>
    <n v="3"/>
    <s v="California"/>
    <s v="Imperial County"/>
    <n v="4"/>
    <n v="3"/>
    <x v="2"/>
  </r>
  <r>
    <s v="TX500270"/>
    <s v="Jeans"/>
    <n v="3"/>
    <n v="90.9"/>
    <n v="272.70000000000005"/>
    <d v="2025-01-12T00:00:00"/>
    <d v="2025-01-13T00:00:00"/>
    <s v="F"/>
    <x v="2"/>
    <n v="2"/>
    <s v="California"/>
    <s v="Los Angeles County"/>
    <n v="1"/>
    <n v="3"/>
    <x v="2"/>
  </r>
  <r>
    <s v="TX500271"/>
    <s v="T-Shirts"/>
    <n v="3"/>
    <n v="44.5"/>
    <n v="133.5"/>
    <d v="2025-01-12T00:00:00"/>
    <d v="2025-01-13T00:00:00"/>
    <s v="F"/>
    <x v="1"/>
    <n v="4"/>
    <s v="California"/>
    <s v="Los Angeles County"/>
    <n v="1"/>
    <n v="3"/>
    <x v="2"/>
  </r>
  <r>
    <s v="TX500272"/>
    <s v="Sundresses"/>
    <n v="6"/>
    <n v="32.299999999999997"/>
    <n v="193.79999999999998"/>
    <d v="2025-01-12T00:00:00"/>
    <d v="2025-01-16T00:00:00"/>
    <s v="F"/>
    <x v="0"/>
    <n v="4"/>
    <s v="California"/>
    <s v="Los Angeles County"/>
    <n v="4"/>
    <n v="3"/>
    <x v="2"/>
  </r>
  <r>
    <s v="TX500273"/>
    <s v="Pajama Sets"/>
    <n v="3"/>
    <n v="87.5"/>
    <n v="262.5"/>
    <d v="2025-01-12T00:00:00"/>
    <d v="2025-01-13T00:00:00"/>
    <s v="F"/>
    <x v="1"/>
    <n v="3"/>
    <s v="California"/>
    <s v="Los Angeles County"/>
    <n v="1"/>
    <n v="3"/>
    <x v="2"/>
  </r>
  <r>
    <s v="TX500274"/>
    <s v="Sunglasses"/>
    <n v="5"/>
    <n v="48.7"/>
    <n v="243.5"/>
    <d v="2025-01-12T00:00:00"/>
    <d v="2025-01-13T00:00:00"/>
    <s v="M"/>
    <x v="2"/>
    <n v="4"/>
    <s v="California"/>
    <s v="Los Angeles County"/>
    <n v="1"/>
    <n v="3"/>
    <x v="1"/>
  </r>
  <r>
    <s v="TX500275"/>
    <s v="Shorts"/>
    <n v="5"/>
    <n v="22.5"/>
    <n v="112.5"/>
    <d v="2025-01-12T00:00:00"/>
    <d v="2025-01-13T00:00:00"/>
    <s v="M"/>
    <x v="0"/>
    <n v="4"/>
    <s v="California"/>
    <s v="Los Angeles County"/>
    <n v="1"/>
    <n v="3"/>
    <x v="1"/>
  </r>
  <r>
    <s v="TX500276"/>
    <s v="Tank Tops"/>
    <n v="8"/>
    <n v="65.900000000000006"/>
    <n v="527.20000000000005"/>
    <d v="2025-01-12T00:00:00"/>
    <d v="2025-01-15T00:00:00"/>
    <s v="F"/>
    <x v="1"/>
    <n v="5"/>
    <s v="California"/>
    <s v="Los Angeles County"/>
    <n v="3"/>
    <n v="3"/>
    <x v="2"/>
  </r>
  <r>
    <s v="TX500277"/>
    <s v="Jeans"/>
    <n v="5"/>
    <n v="41.9"/>
    <n v="209.5"/>
    <d v="2025-01-12T00:00:00"/>
    <d v="2025-01-19T00:00:00"/>
    <s v=""/>
    <x v="0"/>
    <n v="4"/>
    <s v="California"/>
    <s v="Los Angeles County"/>
    <n v="7"/>
    <n v="3"/>
    <x v="0"/>
  </r>
  <r>
    <s v="TX500278"/>
    <s v="Tank Tops"/>
    <n v="5"/>
    <n v="67.5"/>
    <n v="337.5"/>
    <d v="2025-01-12T00:00:00"/>
    <d v="2025-01-13T00:00:00"/>
    <s v="F"/>
    <x v="0"/>
    <n v="5"/>
    <s v="California"/>
    <s v="Los Angeles County"/>
    <n v="1"/>
    <n v="3"/>
    <x v="2"/>
  </r>
  <r>
    <s v="TX500279"/>
    <s v="Sundresses"/>
    <n v="1"/>
    <n v="60.4"/>
    <n v="60.4"/>
    <d v="2025-01-13T00:00:00"/>
    <d v="2025-01-15T00:00:00"/>
    <s v="F"/>
    <x v="1"/>
    <n v="3"/>
    <s v="California"/>
    <s v="Los Angeles County"/>
    <n v="2"/>
    <n v="3"/>
    <x v="2"/>
  </r>
  <r>
    <s v="TX500280"/>
    <s v="Tank Tops"/>
    <n v="7"/>
    <n v="30.4"/>
    <n v="212.79999999999998"/>
    <d v="2025-01-13T00:00:00"/>
    <d v="2025-01-16T00:00:00"/>
    <s v="F"/>
    <x v="4"/>
    <n v="4"/>
    <s v="California"/>
    <s v="Los Angeles County"/>
    <n v="3"/>
    <n v="3"/>
    <x v="2"/>
  </r>
  <r>
    <s v="TX500281"/>
    <s v="Baseball Caps"/>
    <n v="2"/>
    <n v="24.5"/>
    <n v="49"/>
    <d v="2025-01-13T00:00:00"/>
    <d v="2025-01-14T00:00:00"/>
    <s v="M"/>
    <x v="3"/>
    <n v="5"/>
    <s v="California"/>
    <s v="Los Angeles County"/>
    <n v="1"/>
    <n v="3"/>
    <x v="1"/>
  </r>
  <r>
    <s v="TX500282"/>
    <s v="Sneakers"/>
    <n v="3"/>
    <n v="105.9"/>
    <n v="317.70000000000005"/>
    <d v="2025-01-13T00:00:00"/>
    <d v="2025-01-18T00:00:00"/>
    <s v="M"/>
    <x v="0"/>
    <n v="4"/>
    <s v="California"/>
    <s v="Madera County"/>
    <n v="5"/>
    <n v="3"/>
    <x v="1"/>
  </r>
  <r>
    <s v="TX500283"/>
    <s v="Bikinis"/>
    <n v="24"/>
    <n v="25.9"/>
    <n v="621.59999999999991"/>
    <d v="2025-01-13T00:00:00"/>
    <d v="2025-01-14T00:00:00"/>
    <s v="F"/>
    <x v="4"/>
    <n v="4"/>
    <s v="California"/>
    <s v="Riverside County"/>
    <n v="1"/>
    <n v="3"/>
    <x v="2"/>
  </r>
  <r>
    <s v="TX500284"/>
    <s v="Jeans"/>
    <n v="3"/>
    <n v="66.8"/>
    <n v="200.39999999999998"/>
    <d v="2025-01-13T00:00:00"/>
    <d v="2025-01-13T00:00:00"/>
    <s v="M"/>
    <x v="0"/>
    <n v="4"/>
    <s v="California"/>
    <s v="Riverside County"/>
    <n v="0"/>
    <n v="3"/>
    <x v="1"/>
  </r>
  <r>
    <s v="TX500285"/>
    <s v="Jeans"/>
    <n v="3"/>
    <n v="112.3"/>
    <n v="336.9"/>
    <d v="2025-01-13T00:00:00"/>
    <d v="2025-01-14T00:00:00"/>
    <s v="M"/>
    <x v="2"/>
    <n v="2"/>
    <s v="California"/>
    <s v="Sacramento County"/>
    <n v="1"/>
    <n v="3"/>
    <x v="1"/>
  </r>
  <r>
    <s v="TX500286"/>
    <s v="Tank Tops"/>
    <n v="6"/>
    <n v="94.1"/>
    <n v="564.59999999999991"/>
    <d v="2025-01-13T00:00:00"/>
    <d v="2025-01-14T00:00:00"/>
    <s v="F"/>
    <x v="0"/>
    <n v="2"/>
    <s v="California"/>
    <s v="Sacramento County"/>
    <n v="1"/>
    <n v="3"/>
    <x v="2"/>
  </r>
  <r>
    <s v="TX500287"/>
    <s v="Sandals"/>
    <n v="1"/>
    <n v="40.700000000000003"/>
    <n v="40.700000000000003"/>
    <d v="2025-01-13T00:00:00"/>
    <d v="2025-01-16T00:00:00"/>
    <s v="F"/>
    <x v="2"/>
    <n v="4"/>
    <s v="California"/>
    <s v="Sacramento County"/>
    <n v="3"/>
    <n v="3"/>
    <x v="2"/>
  </r>
  <r>
    <s v="TX500288"/>
    <s v="Workout Tops"/>
    <n v="2"/>
    <n v="71.400000000000006"/>
    <n v="142.80000000000001"/>
    <d v="2025-01-13T00:00:00"/>
    <d v="2025-01-14T00:00:00"/>
    <s v="M"/>
    <x v="0"/>
    <n v="4"/>
    <s v="California"/>
    <s v="San Bernardino County"/>
    <n v="1"/>
    <n v="3"/>
    <x v="1"/>
  </r>
  <r>
    <s v="TX500289"/>
    <s v="Shorts"/>
    <n v="18"/>
    <n v="15.6"/>
    <n v="280.8"/>
    <d v="2025-01-13T00:00:00"/>
    <d v="2025-01-14T00:00:00"/>
    <s v="M"/>
    <x v="1"/>
    <n v="1"/>
    <s v="California"/>
    <s v="San Diego County"/>
    <n v="1"/>
    <n v="3"/>
    <x v="1"/>
  </r>
  <r>
    <s v="TX500290"/>
    <s v="Bikinis"/>
    <n v="4"/>
    <n v="37.799999999999997"/>
    <n v="151.19999999999999"/>
    <d v="2025-01-13T00:00:00"/>
    <d v="2025-01-14T00:00:00"/>
    <s v="M"/>
    <x v="2"/>
    <n v="5"/>
    <s v="California"/>
    <s v="San Diego County"/>
    <n v="1"/>
    <n v="3"/>
    <x v="1"/>
  </r>
  <r>
    <s v="TX500291"/>
    <s v="Graphic Tees"/>
    <n v="3"/>
    <n v="28.1"/>
    <n v="84.300000000000011"/>
    <d v="2025-01-13T00:00:00"/>
    <d v="2025-01-17T00:00:00"/>
    <s v="M"/>
    <x v="0"/>
    <n v="4"/>
    <s v="California"/>
    <s v="San Diego County"/>
    <n v="4"/>
    <n v="3"/>
    <x v="1"/>
  </r>
  <r>
    <s v="TX500292"/>
    <s v="Hoodies &amp; Sweatshirts"/>
    <n v="6"/>
    <n v="51.4"/>
    <n v="308.39999999999998"/>
    <d v="2025-01-13T00:00:00"/>
    <d v="2025-01-17T00:00:00"/>
    <s v="M"/>
    <x v="0"/>
    <n v="4"/>
    <s v="California"/>
    <s v="San Diego County"/>
    <n v="4"/>
    <n v="3"/>
    <x v="1"/>
  </r>
  <r>
    <s v="TX500293"/>
    <s v="Hoodies &amp; Sweatshirts"/>
    <n v="2"/>
    <n v="97.7"/>
    <n v="195.4"/>
    <d v="2025-01-13T00:00:00"/>
    <d v="2025-01-15T00:00:00"/>
    <s v="F"/>
    <x v="4"/>
    <n v="5"/>
    <s v="California"/>
    <s v="San Francisco"/>
    <n v="2"/>
    <n v="3"/>
    <x v="2"/>
  </r>
  <r>
    <s v="TX500294"/>
    <s v="Tank Tops"/>
    <n v="4"/>
    <n v="63.8"/>
    <n v="255.2"/>
    <d v="2025-01-13T00:00:00"/>
    <d v="2025-01-14T00:00:00"/>
    <s v="M"/>
    <x v="2"/>
    <n v="4"/>
    <s v="California"/>
    <s v="Solano County"/>
    <n v="1"/>
    <n v="3"/>
    <x v="1"/>
  </r>
  <r>
    <s v="TX500295"/>
    <s v="Tote Bags"/>
    <n v="2"/>
    <n v="20.100000000000001"/>
    <n v="40.200000000000003"/>
    <d v="2025-01-13T00:00:00"/>
    <d v="2025-01-15T00:00:00"/>
    <s v="M"/>
    <x v="0"/>
    <n v="5"/>
    <s v="California"/>
    <s v="Tulare County"/>
    <n v="2"/>
    <n v="3"/>
    <x v="1"/>
  </r>
  <r>
    <s v="TX500296"/>
    <s v="Maxi Dresses"/>
    <n v="3"/>
    <n v="50.4"/>
    <n v="151.19999999999999"/>
    <d v="2025-01-13T00:00:00"/>
    <d v="2025-01-16T00:00:00"/>
    <s v="F"/>
    <x v="3"/>
    <n v="4"/>
    <s v="California"/>
    <s v="Ventura County"/>
    <n v="3"/>
    <n v="3"/>
    <x v="2"/>
  </r>
  <r>
    <s v="TX500297"/>
    <s v="Shorts"/>
    <n v="1"/>
    <n v="16.2"/>
    <n v="16.2"/>
    <d v="2025-01-13T00:00:00"/>
    <d v="2025-01-26T00:00:00"/>
    <s v="F"/>
    <x v="1"/>
    <n v="4"/>
    <s v="California"/>
    <s v="Contra Costa County"/>
    <n v="13"/>
    <n v="3"/>
    <x v="2"/>
  </r>
  <r>
    <s v="TX500298"/>
    <s v="Jeans"/>
    <n v="7"/>
    <n v="80.900000000000006"/>
    <n v="566.30000000000007"/>
    <d v="2025-01-13T00:00:00"/>
    <d v="2025-01-15T00:00:00"/>
    <s v="M"/>
    <x v="4"/>
    <n v="2"/>
    <s v="California"/>
    <s v="Fresno County"/>
    <n v="2"/>
    <n v="3"/>
    <x v="1"/>
  </r>
  <r>
    <s v="TX500299"/>
    <s v="Sundresses"/>
    <n v="6"/>
    <n v="95.2"/>
    <n v="571.20000000000005"/>
    <d v="2025-01-13T00:00:00"/>
    <d v="2025-01-15T00:00:00"/>
    <s v="F"/>
    <x v="0"/>
    <n v="5"/>
    <s v="California"/>
    <s v="Fresno County"/>
    <n v="2"/>
    <n v="3"/>
    <x v="2"/>
  </r>
  <r>
    <s v="TX500300"/>
    <s v="Sandals"/>
    <n v="8"/>
    <n v="70.400000000000006"/>
    <n v="563.20000000000005"/>
    <d v="2025-01-13T00:00:00"/>
    <d v="2025-01-14T00:00:00"/>
    <s v="M"/>
    <x v="1"/>
    <n v="3"/>
    <s v="California"/>
    <s v="Los Angeles County"/>
    <n v="1"/>
    <n v="3"/>
    <x v="1"/>
  </r>
  <r>
    <s v="TX500301"/>
    <s v="Shorts"/>
    <n v="5"/>
    <n v="10.7"/>
    <n v="53.5"/>
    <d v="2025-01-13T00:00:00"/>
    <d v="2025-01-17T00:00:00"/>
    <s v="F"/>
    <x v="2"/>
    <n v="4"/>
    <s v="California"/>
    <s v="Los Angeles County"/>
    <n v="4"/>
    <n v="3"/>
    <x v="2"/>
  </r>
  <r>
    <s v="TX500302"/>
    <s v="T-Shirts"/>
    <n v="5"/>
    <n v="19.600000000000001"/>
    <n v="98"/>
    <d v="2025-01-13T00:00:00"/>
    <d v="2025-01-15T00:00:00"/>
    <s v="F"/>
    <x v="0"/>
    <n v="1"/>
    <s v="California"/>
    <s v="Los Angeles County"/>
    <n v="2"/>
    <n v="3"/>
    <x v="2"/>
  </r>
  <r>
    <s v="TX500303"/>
    <s v="T-Shirts"/>
    <n v="11"/>
    <n v="34.700000000000003"/>
    <n v="381.70000000000005"/>
    <d v="2025-01-13T00:00:00"/>
    <d v="2025-01-15T00:00:00"/>
    <s v="F"/>
    <x v="0"/>
    <n v="5"/>
    <s v="California"/>
    <s v="Los Angeles County"/>
    <n v="2"/>
    <n v="3"/>
    <x v="2"/>
  </r>
  <r>
    <s v="TX500304"/>
    <s v="Bikinis"/>
    <n v="9"/>
    <n v="34.1"/>
    <n v="306.90000000000003"/>
    <d v="2025-01-13T00:00:00"/>
    <d v="2025-01-14T00:00:00"/>
    <s v="F"/>
    <x v="4"/>
    <n v="3"/>
    <s v="California"/>
    <s v="Los Angeles County"/>
    <n v="1"/>
    <n v="3"/>
    <x v="2"/>
  </r>
  <r>
    <s v="TX500305"/>
    <s v="Shorts"/>
    <n v="49"/>
    <n v="29.3"/>
    <n v="1435.7"/>
    <d v="2025-01-13T00:00:00"/>
    <d v="2025-01-13T00:00:00"/>
    <s v="M"/>
    <x v="0"/>
    <n v="3"/>
    <s v="California"/>
    <s v="Los Angeles County"/>
    <n v="0"/>
    <n v="3"/>
    <x v="1"/>
  </r>
  <r>
    <s v="TX500306"/>
    <s v="Tank Tops"/>
    <n v="1"/>
    <n v="55.2"/>
    <n v="55.2"/>
    <d v="2025-01-13T00:00:00"/>
    <d v="2025-01-14T00:00:00"/>
    <s v="F"/>
    <x v="0"/>
    <n v="3"/>
    <s v="California"/>
    <s v="Los Angeles County"/>
    <n v="1"/>
    <n v="3"/>
    <x v="2"/>
  </r>
  <r>
    <s v="TX500307"/>
    <s v="Leggings"/>
    <n v="3"/>
    <n v="26"/>
    <n v="78"/>
    <d v="2025-01-13T00:00:00"/>
    <d v="2025-01-16T00:00:00"/>
    <s v="F"/>
    <x v="0"/>
    <n v="5"/>
    <s v="California"/>
    <s v="Los Angeles County"/>
    <n v="3"/>
    <n v="3"/>
    <x v="2"/>
  </r>
  <r>
    <s v="TX500308"/>
    <s v="Baseball Caps"/>
    <n v="2"/>
    <n v="14.2"/>
    <n v="28.4"/>
    <d v="2025-01-13T00:00:00"/>
    <d v="2025-01-18T00:00:00"/>
    <s v="F"/>
    <x v="3"/>
    <n v="4"/>
    <s v="California"/>
    <s v="Modoc County"/>
    <n v="5"/>
    <n v="3"/>
    <x v="2"/>
  </r>
  <r>
    <s v="TX500309"/>
    <s v="T-Shirts"/>
    <n v="9"/>
    <n v="22.7"/>
    <n v="204.29999999999998"/>
    <d v="2025-01-14T00:00:00"/>
    <d v="2025-01-15T00:00:00"/>
    <s v="M"/>
    <x v="1"/>
    <n v="4"/>
    <s v="California"/>
    <s v="Sacramento County"/>
    <n v="1"/>
    <n v="3"/>
    <x v="1"/>
  </r>
  <r>
    <s v="TX500310"/>
    <s v="Shorts"/>
    <n v="15"/>
    <n v="19.8"/>
    <n v="297"/>
    <d v="2025-01-14T00:00:00"/>
    <d v="2025-01-14T00:00:00"/>
    <s v="F"/>
    <x v="0"/>
    <n v="5"/>
    <s v="California"/>
    <s v="Sacramento County"/>
    <n v="0"/>
    <n v="3"/>
    <x v="2"/>
  </r>
  <r>
    <s v="TX500311"/>
    <s v="Shorts"/>
    <n v="3"/>
    <n v="31.7"/>
    <n v="95.1"/>
    <d v="2025-01-14T00:00:00"/>
    <d v="2025-01-15T00:00:00"/>
    <s v="M"/>
    <x v="2"/>
    <n v="4"/>
    <s v="California"/>
    <s v="Sacramento County"/>
    <n v="1"/>
    <n v="3"/>
    <x v="1"/>
  </r>
  <r>
    <s v="TX500312"/>
    <s v="T-Shirts"/>
    <n v="4"/>
    <n v="30.4"/>
    <n v="121.6"/>
    <d v="2025-01-14T00:00:00"/>
    <d v="2025-01-18T00:00:00"/>
    <s v="M"/>
    <x v="0"/>
    <n v="4"/>
    <s v="California"/>
    <s v="Sacramento County"/>
    <n v="4"/>
    <n v="3"/>
    <x v="1"/>
  </r>
  <r>
    <s v="TX500313"/>
    <s v="Shorts"/>
    <n v="4"/>
    <n v="25.6"/>
    <n v="102.4"/>
    <d v="2025-01-14T00:00:00"/>
    <d v="2025-01-15T00:00:00"/>
    <s v="M"/>
    <x v="3"/>
    <n v="4"/>
    <s v="California"/>
    <s v="San Diego County"/>
    <n v="1"/>
    <n v="3"/>
    <x v="1"/>
  </r>
  <r>
    <s v="TX500314"/>
    <s v="Sandals"/>
    <n v="2"/>
    <n v="34.9"/>
    <n v="69.8"/>
    <d v="2025-01-14T00:00:00"/>
    <d v="2025-01-15T00:00:00"/>
    <s v="F"/>
    <x v="2"/>
    <n v="4"/>
    <s v="California"/>
    <s v="San Mateo County"/>
    <n v="1"/>
    <n v="3"/>
    <x v="2"/>
  </r>
  <r>
    <s v="TX500315"/>
    <s v="Hoodies &amp; Sweatshirts"/>
    <n v="6"/>
    <n v="42.7"/>
    <n v="256.20000000000005"/>
    <d v="2025-01-14T00:00:00"/>
    <d v="2025-01-17T00:00:00"/>
    <s v="M"/>
    <x v="2"/>
    <n v="3"/>
    <s v="California"/>
    <s v="Santa Clara County"/>
    <n v="3"/>
    <n v="3"/>
    <x v="1"/>
  </r>
  <r>
    <s v="TX500316"/>
    <s v="T-Shirts"/>
    <n v="1"/>
    <n v="23.9"/>
    <n v="23.9"/>
    <d v="2025-01-14T00:00:00"/>
    <d v="2025-01-16T00:00:00"/>
    <s v="F"/>
    <x v="3"/>
    <n v="4"/>
    <s v="California"/>
    <s v="Santa Clara County"/>
    <n v="2"/>
    <n v="3"/>
    <x v="2"/>
  </r>
  <r>
    <s v="TX500317"/>
    <s v="Jeans"/>
    <n v="1"/>
    <n v="124.3"/>
    <n v="124.3"/>
    <d v="2025-01-14T00:00:00"/>
    <d v="2025-01-15T00:00:00"/>
    <s v=""/>
    <x v="2"/>
    <n v="3"/>
    <s v="California"/>
    <s v="Alameda County"/>
    <n v="1"/>
    <n v="3"/>
    <x v="0"/>
  </r>
  <r>
    <s v="TX500318"/>
    <s v="T-Shirts"/>
    <n v="6"/>
    <n v="35.9"/>
    <n v="215.39999999999998"/>
    <d v="2025-01-14T00:00:00"/>
    <d v="2025-01-15T00:00:00"/>
    <s v="F"/>
    <x v="0"/>
    <n v="3"/>
    <s v="California"/>
    <s v="Contra Costa County"/>
    <n v="1"/>
    <n v="3"/>
    <x v="2"/>
  </r>
  <r>
    <s v="TX500319"/>
    <s v="Sneakers"/>
    <n v="2"/>
    <n v="69.099999999999994"/>
    <n v="138.19999999999999"/>
    <d v="2025-01-14T00:00:00"/>
    <d v="2025-01-17T00:00:00"/>
    <s v="F"/>
    <x v="0"/>
    <n v="5"/>
    <s v="California"/>
    <s v="Kern County"/>
    <n v="3"/>
    <n v="3"/>
    <x v="2"/>
  </r>
  <r>
    <s v="TX500320"/>
    <s v="Hoodies &amp; Sweatshirts"/>
    <n v="1"/>
    <n v="58.4"/>
    <n v="58.4"/>
    <d v="2025-01-14T00:00:00"/>
    <d v="2025-01-18T00:00:00"/>
    <s v="M"/>
    <x v="0"/>
    <n v="4"/>
    <s v="California"/>
    <s v="Kern County"/>
    <n v="4"/>
    <n v="3"/>
    <x v="1"/>
  </r>
  <r>
    <s v="TX500321"/>
    <s v="Sandals"/>
    <n v="1"/>
    <n v="65.2"/>
    <n v="65.2"/>
    <d v="2025-01-14T00:00:00"/>
    <d v="2025-01-16T00:00:00"/>
    <s v="O"/>
    <x v="4"/>
    <n v="2"/>
    <s v="California"/>
    <s v="Los Angeles County"/>
    <n v="2"/>
    <n v="3"/>
    <x v="3"/>
  </r>
  <r>
    <s v="TX500322"/>
    <s v="T-Shirts"/>
    <n v="17"/>
    <n v="32.700000000000003"/>
    <n v="555.90000000000009"/>
    <d v="2025-01-14T00:00:00"/>
    <d v="2025-01-21T00:00:00"/>
    <s v=""/>
    <x v="4"/>
    <n v="4"/>
    <s v="California"/>
    <s v="Los Angeles County"/>
    <n v="7"/>
    <n v="3"/>
    <x v="0"/>
  </r>
  <r>
    <s v="TX500323"/>
    <s v="Bikinis"/>
    <n v="7"/>
    <n v="24.4"/>
    <n v="170.79999999999998"/>
    <d v="2025-01-14T00:00:00"/>
    <d v="2025-01-15T00:00:00"/>
    <s v="F"/>
    <x v="0"/>
    <n v="4"/>
    <s v="California"/>
    <s v="Los Angeles County"/>
    <n v="1"/>
    <n v="3"/>
    <x v="2"/>
  </r>
  <r>
    <s v="TX500324"/>
    <s v="Baseball Caps"/>
    <n v="2"/>
    <n v="50.4"/>
    <n v="100.8"/>
    <d v="2025-01-14T00:00:00"/>
    <d v="2025-01-20T00:00:00"/>
    <s v="M"/>
    <x v="0"/>
    <n v="3"/>
    <s v="California"/>
    <s v="Los Angeles County"/>
    <n v="6"/>
    <n v="3"/>
    <x v="1"/>
  </r>
  <r>
    <s v="TX500325"/>
    <s v="Tank Tops"/>
    <n v="2"/>
    <n v="100"/>
    <n v="200"/>
    <d v="2025-01-14T00:00:00"/>
    <d v="2025-01-15T00:00:00"/>
    <s v="F"/>
    <x v="0"/>
    <n v="4"/>
    <s v="California"/>
    <s v="Los Angeles County"/>
    <n v="1"/>
    <n v="3"/>
    <x v="2"/>
  </r>
  <r>
    <s v="TX500326"/>
    <s v="Bikinis"/>
    <n v="3"/>
    <n v="43"/>
    <n v="129"/>
    <d v="2025-01-15T00:00:00"/>
    <d v="2025-01-15T00:00:00"/>
    <s v="F"/>
    <x v="2"/>
    <n v="3"/>
    <s v="California"/>
    <s v="Los Angeles County"/>
    <n v="0"/>
    <n v="3"/>
    <x v="2"/>
  </r>
  <r>
    <s v="TX500327"/>
    <s v="Tank Tops"/>
    <n v="5"/>
    <n v="64.400000000000006"/>
    <n v="322"/>
    <d v="2025-01-15T00:00:00"/>
    <d v="2025-01-17T00:00:00"/>
    <s v="M"/>
    <x v="2"/>
    <n v="3"/>
    <s v="California"/>
    <s v="Los Angeles County"/>
    <n v="2"/>
    <n v="3"/>
    <x v="1"/>
  </r>
  <r>
    <s v="TX500328"/>
    <s v="Leggings"/>
    <n v="2"/>
    <n v="57.4"/>
    <n v="114.8"/>
    <d v="2025-01-15T00:00:00"/>
    <d v="2025-01-16T00:00:00"/>
    <s v="M"/>
    <x v="2"/>
    <n v="3"/>
    <s v="California"/>
    <s v="Los Angeles County"/>
    <n v="1"/>
    <n v="3"/>
    <x v="1"/>
  </r>
  <r>
    <s v="TX500329"/>
    <s v="Sneakers"/>
    <n v="3"/>
    <n v="55.1"/>
    <n v="165.3"/>
    <d v="2025-01-15T00:00:00"/>
    <d v="2025-01-18T00:00:00"/>
    <s v="F"/>
    <x v="1"/>
    <n v="4"/>
    <s v="California"/>
    <s v="Los Angeles County"/>
    <n v="3"/>
    <n v="3"/>
    <x v="2"/>
  </r>
  <r>
    <s v="TX500330"/>
    <s v="Hoodies &amp; Sweatshirts"/>
    <n v="4"/>
    <n v="45.4"/>
    <n v="181.6"/>
    <d v="2025-01-15T00:00:00"/>
    <d v="2025-01-16T00:00:00"/>
    <s v="F"/>
    <x v="1"/>
    <n v="4"/>
    <s v="California"/>
    <s v="Los Angeles County"/>
    <n v="1"/>
    <n v="3"/>
    <x v="2"/>
  </r>
  <r>
    <s v="TX500331"/>
    <s v="Workout Tops"/>
    <n v="3"/>
    <n v="93.3"/>
    <n v="279.89999999999998"/>
    <d v="2025-01-15T00:00:00"/>
    <d v="2025-01-16T00:00:00"/>
    <s v="F"/>
    <x v="0"/>
    <n v="4"/>
    <s v="California"/>
    <s v="Mariposa County"/>
    <n v="1"/>
    <n v="3"/>
    <x v="2"/>
  </r>
  <r>
    <s v="TX500332"/>
    <s v="Sneakers"/>
    <n v="19"/>
    <n v="158.19999999999999"/>
    <n v="3005.7999999999997"/>
    <d v="2025-01-15T00:00:00"/>
    <d v="2025-01-16T00:00:00"/>
    <s v="F"/>
    <x v="1"/>
    <n v="5"/>
    <s v="California"/>
    <s v="Napa County"/>
    <n v="1"/>
    <n v="3"/>
    <x v="2"/>
  </r>
  <r>
    <s v="TX500333"/>
    <s v="Sneakers"/>
    <n v="2"/>
    <n v="74.900000000000006"/>
    <n v="149.80000000000001"/>
    <d v="2025-01-15T00:00:00"/>
    <d v="2025-01-17T00:00:00"/>
    <s v="M"/>
    <x v="3"/>
    <n v="4"/>
    <s v="California"/>
    <s v="Sacramento County"/>
    <n v="2"/>
    <n v="3"/>
    <x v="1"/>
  </r>
  <r>
    <s v="TX500334"/>
    <s v="T-Shirts"/>
    <n v="7"/>
    <n v="26"/>
    <n v="182"/>
    <d v="2025-01-15T00:00:00"/>
    <d v="2025-01-18T00:00:00"/>
    <s v="F"/>
    <x v="1"/>
    <n v="4"/>
    <s v="California"/>
    <s v="San Diego County"/>
    <n v="3"/>
    <n v="3"/>
    <x v="2"/>
  </r>
  <r>
    <s v="TX500335"/>
    <s v="Sundresses"/>
    <n v="6"/>
    <n v="37.5"/>
    <n v="225"/>
    <d v="2025-01-15T00:00:00"/>
    <d v="2025-01-16T00:00:00"/>
    <s v="F"/>
    <x v="0"/>
    <n v="3"/>
    <s v="California"/>
    <s v="San Diego County"/>
    <n v="1"/>
    <n v="3"/>
    <x v="2"/>
  </r>
  <r>
    <s v="TX500336"/>
    <s v="Jeans"/>
    <n v="2"/>
    <n v="75.8"/>
    <n v="151.6"/>
    <d v="2025-01-15T00:00:00"/>
    <d v="2025-01-21T00:00:00"/>
    <s v="M"/>
    <x v="0"/>
    <n v="4"/>
    <s v="California"/>
    <s v="San Diego County"/>
    <n v="6"/>
    <n v="3"/>
    <x v="1"/>
  </r>
  <r>
    <s v="TX500337"/>
    <s v="Hoodies &amp; Sweatshirts"/>
    <n v="1"/>
    <n v="48.5"/>
    <n v="48.5"/>
    <d v="2025-01-15T00:00:00"/>
    <d v="2025-01-27T00:00:00"/>
    <s v=""/>
    <x v="4"/>
    <n v="5"/>
    <s v="California"/>
    <s v="San Diego County"/>
    <n v="12"/>
    <n v="3"/>
    <x v="0"/>
  </r>
  <r>
    <s v="TX500338"/>
    <s v="Jeans"/>
    <n v="3"/>
    <n v="98.9"/>
    <n v="296.70000000000005"/>
    <d v="2025-01-15T00:00:00"/>
    <d v="2025-01-17T00:00:00"/>
    <s v="F"/>
    <x v="4"/>
    <n v="3"/>
    <s v="California"/>
    <s v="San Diego County"/>
    <n v="2"/>
    <n v="3"/>
    <x v="2"/>
  </r>
  <r>
    <s v="TX500339"/>
    <s v="Tank Tops"/>
    <n v="12"/>
    <n v="50.9"/>
    <n v="610.79999999999995"/>
    <d v="2025-01-15T00:00:00"/>
    <d v="2025-01-15T00:00:00"/>
    <s v="M"/>
    <x v="4"/>
    <n v="4"/>
    <s v="California"/>
    <s v="San Diego County"/>
    <n v="0"/>
    <n v="3"/>
    <x v="1"/>
  </r>
  <r>
    <s v="TX500340"/>
    <s v="Casual Dresses"/>
    <n v="6"/>
    <n v="84.7"/>
    <n v="508.20000000000005"/>
    <d v="2025-01-15T00:00:00"/>
    <d v="2025-01-15T00:00:00"/>
    <s v="F"/>
    <x v="2"/>
    <n v="4"/>
    <s v="California"/>
    <s v="San Diego County"/>
    <n v="0"/>
    <n v="3"/>
    <x v="2"/>
  </r>
  <r>
    <s v="TX500341"/>
    <s v="T-Shirts"/>
    <n v="1"/>
    <n v="20.7"/>
    <n v="20.7"/>
    <d v="2025-01-15T00:00:00"/>
    <d v="2025-01-17T00:00:00"/>
    <s v="F"/>
    <x v="3"/>
    <n v="5"/>
    <s v="California"/>
    <s v="San Diego County"/>
    <n v="2"/>
    <n v="3"/>
    <x v="2"/>
  </r>
  <r>
    <s v="TX500342"/>
    <s v="Casual Dresses"/>
    <n v="9"/>
    <n v="57.8"/>
    <n v="520.19999999999993"/>
    <d v="2025-01-15T00:00:00"/>
    <d v="2025-01-26T00:00:00"/>
    <s v="M"/>
    <x v="0"/>
    <n v="2"/>
    <s v="California"/>
    <s v="San Francisco"/>
    <n v="11"/>
    <n v="3"/>
    <x v="1"/>
  </r>
  <r>
    <s v="TX500343"/>
    <s v="Sneakers"/>
    <n v="2"/>
    <n v="106.9"/>
    <n v="213.8"/>
    <d v="2025-01-15T00:00:00"/>
    <d v="2025-01-17T00:00:00"/>
    <s v="F"/>
    <x v="0"/>
    <n v="5"/>
    <s v="California"/>
    <s v="San Luis Obispo County"/>
    <n v="2"/>
    <n v="3"/>
    <x v="2"/>
  </r>
  <r>
    <s v="TX500344"/>
    <s v="Workout Tops"/>
    <n v="5"/>
    <n v="45.2"/>
    <n v="226"/>
    <d v="2025-01-15T00:00:00"/>
    <d v="2025-01-19T00:00:00"/>
    <s v="F"/>
    <x v="1"/>
    <n v="4"/>
    <s v="California"/>
    <s v="Alameda County"/>
    <n v="4"/>
    <n v="3"/>
    <x v="2"/>
  </r>
  <r>
    <s v="TX500345"/>
    <s v="T-Shirts"/>
    <n v="13"/>
    <n v="34.6"/>
    <n v="449.8"/>
    <d v="2025-01-15T00:00:00"/>
    <d v="2025-01-15T00:00:00"/>
    <s v="F"/>
    <x v="1"/>
    <n v="3"/>
    <s v="California"/>
    <s v="Alameda County"/>
    <n v="0"/>
    <n v="3"/>
    <x v="2"/>
  </r>
  <r>
    <s v="TX500346"/>
    <s v="Crop Tops"/>
    <n v="1"/>
    <n v="43.8"/>
    <n v="43.8"/>
    <d v="2025-01-15T00:00:00"/>
    <d v="2025-01-17T00:00:00"/>
    <s v=""/>
    <x v="0"/>
    <n v="5"/>
    <s v="California"/>
    <s v="Alameda County"/>
    <n v="2"/>
    <n v="3"/>
    <x v="0"/>
  </r>
  <r>
    <s v="TX500347"/>
    <s v="Crop Tops"/>
    <n v="1"/>
    <n v="20.399999999999999"/>
    <n v="20.399999999999999"/>
    <d v="2025-01-15T00:00:00"/>
    <d v="2025-01-17T00:00:00"/>
    <s v="M"/>
    <x v="4"/>
    <n v="3"/>
    <s v="California"/>
    <s v="Alameda County"/>
    <n v="2"/>
    <n v="3"/>
    <x v="1"/>
  </r>
  <r>
    <s v="TX500348"/>
    <s v="Tank Tops"/>
    <n v="1"/>
    <n v="36.700000000000003"/>
    <n v="36.700000000000003"/>
    <d v="2025-01-15T00:00:00"/>
    <d v="2025-01-16T00:00:00"/>
    <s v="M"/>
    <x v="0"/>
    <n v="3"/>
    <s v="California"/>
    <s v="Contra Costa County"/>
    <n v="1"/>
    <n v="3"/>
    <x v="1"/>
  </r>
  <r>
    <s v="TX500349"/>
    <s v="T-Shirts"/>
    <n v="3"/>
    <n v="27.2"/>
    <n v="81.599999999999994"/>
    <d v="2025-01-15T00:00:00"/>
    <d v="2025-01-19T00:00:00"/>
    <s v="M"/>
    <x v="0"/>
    <n v="5"/>
    <s v="California"/>
    <s v="Contra Costa County"/>
    <n v="4"/>
    <n v="3"/>
    <x v="1"/>
  </r>
  <r>
    <s v="TX500350"/>
    <s v="Jeans"/>
    <n v="1"/>
    <n v="58.2"/>
    <n v="58.2"/>
    <d v="2025-01-15T00:00:00"/>
    <d v="2025-01-16T00:00:00"/>
    <s v="F"/>
    <x v="0"/>
    <n v="5"/>
    <s v="California"/>
    <s v="El Dorado County"/>
    <n v="1"/>
    <n v="3"/>
    <x v="2"/>
  </r>
  <r>
    <s v="TX500351"/>
    <s v="T-Shirts"/>
    <n v="3"/>
    <n v="25.6"/>
    <n v="76.800000000000011"/>
    <d v="2025-01-15T00:00:00"/>
    <d v="2025-01-16T00:00:00"/>
    <s v="M"/>
    <x v="4"/>
    <n v="2"/>
    <s v="California"/>
    <s v="Fresno County"/>
    <n v="1"/>
    <n v="3"/>
    <x v="1"/>
  </r>
  <r>
    <s v="TX500352"/>
    <s v="Bikinis"/>
    <n v="1"/>
    <n v="21.2"/>
    <n v="21.2"/>
    <d v="2025-01-15T00:00:00"/>
    <d v="2025-01-15T00:00:00"/>
    <s v="F"/>
    <x v="1"/>
    <n v="5"/>
    <s v="California"/>
    <s v="Los Angeles County"/>
    <n v="0"/>
    <n v="3"/>
    <x v="2"/>
  </r>
  <r>
    <s v="TX500353"/>
    <s v="Jeans"/>
    <n v="2"/>
    <n v="48.2"/>
    <n v="96.4"/>
    <d v="2025-01-15T00:00:00"/>
    <d v="2025-01-23T00:00:00"/>
    <s v="F"/>
    <x v="0"/>
    <n v="5"/>
    <s v="California"/>
    <s v="Los Angeles County"/>
    <n v="8"/>
    <n v="3"/>
    <x v="2"/>
  </r>
  <r>
    <s v="TX500354"/>
    <s v="Tank Tops"/>
    <n v="4"/>
    <n v="83.4"/>
    <n v="333.6"/>
    <d v="2025-01-16T00:00:00"/>
    <d v="2025-01-17T00:00:00"/>
    <s v="M"/>
    <x v="0"/>
    <n v="4"/>
    <s v="California"/>
    <s v="Los Angeles County"/>
    <n v="1"/>
    <n v="3"/>
    <x v="1"/>
  </r>
  <r>
    <s v="TX500355"/>
    <s v="Sundresses"/>
    <n v="3"/>
    <n v="45.3"/>
    <n v="135.89999999999998"/>
    <d v="2025-01-16T00:00:00"/>
    <d v="2025-01-22T00:00:00"/>
    <s v="M"/>
    <x v="2"/>
    <n v="3"/>
    <s v="California"/>
    <s v="Los Angeles County"/>
    <n v="6"/>
    <n v="3"/>
    <x v="1"/>
  </r>
  <r>
    <s v="TX500356"/>
    <s v="Pajama Sets"/>
    <n v="1"/>
    <n v="42"/>
    <n v="42"/>
    <d v="2025-01-16T00:00:00"/>
    <d v="2025-01-17T00:00:00"/>
    <s v=""/>
    <x v="0"/>
    <n v="4"/>
    <s v="California"/>
    <s v="Los Angeles County"/>
    <n v="1"/>
    <n v="3"/>
    <x v="0"/>
  </r>
  <r>
    <s v="TX500357"/>
    <s v="Shorts"/>
    <n v="9"/>
    <n v="21.8"/>
    <n v="196.20000000000002"/>
    <d v="2025-01-16T00:00:00"/>
    <d v="2025-01-18T00:00:00"/>
    <s v="F"/>
    <x v="1"/>
    <n v="4"/>
    <s v="California"/>
    <s v="Los Angeles County"/>
    <n v="2"/>
    <n v="3"/>
    <x v="2"/>
  </r>
  <r>
    <s v="TX500358"/>
    <s v="T-Shirts"/>
    <n v="18"/>
    <n v="21.4"/>
    <n v="385.2"/>
    <d v="2025-01-16T00:00:00"/>
    <d v="2025-01-19T00:00:00"/>
    <s v="F"/>
    <x v="1"/>
    <n v="5"/>
    <s v="California"/>
    <s v="Los Angeles County"/>
    <n v="3"/>
    <n v="3"/>
    <x v="2"/>
  </r>
  <r>
    <s v="TX500359"/>
    <s v="Bikinis"/>
    <n v="3"/>
    <n v="45"/>
    <n v="135"/>
    <d v="2025-01-16T00:00:00"/>
    <d v="2025-01-16T00:00:00"/>
    <s v="F"/>
    <x v="1"/>
    <n v="5"/>
    <s v="California"/>
    <s v="Los Angeles County"/>
    <n v="0"/>
    <n v="3"/>
    <x v="2"/>
  </r>
  <r>
    <s v="TX500360"/>
    <s v="Baseball Caps"/>
    <n v="1"/>
    <n v="39.6"/>
    <n v="39.6"/>
    <d v="2025-01-16T00:00:00"/>
    <d v="2025-01-17T00:00:00"/>
    <s v="M"/>
    <x v="0"/>
    <n v="5"/>
    <s v="California"/>
    <s v="Los Angeles County"/>
    <n v="1"/>
    <n v="3"/>
    <x v="1"/>
  </r>
  <r>
    <s v="TX500361"/>
    <s v="Casual Dresses"/>
    <n v="3"/>
    <n v="79.8"/>
    <n v="239.39999999999998"/>
    <d v="2025-01-16T00:00:00"/>
    <d v="2025-01-22T00:00:00"/>
    <s v="F"/>
    <x v="1"/>
    <n v="2"/>
    <s v="California"/>
    <s v="Los Angeles County"/>
    <n v="6"/>
    <n v="3"/>
    <x v="2"/>
  </r>
  <r>
    <s v="TX500362"/>
    <s v="Tank Tops"/>
    <n v="4"/>
    <n v="63.6"/>
    <n v="254.4"/>
    <d v="2025-01-16T00:00:00"/>
    <d v="2025-01-17T00:00:00"/>
    <s v="O"/>
    <x v="0"/>
    <n v="5"/>
    <s v="California"/>
    <s v="Merced County"/>
    <n v="1"/>
    <n v="3"/>
    <x v="3"/>
  </r>
  <r>
    <s v="TX500363"/>
    <s v="Hoodies &amp; Sweatshirts"/>
    <n v="10"/>
    <n v="92.7"/>
    <n v="927"/>
    <d v="2025-01-16T00:00:00"/>
    <d v="2025-01-20T00:00:00"/>
    <s v="M"/>
    <x v="1"/>
    <n v="5"/>
    <s v="California"/>
    <s v="Sacramento County"/>
    <n v="4"/>
    <n v="3"/>
    <x v="1"/>
  </r>
  <r>
    <s v="TX500364"/>
    <s v="Tank Tops"/>
    <n v="4"/>
    <n v="48.4"/>
    <n v="193.6"/>
    <d v="2025-01-16T00:00:00"/>
    <d v="2025-01-18T00:00:00"/>
    <s v="F"/>
    <x v="1"/>
    <n v="5"/>
    <s v="California"/>
    <s v="Sacramento County"/>
    <n v="2"/>
    <n v="3"/>
    <x v="2"/>
  </r>
  <r>
    <s v="TX500365"/>
    <s v="Sundresses"/>
    <n v="8"/>
    <n v="36"/>
    <n v="288"/>
    <d v="2025-01-16T00:00:00"/>
    <d v="2025-01-19T00:00:00"/>
    <s v="M"/>
    <x v="2"/>
    <n v="5"/>
    <s v="California"/>
    <s v="San Diego County"/>
    <n v="3"/>
    <n v="3"/>
    <x v="1"/>
  </r>
  <r>
    <s v="TX500366"/>
    <s v="T-Shirts"/>
    <n v="12"/>
    <n v="27"/>
    <n v="324"/>
    <d v="2025-01-16T00:00:00"/>
    <d v="2025-01-18T00:00:00"/>
    <s v="F"/>
    <x v="2"/>
    <n v="3"/>
    <s v="California"/>
    <s v="San Diego County"/>
    <n v="2"/>
    <n v="3"/>
    <x v="2"/>
  </r>
  <r>
    <s v="TX500367"/>
    <s v="Sneakers"/>
    <n v="8"/>
    <n v="53.9"/>
    <n v="431.2"/>
    <d v="2025-01-16T00:00:00"/>
    <d v="2025-01-17T00:00:00"/>
    <s v=""/>
    <x v="0"/>
    <n v="4"/>
    <s v="California"/>
    <s v="San Diego County"/>
    <n v="1"/>
    <n v="3"/>
    <x v="0"/>
  </r>
  <r>
    <s v="TX500368"/>
    <s v="Workout Tops"/>
    <n v="9"/>
    <n v="48.4"/>
    <n v="435.59999999999997"/>
    <d v="2025-01-16T00:00:00"/>
    <d v="2025-01-17T00:00:00"/>
    <s v="F"/>
    <x v="1"/>
    <n v="4"/>
    <s v="California"/>
    <s v="San Mateo County"/>
    <n v="1"/>
    <n v="3"/>
    <x v="2"/>
  </r>
  <r>
    <s v="TX500369"/>
    <s v="Pajama Sets"/>
    <n v="2"/>
    <n v="49.9"/>
    <n v="99.8"/>
    <d v="2025-01-16T00:00:00"/>
    <d v="2025-01-21T00:00:00"/>
    <s v="M"/>
    <x v="4"/>
    <n v="2"/>
    <s v="California"/>
    <s v="Santa Barbara County"/>
    <n v="5"/>
    <n v="3"/>
    <x v="1"/>
  </r>
  <r>
    <s v="TX500370"/>
    <s v="Tank Tops"/>
    <n v="3"/>
    <n v="51.7"/>
    <n v="155.10000000000002"/>
    <d v="2025-01-16T00:00:00"/>
    <d v="2025-01-17T00:00:00"/>
    <s v="F"/>
    <x v="0"/>
    <n v="5"/>
    <s v="California"/>
    <s v="Santa Clara County"/>
    <n v="1"/>
    <n v="3"/>
    <x v="2"/>
  </r>
  <r>
    <s v="TX500371"/>
    <s v="T-Shirts"/>
    <n v="3"/>
    <n v="41.8"/>
    <n v="125.39999999999999"/>
    <d v="2025-01-16T00:00:00"/>
    <d v="2025-01-18T00:00:00"/>
    <s v="F"/>
    <x v="2"/>
    <n v="4"/>
    <s v="California"/>
    <s v="Sonoma County"/>
    <n v="2"/>
    <n v="3"/>
    <x v="2"/>
  </r>
  <r>
    <s v="TX500372"/>
    <s v="Graphic Tees"/>
    <n v="4"/>
    <n v="36.200000000000003"/>
    <n v="144.80000000000001"/>
    <d v="2025-01-17T00:00:00"/>
    <d v="2025-01-18T00:00:00"/>
    <s v="M"/>
    <x v="2"/>
    <n v="5"/>
    <s v="California"/>
    <s v="Alameda County"/>
    <n v="1"/>
    <n v="3"/>
    <x v="1"/>
  </r>
  <r>
    <s v="TX500373"/>
    <s v="Sneakers"/>
    <n v="1"/>
    <n v="150.9"/>
    <n v="150.9"/>
    <d v="2025-01-17T00:00:00"/>
    <d v="2025-01-27T00:00:00"/>
    <s v="M"/>
    <x v="0"/>
    <n v="4"/>
    <s v="California"/>
    <s v="Contra Costa County"/>
    <n v="10"/>
    <n v="3"/>
    <x v="1"/>
  </r>
  <r>
    <s v="TX500374"/>
    <s v="Leggings"/>
    <n v="4"/>
    <n v="77.599999999999994"/>
    <n v="310.39999999999998"/>
    <d v="2025-01-17T00:00:00"/>
    <d v="2025-01-18T00:00:00"/>
    <s v=""/>
    <x v="2"/>
    <n v="4"/>
    <s v="California"/>
    <s v="Los Angeles County"/>
    <n v="1"/>
    <n v="3"/>
    <x v="0"/>
  </r>
  <r>
    <s v="TX500375"/>
    <s v="Tote Bags"/>
    <n v="5"/>
    <n v="65.5"/>
    <n v="327.5"/>
    <d v="2025-01-17T00:00:00"/>
    <d v="2025-01-17T00:00:00"/>
    <s v="M"/>
    <x v="1"/>
    <n v="4"/>
    <s v="California"/>
    <s v="Los Angeles County"/>
    <n v="0"/>
    <n v="3"/>
    <x v="1"/>
  </r>
  <r>
    <s v="TX500376"/>
    <s v="Jeans"/>
    <n v="3"/>
    <n v="90.1"/>
    <n v="270.29999999999995"/>
    <d v="2025-01-17T00:00:00"/>
    <d v="2025-01-19T00:00:00"/>
    <s v="F"/>
    <x v="0"/>
    <n v="4"/>
    <s v="California"/>
    <s v="Los Angeles County"/>
    <n v="2"/>
    <n v="3"/>
    <x v="2"/>
  </r>
  <r>
    <s v="TX500377"/>
    <s v="Tank Tops"/>
    <n v="2"/>
    <n v="108.3"/>
    <n v="216.6"/>
    <d v="2025-01-17T00:00:00"/>
    <d v="2025-01-20T00:00:00"/>
    <s v="O"/>
    <x v="4"/>
    <n v="4"/>
    <s v="California"/>
    <s v="Los Angeles County"/>
    <n v="3"/>
    <n v="3"/>
    <x v="3"/>
  </r>
  <r>
    <s v="TX500378"/>
    <s v="Sandals"/>
    <n v="3"/>
    <n v="59.9"/>
    <n v="179.7"/>
    <d v="2025-01-17T00:00:00"/>
    <d v="2025-01-21T00:00:00"/>
    <s v="F"/>
    <x v="0"/>
    <n v="4"/>
    <s v="California"/>
    <s v="Los Angeles County"/>
    <n v="4"/>
    <n v="3"/>
    <x v="2"/>
  </r>
  <r>
    <s v="TX500379"/>
    <s v="Sneakers"/>
    <n v="17"/>
    <n v="139"/>
    <n v="2363"/>
    <d v="2025-01-17T00:00:00"/>
    <d v="2025-01-19T00:00:00"/>
    <s v="F"/>
    <x v="1"/>
    <n v="2"/>
    <s v="California"/>
    <s v="Los Angeles County"/>
    <n v="2"/>
    <n v="3"/>
    <x v="2"/>
  </r>
  <r>
    <s v="TX500380"/>
    <s v="Jeans"/>
    <n v="3"/>
    <n v="87.3"/>
    <n v="261.89999999999998"/>
    <d v="2025-01-17T00:00:00"/>
    <d v="2025-01-18T00:00:00"/>
    <s v="F"/>
    <x v="0"/>
    <n v="4"/>
    <s v="California"/>
    <s v="Los Angeles County"/>
    <n v="1"/>
    <n v="3"/>
    <x v="2"/>
  </r>
  <r>
    <s v="TX500381"/>
    <s v="Maxi Dresses"/>
    <n v="4"/>
    <n v="42.3"/>
    <n v="169.2"/>
    <d v="2025-01-17T00:00:00"/>
    <d v="2025-01-17T00:00:00"/>
    <s v="M"/>
    <x v="0"/>
    <n v="4"/>
    <s v="California"/>
    <s v="Los Angeles County"/>
    <n v="0"/>
    <n v="3"/>
    <x v="1"/>
  </r>
  <r>
    <s v="TX500382"/>
    <s v="Baseball Caps"/>
    <n v="8"/>
    <n v="103.6"/>
    <n v="828.8"/>
    <d v="2025-01-17T00:00:00"/>
    <d v="2025-01-18T00:00:00"/>
    <s v="O"/>
    <x v="0"/>
    <n v="3"/>
    <s v="California"/>
    <s v="Los Angeles County"/>
    <n v="1"/>
    <n v="3"/>
    <x v="3"/>
  </r>
  <r>
    <s v="TX500383"/>
    <s v="Jeans"/>
    <n v="2"/>
    <n v="90.9"/>
    <n v="181.8"/>
    <d v="2025-01-17T00:00:00"/>
    <d v="2025-01-18T00:00:00"/>
    <s v="M"/>
    <x v="1"/>
    <n v="4"/>
    <s v="California"/>
    <s v="Sacramento County"/>
    <n v="1"/>
    <n v="3"/>
    <x v="1"/>
  </r>
  <r>
    <s v="TX500384"/>
    <s v="Sundresses"/>
    <n v="16"/>
    <n v="100.9"/>
    <n v="1614.4"/>
    <d v="2025-01-17T00:00:00"/>
    <d v="2025-01-18T00:00:00"/>
    <s v="F"/>
    <x v="1"/>
    <n v="4"/>
    <s v="California"/>
    <s v="Sacramento County"/>
    <n v="1"/>
    <n v="3"/>
    <x v="2"/>
  </r>
  <r>
    <s v="TX500385"/>
    <s v="Graphic Tees"/>
    <n v="5"/>
    <n v="36"/>
    <n v="180"/>
    <d v="2025-01-17T00:00:00"/>
    <d v="2025-01-19T00:00:00"/>
    <s v="F"/>
    <x v="1"/>
    <n v="4"/>
    <s v="California"/>
    <s v="San Bernardino County"/>
    <n v="2"/>
    <n v="3"/>
    <x v="2"/>
  </r>
  <r>
    <s v="TX500386"/>
    <s v="Jeans"/>
    <n v="6"/>
    <n v="83.3"/>
    <n v="499.79999999999995"/>
    <d v="2025-01-17T00:00:00"/>
    <d v="2025-01-20T00:00:00"/>
    <s v=""/>
    <x v="2"/>
    <n v="4"/>
    <s v="California"/>
    <s v="San Bernardino County"/>
    <n v="3"/>
    <n v="3"/>
    <x v="0"/>
  </r>
  <r>
    <s v="TX500387"/>
    <s v="Sneakers"/>
    <n v="17"/>
    <n v="60.3"/>
    <n v="1025.0999999999999"/>
    <d v="2025-01-17T00:00:00"/>
    <d v="2025-01-18T00:00:00"/>
    <s v="M"/>
    <x v="2"/>
    <n v="3"/>
    <s v="California"/>
    <s v="San Bernardino County"/>
    <n v="1"/>
    <n v="3"/>
    <x v="1"/>
  </r>
  <r>
    <s v="TX500388"/>
    <s v="Sneakers"/>
    <n v="6"/>
    <n v="120.3"/>
    <n v="721.8"/>
    <d v="2025-01-17T00:00:00"/>
    <d v="2025-01-18T00:00:00"/>
    <s v="M"/>
    <x v="2"/>
    <n v="4"/>
    <s v="California"/>
    <s v="San Diego County"/>
    <n v="1"/>
    <n v="3"/>
    <x v="1"/>
  </r>
  <r>
    <s v="TX500389"/>
    <s v="Graphic Tees"/>
    <n v="10"/>
    <n v="34"/>
    <n v="340"/>
    <d v="2025-01-17T00:00:00"/>
    <d v="2025-01-21T00:00:00"/>
    <s v="F"/>
    <x v="2"/>
    <n v="4"/>
    <s v="California"/>
    <s v="San Diego County"/>
    <n v="4"/>
    <n v="3"/>
    <x v="2"/>
  </r>
  <r>
    <s v="TX500390"/>
    <s v="Bikinis"/>
    <n v="5"/>
    <n v="42.6"/>
    <n v="213"/>
    <d v="2025-01-17T00:00:00"/>
    <d v="2025-01-20T00:00:00"/>
    <s v="M"/>
    <x v="1"/>
    <n v="4"/>
    <s v="California"/>
    <s v="San Diego County"/>
    <n v="3"/>
    <n v="3"/>
    <x v="1"/>
  </r>
  <r>
    <s v="TX500391"/>
    <s v="Sandals"/>
    <n v="20"/>
    <n v="47.4"/>
    <n v="948"/>
    <d v="2025-01-17T00:00:00"/>
    <d v="2025-01-17T00:00:00"/>
    <s v="F"/>
    <x v="2"/>
    <n v="3"/>
    <s v="California"/>
    <s v="San Francisco"/>
    <n v="0"/>
    <n v="3"/>
    <x v="2"/>
  </r>
  <r>
    <s v="TX500392"/>
    <s v="Sneakers"/>
    <n v="1"/>
    <n v="74"/>
    <n v="74"/>
    <d v="2025-01-18T00:00:00"/>
    <d v="2025-01-19T00:00:00"/>
    <s v="M"/>
    <x v="1"/>
    <n v="4"/>
    <s v="California"/>
    <s v="Santa Clara County"/>
    <n v="1"/>
    <n v="3"/>
    <x v="1"/>
  </r>
  <r>
    <s v="TX500393"/>
    <s v="Sneakers"/>
    <n v="5"/>
    <n v="60.4"/>
    <n v="302"/>
    <d v="2025-01-18T00:00:00"/>
    <d v="2025-01-21T00:00:00"/>
    <s v="F"/>
    <x v="1"/>
    <n v="2"/>
    <s v="California"/>
    <s v="Sonoma County"/>
    <n v="3"/>
    <n v="3"/>
    <x v="2"/>
  </r>
  <r>
    <s v="TX500394"/>
    <s v="Casual Dresses"/>
    <n v="2"/>
    <n v="69.3"/>
    <n v="138.6"/>
    <d v="2025-01-18T00:00:00"/>
    <d v="2025-01-21T00:00:00"/>
    <s v="M"/>
    <x v="1"/>
    <n v="3"/>
    <s v="California"/>
    <s v="Ventura County"/>
    <n v="3"/>
    <n v="3"/>
    <x v="1"/>
  </r>
  <r>
    <s v="TX500395"/>
    <s v="Sandals"/>
    <n v="5"/>
    <n v="81"/>
    <n v="405"/>
    <d v="2025-01-18T00:00:00"/>
    <d v="2025-01-24T00:00:00"/>
    <s v="M"/>
    <x v="3"/>
    <n v="4"/>
    <s v="California"/>
    <s v="Alameda County"/>
    <n v="6"/>
    <n v="3"/>
    <x v="1"/>
  </r>
  <r>
    <s v="TX500396"/>
    <s v="Crop Tops"/>
    <n v="3"/>
    <n v="41.5"/>
    <n v="124.5"/>
    <d v="2025-01-18T00:00:00"/>
    <d v="2025-01-20T00:00:00"/>
    <s v="O"/>
    <x v="1"/>
    <n v="4"/>
    <s v="California"/>
    <s v="Alameda County"/>
    <n v="2"/>
    <n v="3"/>
    <x v="3"/>
  </r>
  <r>
    <s v="TX500397"/>
    <s v="Leggings"/>
    <n v="2"/>
    <n v="69.7"/>
    <n v="139.4"/>
    <d v="2025-01-18T00:00:00"/>
    <d v="2025-01-23T00:00:00"/>
    <s v="M"/>
    <x v="1"/>
    <n v="4"/>
    <s v="California"/>
    <s v="Alameda County"/>
    <n v="5"/>
    <n v="3"/>
    <x v="1"/>
  </r>
  <r>
    <s v="TX500398"/>
    <s v="Sneakers"/>
    <n v="5"/>
    <n v="83.6"/>
    <n v="418"/>
    <d v="2025-01-18T00:00:00"/>
    <d v="2025-01-18T00:00:00"/>
    <s v="F"/>
    <x v="4"/>
    <n v="4"/>
    <s v="California"/>
    <s v="Contra Costa County"/>
    <n v="0"/>
    <n v="3"/>
    <x v="2"/>
  </r>
  <r>
    <s v="TX500399"/>
    <s v="T-Shirts"/>
    <n v="7"/>
    <n v="21.5"/>
    <n v="150.5"/>
    <d v="2025-01-18T00:00:00"/>
    <d v="2025-01-20T00:00:00"/>
    <s v="M"/>
    <x v="1"/>
    <n v="2"/>
    <s v="California"/>
    <s v="Kings County"/>
    <n v="2"/>
    <n v="3"/>
    <x v="1"/>
  </r>
  <r>
    <s v="TX500400"/>
    <s v="T-Shirts"/>
    <n v="8"/>
    <n v="28.6"/>
    <n v="228.8"/>
    <d v="2025-01-18T00:00:00"/>
    <d v="2025-01-19T00:00:00"/>
    <s v="M"/>
    <x v="0"/>
    <n v="4"/>
    <s v="California"/>
    <s v="Los Angeles County"/>
    <n v="1"/>
    <n v="3"/>
    <x v="1"/>
  </r>
  <r>
    <s v="TX500401"/>
    <s v="T-Shirts"/>
    <n v="6"/>
    <n v="18.8"/>
    <n v="112.80000000000001"/>
    <d v="2025-01-18T00:00:00"/>
    <d v="2025-01-21T00:00:00"/>
    <s v="M"/>
    <x v="3"/>
    <n v="5"/>
    <s v="California"/>
    <s v="Los Angeles County"/>
    <n v="3"/>
    <n v="3"/>
    <x v="1"/>
  </r>
  <r>
    <s v="TX500402"/>
    <s v="Bikinis"/>
    <n v="4"/>
    <n v="35.1"/>
    <n v="140.4"/>
    <d v="2025-01-18T00:00:00"/>
    <d v="2025-01-18T00:00:00"/>
    <s v="F"/>
    <x v="1"/>
    <n v="3"/>
    <s v="California"/>
    <s v="Los Angeles County"/>
    <n v="0"/>
    <n v="3"/>
    <x v="2"/>
  </r>
  <r>
    <s v="TX500403"/>
    <s v="Shorts"/>
    <n v="2"/>
    <n v="12.7"/>
    <n v="25.4"/>
    <d v="2025-01-18T00:00:00"/>
    <d v="2025-01-20T00:00:00"/>
    <s v="F"/>
    <x v="1"/>
    <n v="5"/>
    <s v="California"/>
    <s v="Los Angeles County"/>
    <n v="2"/>
    <n v="3"/>
    <x v="2"/>
  </r>
  <r>
    <s v="TX500404"/>
    <s v="T-Shirts"/>
    <n v="5"/>
    <n v="27.4"/>
    <n v="137"/>
    <d v="2025-01-18T00:00:00"/>
    <d v="2025-01-20T00:00:00"/>
    <s v="O"/>
    <x v="0"/>
    <n v="4"/>
    <s v="California"/>
    <s v="Los Angeles County"/>
    <n v="2"/>
    <n v="3"/>
    <x v="3"/>
  </r>
  <r>
    <s v="TX500405"/>
    <s v="Bikinis"/>
    <n v="2"/>
    <n v="61.3"/>
    <n v="122.6"/>
    <d v="2025-01-18T00:00:00"/>
    <d v="2025-01-19T00:00:00"/>
    <s v="F"/>
    <x v="1"/>
    <n v="4"/>
    <s v="California"/>
    <s v="Sacramento County"/>
    <n v="1"/>
    <n v="3"/>
    <x v="2"/>
  </r>
  <r>
    <s v="TX500406"/>
    <s v="T-Shirts"/>
    <n v="2"/>
    <n v="64.7"/>
    <n v="129.4"/>
    <d v="2025-01-18T00:00:00"/>
    <d v="2025-01-20T00:00:00"/>
    <s v="F"/>
    <x v="3"/>
    <n v="5"/>
    <s v="California"/>
    <s v="Sacramento County"/>
    <n v="2"/>
    <n v="3"/>
    <x v="2"/>
  </r>
  <r>
    <s v="TX500407"/>
    <s v="Hoodies &amp; Sweatshirts"/>
    <n v="4"/>
    <n v="91.4"/>
    <n v="365.6"/>
    <d v="2025-01-18T00:00:00"/>
    <d v="2025-01-20T00:00:00"/>
    <s v="F"/>
    <x v="0"/>
    <n v="4"/>
    <s v="California"/>
    <s v="San Diego County"/>
    <n v="2"/>
    <n v="3"/>
    <x v="2"/>
  </r>
  <r>
    <s v="TX500408"/>
    <s v="Shorts"/>
    <n v="2"/>
    <n v="33.1"/>
    <n v="66.2"/>
    <d v="2025-01-19T00:00:00"/>
    <d v="2025-01-20T00:00:00"/>
    <s v="M"/>
    <x v="0"/>
    <n v="5"/>
    <s v="California"/>
    <s v="San Diego County"/>
    <n v="1"/>
    <n v="4"/>
    <x v="1"/>
  </r>
  <r>
    <s v="TX500409"/>
    <s v="Workout Tops"/>
    <n v="2"/>
    <n v="105.6"/>
    <n v="211.2"/>
    <d v="2025-01-19T00:00:00"/>
    <d v="2025-01-20T00:00:00"/>
    <s v="M"/>
    <x v="2"/>
    <n v="3"/>
    <s v="California"/>
    <s v="San Diego County"/>
    <n v="1"/>
    <n v="4"/>
    <x v="1"/>
  </r>
  <r>
    <s v="TX500410"/>
    <s v="Bikinis"/>
    <n v="3"/>
    <n v="46.4"/>
    <n v="139.19999999999999"/>
    <d v="2025-01-19T00:00:00"/>
    <d v="2025-01-20T00:00:00"/>
    <s v="M"/>
    <x v="2"/>
    <n v="4"/>
    <s v="California"/>
    <s v="San Mateo County"/>
    <n v="1"/>
    <n v="4"/>
    <x v="1"/>
  </r>
  <r>
    <s v="TX500411"/>
    <s v="Sundresses"/>
    <n v="14"/>
    <n v="35.299999999999997"/>
    <n v="494.19999999999993"/>
    <d v="2025-01-19T00:00:00"/>
    <d v="2025-01-22T00:00:00"/>
    <s v="F"/>
    <x v="4"/>
    <n v="3"/>
    <s v="California"/>
    <s v="Santa Clara County"/>
    <n v="3"/>
    <n v="4"/>
    <x v="2"/>
  </r>
  <r>
    <s v="TX500412"/>
    <s v="Shorts"/>
    <n v="2"/>
    <n v="16.100000000000001"/>
    <n v="32.200000000000003"/>
    <d v="2025-01-19T00:00:00"/>
    <d v="2025-01-21T00:00:00"/>
    <s v="M"/>
    <x v="3"/>
    <n v="5"/>
    <s v="California"/>
    <s v="Santa Cruz County"/>
    <n v="2"/>
    <n v="4"/>
    <x v="1"/>
  </r>
  <r>
    <s v="TX500413"/>
    <s v="Graphic Tees"/>
    <n v="2"/>
    <n v="27.9"/>
    <n v="55.8"/>
    <d v="2025-01-19T00:00:00"/>
    <d v="2025-01-22T00:00:00"/>
    <s v="M"/>
    <x v="0"/>
    <n v="4"/>
    <s v="California"/>
    <s v="Ventura County"/>
    <n v="3"/>
    <n v="4"/>
    <x v="1"/>
  </r>
  <r>
    <s v="TX500414"/>
    <s v="T-Shirts"/>
    <n v="1"/>
    <n v="47.1"/>
    <n v="47.1"/>
    <d v="2025-01-19T00:00:00"/>
    <d v="2025-01-27T00:00:00"/>
    <s v="F"/>
    <x v="1"/>
    <n v="4"/>
    <s v="California"/>
    <s v="Fresno County"/>
    <n v="8"/>
    <n v="4"/>
    <x v="2"/>
  </r>
  <r>
    <s v="TX500415"/>
    <s v="Jeans"/>
    <n v="2"/>
    <n v="85"/>
    <n v="170"/>
    <d v="2025-01-19T00:00:00"/>
    <d v="2025-01-22T00:00:00"/>
    <s v=""/>
    <x v="2"/>
    <n v="5"/>
    <s v="California"/>
    <s v="Kern County"/>
    <n v="3"/>
    <n v="4"/>
    <x v="0"/>
  </r>
  <r>
    <s v="TX500416"/>
    <s v="Leggings"/>
    <n v="2"/>
    <n v="89"/>
    <n v="178"/>
    <d v="2025-01-19T00:00:00"/>
    <d v="2025-01-21T00:00:00"/>
    <s v="F"/>
    <x v="0"/>
    <n v="4"/>
    <s v="California"/>
    <s v="Los Angeles County"/>
    <n v="2"/>
    <n v="4"/>
    <x v="2"/>
  </r>
  <r>
    <s v="TX500417"/>
    <s v="Sunglasses"/>
    <n v="3"/>
    <n v="36.6"/>
    <n v="109.80000000000001"/>
    <d v="2025-01-19T00:00:00"/>
    <d v="2025-01-20T00:00:00"/>
    <s v="O"/>
    <x v="3"/>
    <n v="5"/>
    <s v="California"/>
    <s v="Los Angeles County"/>
    <n v="1"/>
    <n v="4"/>
    <x v="3"/>
  </r>
  <r>
    <s v="TX500418"/>
    <s v="Jeans"/>
    <n v="7"/>
    <n v="43.5"/>
    <n v="304.5"/>
    <d v="2025-01-19T00:00:00"/>
    <d v="2025-01-20T00:00:00"/>
    <s v="M"/>
    <x v="1"/>
    <n v="5"/>
    <s v="California"/>
    <s v="Los Angeles County"/>
    <n v="1"/>
    <n v="4"/>
    <x v="1"/>
  </r>
  <r>
    <s v="TX500419"/>
    <s v="Sundresses"/>
    <n v="19"/>
    <n v="30.5"/>
    <n v="579.5"/>
    <d v="2025-01-19T00:00:00"/>
    <d v="2025-01-19T00:00:00"/>
    <s v="F"/>
    <x v="3"/>
    <n v="4"/>
    <s v="California"/>
    <s v="Los Angeles County"/>
    <n v="0"/>
    <n v="4"/>
    <x v="2"/>
  </r>
  <r>
    <s v="TX500420"/>
    <s v="Tank Tops"/>
    <n v="2"/>
    <n v="107.7"/>
    <n v="215.4"/>
    <d v="2025-01-19T00:00:00"/>
    <d v="2025-01-23T00:00:00"/>
    <s v="M"/>
    <x v="3"/>
    <n v="2"/>
    <s v="California"/>
    <s v="Los Angeles County"/>
    <n v="4"/>
    <n v="4"/>
    <x v="1"/>
  </r>
  <r>
    <s v="TX500421"/>
    <s v="Pajama Sets"/>
    <n v="26"/>
    <n v="57.1"/>
    <n v="1484.6000000000001"/>
    <d v="2025-01-19T00:00:00"/>
    <d v="2025-01-20T00:00:00"/>
    <s v="M"/>
    <x v="1"/>
    <n v="4"/>
    <s v="California"/>
    <s v="Los Angeles County"/>
    <n v="1"/>
    <n v="4"/>
    <x v="1"/>
  </r>
  <r>
    <s v="TX500422"/>
    <s v="Sneakers"/>
    <n v="10"/>
    <n v="111.7"/>
    <n v="1117"/>
    <d v="2025-01-19T00:00:00"/>
    <d v="2025-01-20T00:00:00"/>
    <s v="F"/>
    <x v="4"/>
    <n v="5"/>
    <s v="California"/>
    <s v="Los Angeles County"/>
    <n v="1"/>
    <n v="4"/>
    <x v="2"/>
  </r>
  <r>
    <s v="TX500423"/>
    <s v="Leggings"/>
    <n v="7"/>
    <n v="44.3"/>
    <n v="310.09999999999997"/>
    <d v="2025-01-19T00:00:00"/>
    <d v="2025-01-22T00:00:00"/>
    <s v="M"/>
    <x v="3"/>
    <n v="5"/>
    <s v="California"/>
    <s v="Los Angeles County"/>
    <n v="3"/>
    <n v="4"/>
    <x v="1"/>
  </r>
  <r>
    <s v="TX500424"/>
    <s v="Sneakers"/>
    <n v="8"/>
    <n v="95.8"/>
    <n v="766.4"/>
    <d v="2025-01-19T00:00:00"/>
    <d v="2025-01-25T00:00:00"/>
    <s v="O"/>
    <x v="0"/>
    <n v="4"/>
    <s v="California"/>
    <s v="Los Angeles County"/>
    <n v="6"/>
    <n v="4"/>
    <x v="3"/>
  </r>
  <r>
    <s v="TX500425"/>
    <s v="Bikinis"/>
    <n v="7"/>
    <n v="22.6"/>
    <n v="158.20000000000002"/>
    <d v="2025-01-19T00:00:00"/>
    <d v="2025-01-22T00:00:00"/>
    <s v="F"/>
    <x v="3"/>
    <n v="3"/>
    <s v="California"/>
    <s v="Los Angeles County"/>
    <n v="3"/>
    <n v="4"/>
    <x v="2"/>
  </r>
  <r>
    <s v="TX500426"/>
    <s v="T-Shirts"/>
    <n v="8"/>
    <n v="25.6"/>
    <n v="204.8"/>
    <d v="2025-01-19T00:00:00"/>
    <d v="2025-01-21T00:00:00"/>
    <s v="F"/>
    <x v="4"/>
    <n v="4"/>
    <s v="California"/>
    <s v="Los Angeles County"/>
    <n v="2"/>
    <n v="4"/>
    <x v="2"/>
  </r>
  <r>
    <s v="TX500427"/>
    <s v="Jeans"/>
    <n v="16"/>
    <n v="54.3"/>
    <n v="868.8"/>
    <d v="2025-01-19T00:00:00"/>
    <d v="2025-01-22T00:00:00"/>
    <s v="F"/>
    <x v="4"/>
    <n v="4"/>
    <s v="California"/>
    <s v="Los Angeles County"/>
    <n v="3"/>
    <n v="4"/>
    <x v="2"/>
  </r>
  <r>
    <s v="TX500428"/>
    <s v="Leggings"/>
    <n v="13"/>
    <n v="51.3"/>
    <n v="666.9"/>
    <d v="2025-01-19T00:00:00"/>
    <d v="2025-01-21T00:00:00"/>
    <s v="M"/>
    <x v="0"/>
    <n v="5"/>
    <s v="California"/>
    <s v="Los Angeles County"/>
    <n v="2"/>
    <n v="4"/>
    <x v="1"/>
  </r>
  <r>
    <s v="TX500429"/>
    <s v="Shorts"/>
    <n v="8"/>
    <n v="25.6"/>
    <n v="204.8"/>
    <d v="2025-01-19T00:00:00"/>
    <d v="2025-01-20T00:00:00"/>
    <s v="F"/>
    <x v="1"/>
    <n v="3"/>
    <s v="California"/>
    <s v="Los Angeles County"/>
    <n v="1"/>
    <n v="4"/>
    <x v="2"/>
  </r>
  <r>
    <s v="TX500430"/>
    <s v="Shorts"/>
    <n v="2"/>
    <n v="15.6"/>
    <n v="31.2"/>
    <d v="2025-01-19T00:00:00"/>
    <d v="2025-01-20T00:00:00"/>
    <s v="F"/>
    <x v="2"/>
    <n v="5"/>
    <s v="California"/>
    <s v="Los Angeles County"/>
    <n v="1"/>
    <n v="4"/>
    <x v="2"/>
  </r>
  <r>
    <s v="TX500431"/>
    <s v="T-Shirts"/>
    <n v="3"/>
    <n v="30.3"/>
    <n v="90.9"/>
    <d v="2025-01-19T00:00:00"/>
    <d v="2025-01-23T00:00:00"/>
    <s v="F"/>
    <x v="0"/>
    <n v="3"/>
    <s v="California"/>
    <s v="Los Angeles County"/>
    <n v="4"/>
    <n v="4"/>
    <x v="2"/>
  </r>
  <r>
    <s v="TX500432"/>
    <s v="Casual Dresses"/>
    <n v="2"/>
    <n v="30.3"/>
    <n v="60.6"/>
    <d v="2025-01-19T00:00:00"/>
    <d v="2025-01-24T00:00:00"/>
    <s v="F"/>
    <x v="0"/>
    <n v="5"/>
    <s v="California"/>
    <s v="Madera County"/>
    <n v="5"/>
    <n v="4"/>
    <x v="2"/>
  </r>
  <r>
    <s v="TX500433"/>
    <s v="Bikinis"/>
    <n v="3"/>
    <n v="53"/>
    <n v="159"/>
    <d v="2025-01-19T00:00:00"/>
    <d v="2025-01-26T00:00:00"/>
    <s v="F"/>
    <x v="2"/>
    <n v="4"/>
    <s v="California"/>
    <s v="Merced County"/>
    <n v="7"/>
    <n v="4"/>
    <x v="2"/>
  </r>
  <r>
    <s v="TX500434"/>
    <s v="Sandals"/>
    <n v="18"/>
    <n v="59.9"/>
    <n v="1078.2"/>
    <d v="2025-01-19T00:00:00"/>
    <d v="2025-01-22T00:00:00"/>
    <s v="M"/>
    <x v="2"/>
    <n v="2"/>
    <s v="California"/>
    <s v="Orange County"/>
    <n v="3"/>
    <n v="4"/>
    <x v="1"/>
  </r>
  <r>
    <s v="TX500435"/>
    <s v="Sundresses"/>
    <n v="2"/>
    <n v="45.7"/>
    <n v="91.4"/>
    <d v="2025-01-19T00:00:00"/>
    <d v="2025-01-20T00:00:00"/>
    <s v="F"/>
    <x v="1"/>
    <n v="5"/>
    <s v="California"/>
    <s v="Sacramento County"/>
    <n v="1"/>
    <n v="4"/>
    <x v="2"/>
  </r>
  <r>
    <s v="TX500436"/>
    <s v="T-Shirts"/>
    <n v="4"/>
    <n v="46.1"/>
    <n v="184.4"/>
    <d v="2025-01-19T00:00:00"/>
    <d v="2025-01-20T00:00:00"/>
    <s v="M"/>
    <x v="0"/>
    <n v="4"/>
    <s v="California"/>
    <s v="Sacramento County"/>
    <n v="1"/>
    <n v="4"/>
    <x v="1"/>
  </r>
  <r>
    <s v="TX500437"/>
    <s v="T-Shirts"/>
    <n v="3"/>
    <n v="17.5"/>
    <n v="52.5"/>
    <d v="2025-01-19T00:00:00"/>
    <d v="2025-01-20T00:00:00"/>
    <s v="F"/>
    <x v="0"/>
    <n v="5"/>
    <s v="California"/>
    <s v="San Diego County"/>
    <n v="1"/>
    <n v="4"/>
    <x v="2"/>
  </r>
  <r>
    <s v="TX500438"/>
    <s v="Bikinis"/>
    <n v="3"/>
    <n v="36.5"/>
    <n v="109.5"/>
    <d v="2025-01-19T00:00:00"/>
    <d v="2025-01-30T00:00:00"/>
    <s v="M"/>
    <x v="2"/>
    <n v="4"/>
    <s v="California"/>
    <s v="San Diego County"/>
    <n v="11"/>
    <n v="4"/>
    <x v="1"/>
  </r>
  <r>
    <s v="TX500439"/>
    <s v="T-Shirts"/>
    <n v="2"/>
    <n v="47.5"/>
    <n v="95"/>
    <d v="2025-01-20T00:00:00"/>
    <d v="2025-01-22T00:00:00"/>
    <s v="F"/>
    <x v="1"/>
    <n v="4"/>
    <s v="California"/>
    <s v="San Diego County"/>
    <n v="2"/>
    <n v="4"/>
    <x v="2"/>
  </r>
  <r>
    <s v="TX500440"/>
    <s v="Jeans"/>
    <n v="5"/>
    <n v="45.6"/>
    <n v="228"/>
    <d v="2025-01-20T00:00:00"/>
    <d v="2025-01-22T00:00:00"/>
    <s v="F"/>
    <x v="0"/>
    <n v="5"/>
    <s v="California"/>
    <s v="San Diego County"/>
    <n v="2"/>
    <n v="4"/>
    <x v="2"/>
  </r>
  <r>
    <s v="TX500441"/>
    <s v="Sundresses"/>
    <n v="2"/>
    <n v="50.5"/>
    <n v="101"/>
    <d v="2025-01-20T00:00:00"/>
    <d v="2025-01-22T00:00:00"/>
    <s v="M"/>
    <x v="0"/>
    <n v="3"/>
    <s v="California"/>
    <s v="San Francisco"/>
    <n v="2"/>
    <n v="4"/>
    <x v="1"/>
  </r>
  <r>
    <s v="TX500442"/>
    <s v="Sneakers"/>
    <n v="10"/>
    <n v="99.8"/>
    <n v="998"/>
    <d v="2025-01-20T00:00:00"/>
    <d v="2025-01-23T00:00:00"/>
    <s v="F"/>
    <x v="2"/>
    <n v="3"/>
    <s v="California"/>
    <s v="San Francisco"/>
    <n v="3"/>
    <n v="4"/>
    <x v="2"/>
  </r>
  <r>
    <s v="TX500443"/>
    <s v="T-Shirts"/>
    <n v="15"/>
    <n v="19.2"/>
    <n v="288"/>
    <d v="2025-01-20T00:00:00"/>
    <d v="2025-01-22T00:00:00"/>
    <s v="O"/>
    <x v="4"/>
    <n v="3"/>
    <s v="California"/>
    <s v="San Joaquin County"/>
    <n v="2"/>
    <n v="4"/>
    <x v="3"/>
  </r>
  <r>
    <s v="TX500444"/>
    <s v="Pajama Sets"/>
    <n v="3"/>
    <n v="22.6"/>
    <n v="67.800000000000011"/>
    <d v="2025-01-20T00:00:00"/>
    <d v="2025-01-21T00:00:00"/>
    <s v="M"/>
    <x v="1"/>
    <n v="4"/>
    <s v="California"/>
    <s v="Santa Clara County"/>
    <n v="1"/>
    <n v="4"/>
    <x v="1"/>
  </r>
  <r>
    <s v="TX500445"/>
    <s v="Tank Tops"/>
    <n v="15"/>
    <n v="126.9"/>
    <n v="1903.5"/>
    <d v="2025-01-20T00:00:00"/>
    <d v="2025-01-22T00:00:00"/>
    <s v="F"/>
    <x v="0"/>
    <n v="5"/>
    <s v="California"/>
    <s v="Santa Clara County"/>
    <n v="2"/>
    <n v="4"/>
    <x v="2"/>
  </r>
  <r>
    <s v="TX500446"/>
    <s v="Sneakers"/>
    <n v="2"/>
    <n v="100.3"/>
    <n v="200.6"/>
    <d v="2025-01-20T00:00:00"/>
    <d v="2025-01-21T00:00:00"/>
    <s v="F"/>
    <x v="0"/>
    <n v="3"/>
    <s v="California"/>
    <s v="Santa Clara County"/>
    <n v="1"/>
    <n v="4"/>
    <x v="2"/>
  </r>
  <r>
    <s v="TX500447"/>
    <s v="Graphic Tees"/>
    <n v="18"/>
    <n v="24.6"/>
    <n v="442.8"/>
    <d v="2025-01-20T00:00:00"/>
    <d v="2025-01-21T00:00:00"/>
    <s v="F"/>
    <x v="4"/>
    <n v="4"/>
    <s v="California"/>
    <s v="Ventura County"/>
    <n v="1"/>
    <n v="4"/>
    <x v="2"/>
  </r>
  <r>
    <s v="TX500448"/>
    <s v="Jeans"/>
    <n v="2"/>
    <n v="47.3"/>
    <n v="94.6"/>
    <d v="2025-01-20T00:00:00"/>
    <d v="2025-01-21T00:00:00"/>
    <s v="M"/>
    <x v="1"/>
    <n v="5"/>
    <s v="California"/>
    <s v="Ventura County"/>
    <n v="1"/>
    <n v="4"/>
    <x v="1"/>
  </r>
  <r>
    <s v="TX500449"/>
    <s v="Jeans"/>
    <n v="7"/>
    <n v="40.799999999999997"/>
    <n v="285.59999999999997"/>
    <d v="2025-01-20T00:00:00"/>
    <d v="2025-01-23T00:00:00"/>
    <s v="F"/>
    <x v="2"/>
    <n v="5"/>
    <s v="California"/>
    <s v="Alameda County"/>
    <n v="3"/>
    <n v="4"/>
    <x v="2"/>
  </r>
  <r>
    <s v="TX500450"/>
    <s v="T-Shirts"/>
    <n v="8"/>
    <n v="49.2"/>
    <n v="393.6"/>
    <d v="2025-01-20T00:00:00"/>
    <d v="2025-01-22T00:00:00"/>
    <s v="F"/>
    <x v="0"/>
    <n v="4"/>
    <s v="California"/>
    <s v="Contra Costa County"/>
    <n v="2"/>
    <n v="4"/>
    <x v="2"/>
  </r>
  <r>
    <s v="TX500451"/>
    <s v="T-Shirts"/>
    <n v="1"/>
    <n v="28.5"/>
    <n v="28.5"/>
    <d v="2025-01-20T00:00:00"/>
    <d v="2025-01-22T00:00:00"/>
    <s v=""/>
    <x v="2"/>
    <n v="3"/>
    <s v="California"/>
    <s v="Los Angeles County"/>
    <n v="2"/>
    <n v="4"/>
    <x v="0"/>
  </r>
  <r>
    <s v="TX500452"/>
    <s v="Leggings"/>
    <n v="2"/>
    <n v="36.799999999999997"/>
    <n v="73.599999999999994"/>
    <d v="2025-01-20T00:00:00"/>
    <d v="2025-01-26T00:00:00"/>
    <s v="F"/>
    <x v="0"/>
    <n v="5"/>
    <s v="California"/>
    <s v="Los Angeles County"/>
    <n v="6"/>
    <n v="4"/>
    <x v="2"/>
  </r>
  <r>
    <s v="TX500453"/>
    <s v="Hoodies &amp; Sweatshirts"/>
    <n v="3"/>
    <n v="33.5"/>
    <n v="100.5"/>
    <d v="2025-01-20T00:00:00"/>
    <d v="2025-01-21T00:00:00"/>
    <s v="F"/>
    <x v="0"/>
    <n v="3"/>
    <s v="California"/>
    <s v="Los Angeles County"/>
    <n v="1"/>
    <n v="4"/>
    <x v="2"/>
  </r>
  <r>
    <s v="TX500454"/>
    <s v="Jeans"/>
    <n v="6"/>
    <n v="62.5"/>
    <n v="375"/>
    <d v="2025-01-20T00:00:00"/>
    <d v="2025-01-22T00:00:00"/>
    <s v="F"/>
    <x v="0"/>
    <n v="4"/>
    <s v="California"/>
    <s v="Los Angeles County"/>
    <n v="2"/>
    <n v="4"/>
    <x v="2"/>
  </r>
  <r>
    <s v="TX500455"/>
    <s v="T-Shirts"/>
    <n v="40"/>
    <n v="47.9"/>
    <n v="1916"/>
    <d v="2025-01-20T00:00:00"/>
    <d v="2025-01-21T00:00:00"/>
    <s v="F"/>
    <x v="3"/>
    <n v="4"/>
    <s v="California"/>
    <s v="Los Angeles County"/>
    <n v="1"/>
    <n v="4"/>
    <x v="2"/>
  </r>
  <r>
    <s v="TX500456"/>
    <s v="Jeans"/>
    <n v="6"/>
    <n v="92.9"/>
    <n v="557.40000000000009"/>
    <d v="2025-01-20T00:00:00"/>
    <d v="2025-01-31T00:00:00"/>
    <s v="F"/>
    <x v="0"/>
    <n v="2"/>
    <s v="California"/>
    <s v="Los Angeles County"/>
    <n v="11"/>
    <n v="4"/>
    <x v="2"/>
  </r>
  <r>
    <s v="TX500457"/>
    <s v="Casual Dresses"/>
    <n v="3"/>
    <n v="44.1"/>
    <n v="132.30000000000001"/>
    <d v="2025-01-20T00:00:00"/>
    <d v="2025-01-20T00:00:00"/>
    <s v="F"/>
    <x v="1"/>
    <n v="3"/>
    <s v="California"/>
    <s v="Marin County"/>
    <n v="0"/>
    <n v="4"/>
    <x v="2"/>
  </r>
  <r>
    <s v="TX500458"/>
    <s v="Shorts"/>
    <n v="1"/>
    <n v="11.4"/>
    <n v="11.4"/>
    <d v="2025-01-21T00:00:00"/>
    <d v="2025-01-23T00:00:00"/>
    <s v="F"/>
    <x v="2"/>
    <n v="4"/>
    <s v="California"/>
    <s v="Placer County"/>
    <n v="2"/>
    <n v="4"/>
    <x v="2"/>
  </r>
  <r>
    <s v="TX500459"/>
    <s v="Jeans"/>
    <n v="1"/>
    <n v="83.7"/>
    <n v="83.7"/>
    <d v="2025-01-21T00:00:00"/>
    <d v="2025-01-23T00:00:00"/>
    <s v="F"/>
    <x v="0"/>
    <n v="5"/>
    <s v="California"/>
    <s v="Sacramento County"/>
    <n v="2"/>
    <n v="4"/>
    <x v="2"/>
  </r>
  <r>
    <s v="TX500460"/>
    <s v="Bikinis"/>
    <n v="2"/>
    <n v="23.2"/>
    <n v="46.4"/>
    <d v="2025-01-21T00:00:00"/>
    <d v="2025-01-22T00:00:00"/>
    <s v="M"/>
    <x v="2"/>
    <n v="4"/>
    <s v="California"/>
    <s v="San Diego County"/>
    <n v="1"/>
    <n v="4"/>
    <x v="1"/>
  </r>
  <r>
    <s v="TX500461"/>
    <s v="Sneakers"/>
    <n v="1"/>
    <n v="162.1"/>
    <n v="162.1"/>
    <d v="2025-01-21T00:00:00"/>
    <d v="2025-01-24T00:00:00"/>
    <s v="F"/>
    <x v="0"/>
    <n v="5"/>
    <s v="California"/>
    <s v="San Mateo County"/>
    <n v="3"/>
    <n v="4"/>
    <x v="2"/>
  </r>
  <r>
    <s v="TX500462"/>
    <s v="Jeans"/>
    <n v="4"/>
    <n v="49.2"/>
    <n v="196.8"/>
    <d v="2025-01-21T00:00:00"/>
    <d v="2025-01-25T00:00:00"/>
    <s v="M"/>
    <x v="1"/>
    <n v="4"/>
    <s v="California"/>
    <s v="San Mateo County"/>
    <n v="4"/>
    <n v="4"/>
    <x v="1"/>
  </r>
  <r>
    <s v="TX500463"/>
    <s v="Tank Tops"/>
    <n v="2"/>
    <n v="61"/>
    <n v="122"/>
    <d v="2025-01-21T00:00:00"/>
    <d v="2025-01-22T00:00:00"/>
    <s v="M"/>
    <x v="3"/>
    <n v="4"/>
    <s v="California"/>
    <s v="Santa Barbara County"/>
    <n v="1"/>
    <n v="4"/>
    <x v="1"/>
  </r>
  <r>
    <s v="TX500464"/>
    <s v="Sneakers"/>
    <n v="10"/>
    <n v="53.1"/>
    <n v="531"/>
    <d v="2025-01-21T00:00:00"/>
    <d v="2025-01-23T00:00:00"/>
    <s v="M"/>
    <x v="0"/>
    <n v="4"/>
    <s v="California"/>
    <s v="Santa Clara County"/>
    <n v="2"/>
    <n v="4"/>
    <x v="1"/>
  </r>
  <r>
    <s v="TX500465"/>
    <s v="Graphic Tees"/>
    <n v="2"/>
    <n v="22.4"/>
    <n v="44.8"/>
    <d v="2025-01-21T00:00:00"/>
    <d v="2025-01-23T00:00:00"/>
    <s v=""/>
    <x v="1"/>
    <n v="5"/>
    <s v="California"/>
    <s v="Ventura County"/>
    <n v="2"/>
    <n v="4"/>
    <x v="0"/>
  </r>
  <r>
    <s v="TX500466"/>
    <s v="Tank Tops"/>
    <n v="5"/>
    <n v="75.3"/>
    <n v="376.5"/>
    <d v="2025-01-21T00:00:00"/>
    <d v="2025-01-22T00:00:00"/>
    <s v="M"/>
    <x v="0"/>
    <n v="4"/>
    <s v="California"/>
    <s v="Alameda County"/>
    <n v="1"/>
    <n v="4"/>
    <x v="1"/>
  </r>
  <r>
    <s v="TX500467"/>
    <s v="Jeans"/>
    <n v="1"/>
    <n v="48.5"/>
    <n v="48.5"/>
    <d v="2025-01-21T00:00:00"/>
    <d v="2025-01-22T00:00:00"/>
    <s v="F"/>
    <x v="0"/>
    <n v="3"/>
    <s v="California"/>
    <s v="Alameda County"/>
    <n v="1"/>
    <n v="4"/>
    <x v="2"/>
  </r>
  <r>
    <s v="TX500468"/>
    <s v="Jeans"/>
    <n v="1"/>
    <n v="42.6"/>
    <n v="42.6"/>
    <d v="2025-01-21T00:00:00"/>
    <d v="2025-01-25T00:00:00"/>
    <s v="F"/>
    <x v="3"/>
    <n v="4"/>
    <s v="California"/>
    <s v="Contra Costa County"/>
    <n v="4"/>
    <n v="4"/>
    <x v="2"/>
  </r>
  <r>
    <s v="TX500469"/>
    <s v="Sandals"/>
    <n v="5"/>
    <n v="49"/>
    <n v="245"/>
    <d v="2025-01-21T00:00:00"/>
    <d v="2025-01-22T00:00:00"/>
    <s v="M"/>
    <x v="0"/>
    <n v="4"/>
    <s v="California"/>
    <s v="Kern County"/>
    <n v="1"/>
    <n v="4"/>
    <x v="1"/>
  </r>
  <r>
    <s v="TX500470"/>
    <s v="T-Shirts"/>
    <n v="3"/>
    <n v="31.3"/>
    <n v="93.9"/>
    <d v="2025-01-21T00:00:00"/>
    <d v="2025-01-22T00:00:00"/>
    <s v="M"/>
    <x v="2"/>
    <n v="3"/>
    <s v="California"/>
    <s v="Los Angeles County"/>
    <n v="1"/>
    <n v="4"/>
    <x v="1"/>
  </r>
  <r>
    <s v="TX500471"/>
    <s v="Sneakers"/>
    <n v="2"/>
    <n v="85.4"/>
    <n v="170.8"/>
    <d v="2025-01-21T00:00:00"/>
    <d v="2025-01-22T00:00:00"/>
    <s v="F"/>
    <x v="2"/>
    <n v="4"/>
    <s v="California"/>
    <s v="Los Angeles County"/>
    <n v="1"/>
    <n v="4"/>
    <x v="2"/>
  </r>
  <r>
    <s v="TX500472"/>
    <s v="T-Shirts"/>
    <n v="4"/>
    <n v="40"/>
    <n v="160"/>
    <d v="2025-01-21T00:00:00"/>
    <d v="2025-01-22T00:00:00"/>
    <s v="O"/>
    <x v="0"/>
    <n v="5"/>
    <s v="California"/>
    <s v="Los Angeles County"/>
    <n v="1"/>
    <n v="4"/>
    <x v="3"/>
  </r>
  <r>
    <s v="TX500473"/>
    <s v="Sandals"/>
    <n v="2"/>
    <n v="38.5"/>
    <n v="77"/>
    <d v="2025-01-21T00:00:00"/>
    <d v="2025-01-24T00:00:00"/>
    <s v="M"/>
    <x v="1"/>
    <n v="5"/>
    <s v="California"/>
    <s v="Los Angeles County"/>
    <n v="3"/>
    <n v="4"/>
    <x v="1"/>
  </r>
  <r>
    <s v="TX500474"/>
    <s v="Sneakers"/>
    <n v="2"/>
    <n v="57.8"/>
    <n v="115.6"/>
    <d v="2025-01-21T00:00:00"/>
    <d v="2025-01-22T00:00:00"/>
    <s v=""/>
    <x v="0"/>
    <n v="4"/>
    <s v="California"/>
    <s v="Los Angeles County"/>
    <n v="1"/>
    <n v="4"/>
    <x v="0"/>
  </r>
  <r>
    <s v="TX500475"/>
    <s v="T-Shirts"/>
    <n v="1"/>
    <n v="19.2"/>
    <n v="19.2"/>
    <d v="2025-01-21T00:00:00"/>
    <d v="2025-01-22T00:00:00"/>
    <s v="F"/>
    <x v="0"/>
    <n v="2"/>
    <s v="California"/>
    <s v="Los Angeles County"/>
    <n v="1"/>
    <n v="4"/>
    <x v="2"/>
  </r>
  <r>
    <s v="TX500476"/>
    <s v="Jeans"/>
    <n v="6"/>
    <n v="114.8"/>
    <n v="688.8"/>
    <d v="2025-01-21T00:00:00"/>
    <d v="2025-01-24T00:00:00"/>
    <s v="M"/>
    <x v="1"/>
    <n v="3"/>
    <s v="California"/>
    <s v="Los Angeles County"/>
    <n v="3"/>
    <n v="4"/>
    <x v="1"/>
  </r>
  <r>
    <s v="TX500477"/>
    <s v="Bikinis"/>
    <n v="7"/>
    <n v="48.4"/>
    <n v="338.8"/>
    <d v="2025-01-21T00:00:00"/>
    <d v="2025-01-24T00:00:00"/>
    <s v="F"/>
    <x v="3"/>
    <n v="3"/>
    <s v="California"/>
    <s v="Los Angeles County"/>
    <n v="3"/>
    <n v="4"/>
    <x v="2"/>
  </r>
  <r>
    <s v="TX500478"/>
    <s v="Sundresses"/>
    <n v="5"/>
    <n v="73.2"/>
    <n v="366"/>
    <d v="2025-01-21T00:00:00"/>
    <d v="2025-01-22T00:00:00"/>
    <s v="F"/>
    <x v="1"/>
    <n v="2"/>
    <s v="California"/>
    <s v="Los Angeles County"/>
    <n v="1"/>
    <n v="4"/>
    <x v="2"/>
  </r>
  <r>
    <s v="TX500479"/>
    <s v="Crop Tops"/>
    <n v="2"/>
    <n v="48.6"/>
    <n v="97.2"/>
    <d v="2025-01-21T00:00:00"/>
    <d v="2025-01-25T00:00:00"/>
    <s v="F"/>
    <x v="3"/>
    <n v="4"/>
    <s v="California"/>
    <s v="Los Angeles County"/>
    <n v="4"/>
    <n v="4"/>
    <x v="2"/>
  </r>
  <r>
    <s v="TX500480"/>
    <s v="Shorts"/>
    <n v="6"/>
    <n v="48.7"/>
    <n v="292.20000000000005"/>
    <d v="2025-01-21T00:00:00"/>
    <d v="2025-01-22T00:00:00"/>
    <s v="M"/>
    <x v="0"/>
    <n v="4"/>
    <s v="California"/>
    <s v="Los Angeles County"/>
    <n v="1"/>
    <n v="4"/>
    <x v="1"/>
  </r>
  <r>
    <s v="TX500481"/>
    <s v="Graphic Tees"/>
    <n v="2"/>
    <n v="32.200000000000003"/>
    <n v="64.400000000000006"/>
    <d v="2025-01-21T00:00:00"/>
    <d v="2025-01-24T00:00:00"/>
    <s v="M"/>
    <x v="2"/>
    <n v="5"/>
    <s v="California"/>
    <s v="Los Angeles County"/>
    <n v="3"/>
    <n v="4"/>
    <x v="1"/>
  </r>
  <r>
    <s v="TX500482"/>
    <s v="Crop Tops"/>
    <n v="8"/>
    <n v="25.8"/>
    <n v="206.4"/>
    <d v="2025-01-21T00:00:00"/>
    <d v="2025-01-22T00:00:00"/>
    <s v="M"/>
    <x v="0"/>
    <n v="4"/>
    <s v="California"/>
    <s v="Madera County"/>
    <n v="1"/>
    <n v="4"/>
    <x v="1"/>
  </r>
  <r>
    <s v="TX500483"/>
    <s v="Jeans"/>
    <n v="2"/>
    <n v="94.8"/>
    <n v="189.6"/>
    <d v="2025-01-22T00:00:00"/>
    <d v="2025-01-25T00:00:00"/>
    <s v="F"/>
    <x v="1"/>
    <n v="3"/>
    <s v="California"/>
    <s v="Orange County"/>
    <n v="3"/>
    <n v="4"/>
    <x v="2"/>
  </r>
  <r>
    <s v="TX500484"/>
    <s v="Crop Tops"/>
    <n v="25"/>
    <n v="56.8"/>
    <n v="1420"/>
    <d v="2025-01-22T00:00:00"/>
    <d v="2025-01-25T00:00:00"/>
    <s v="M"/>
    <x v="0"/>
    <n v="4"/>
    <s v="California"/>
    <s v="Orange County"/>
    <n v="3"/>
    <n v="4"/>
    <x v="1"/>
  </r>
  <r>
    <s v="TX500485"/>
    <s v="T-Shirts"/>
    <n v="16"/>
    <n v="18.3"/>
    <n v="292.8"/>
    <d v="2025-01-22T00:00:00"/>
    <d v="2025-01-29T00:00:00"/>
    <s v="F"/>
    <x v="2"/>
    <n v="5"/>
    <s v="California"/>
    <s v="Riverside County"/>
    <n v="7"/>
    <n v="4"/>
    <x v="2"/>
  </r>
  <r>
    <s v="TX500486"/>
    <s v="Shorts"/>
    <n v="3"/>
    <n v="16.8"/>
    <n v="50.400000000000006"/>
    <d v="2025-01-22T00:00:00"/>
    <d v="2025-01-27T00:00:00"/>
    <s v="F"/>
    <x v="2"/>
    <n v="5"/>
    <s v="California"/>
    <s v="San Diego County"/>
    <n v="5"/>
    <n v="4"/>
    <x v="2"/>
  </r>
  <r>
    <s v="TX500487"/>
    <s v="Sandals"/>
    <n v="11"/>
    <n v="35.799999999999997"/>
    <n v="393.79999999999995"/>
    <d v="2025-01-22T00:00:00"/>
    <d v="2025-01-23T00:00:00"/>
    <s v="M"/>
    <x v="1"/>
    <n v="4"/>
    <s v="California"/>
    <s v="San Francisco"/>
    <n v="1"/>
    <n v="4"/>
    <x v="1"/>
  </r>
  <r>
    <s v="TX500488"/>
    <s v="Leggings"/>
    <n v="1"/>
    <n v="64.900000000000006"/>
    <n v="64.900000000000006"/>
    <d v="2025-01-22T00:00:00"/>
    <d v="2025-01-23T00:00:00"/>
    <s v="M"/>
    <x v="0"/>
    <n v="3"/>
    <s v="California"/>
    <s v="San Francisco"/>
    <n v="1"/>
    <n v="4"/>
    <x v="1"/>
  </r>
  <r>
    <s v="TX500489"/>
    <s v="Leggings"/>
    <n v="1"/>
    <n v="28.5"/>
    <n v="28.5"/>
    <d v="2025-01-22T00:00:00"/>
    <d v="2025-01-24T00:00:00"/>
    <s v=""/>
    <x v="1"/>
    <n v="4"/>
    <s v="California"/>
    <s v="San Mateo County"/>
    <n v="2"/>
    <n v="4"/>
    <x v="0"/>
  </r>
  <r>
    <s v="TX500490"/>
    <s v="Leggings"/>
    <n v="2"/>
    <n v="103.5"/>
    <n v="207"/>
    <d v="2025-01-22T00:00:00"/>
    <d v="2025-01-24T00:00:00"/>
    <s v="F"/>
    <x v="1"/>
    <n v="4"/>
    <s v="California"/>
    <s v="Santa Barbara County"/>
    <n v="2"/>
    <n v="4"/>
    <x v="2"/>
  </r>
  <r>
    <s v="TX500491"/>
    <s v="Graphic Tees"/>
    <n v="2"/>
    <n v="41.2"/>
    <n v="82.4"/>
    <d v="2025-01-22T00:00:00"/>
    <d v="2025-01-23T00:00:00"/>
    <s v="F"/>
    <x v="1"/>
    <n v="4"/>
    <s v="California"/>
    <s v="Santa Barbara County"/>
    <n v="1"/>
    <n v="4"/>
    <x v="2"/>
  </r>
  <r>
    <s v="TX500492"/>
    <s v="Sundresses"/>
    <n v="1"/>
    <n v="37.799999999999997"/>
    <n v="37.799999999999997"/>
    <d v="2025-01-22T00:00:00"/>
    <d v="2025-01-24T00:00:00"/>
    <s v="F"/>
    <x v="3"/>
    <n v="1"/>
    <s v="California"/>
    <s v="Santa Clara County"/>
    <n v="2"/>
    <n v="4"/>
    <x v="2"/>
  </r>
  <r>
    <s v="TX500493"/>
    <s v="T-Shirts"/>
    <n v="2"/>
    <n v="42.6"/>
    <n v="85.2"/>
    <d v="2025-01-22T00:00:00"/>
    <d v="2025-01-24T00:00:00"/>
    <s v="F"/>
    <x v="4"/>
    <n v="4"/>
    <s v="California"/>
    <s v="Santa Clara County"/>
    <n v="2"/>
    <n v="4"/>
    <x v="2"/>
  </r>
  <r>
    <s v="TX500494"/>
    <s v="T-Shirts"/>
    <n v="10"/>
    <n v="15.2"/>
    <n v="152"/>
    <d v="2025-01-22T00:00:00"/>
    <d v="2025-01-24T00:00:00"/>
    <s v="F"/>
    <x v="2"/>
    <n v="4"/>
    <s v="California"/>
    <s v="Santa Clara County"/>
    <n v="2"/>
    <n v="4"/>
    <x v="2"/>
  </r>
  <r>
    <s v="TX500495"/>
    <s v="Hoodies &amp; Sweatshirts"/>
    <n v="4"/>
    <n v="83.4"/>
    <n v="333.6"/>
    <d v="2025-01-22T00:00:00"/>
    <d v="2025-01-23T00:00:00"/>
    <s v="F"/>
    <x v="2"/>
    <n v="3"/>
    <s v="California"/>
    <s v="Sonoma County"/>
    <n v="1"/>
    <n v="4"/>
    <x v="2"/>
  </r>
  <r>
    <s v="TX500496"/>
    <s v="Jewelry"/>
    <n v="2"/>
    <n v="27.7"/>
    <n v="55.4"/>
    <d v="2025-01-22T00:00:00"/>
    <d v="2025-01-23T00:00:00"/>
    <s v="F"/>
    <x v="0"/>
    <n v="3"/>
    <s v="California"/>
    <s v="Ventura County"/>
    <n v="1"/>
    <n v="4"/>
    <x v="2"/>
  </r>
  <r>
    <s v="TX500497"/>
    <s v="Bikinis"/>
    <n v="12"/>
    <n v="20.8"/>
    <n v="249.60000000000002"/>
    <d v="2025-01-22T00:00:00"/>
    <d v="2025-01-23T00:00:00"/>
    <s v="M"/>
    <x v="3"/>
    <n v="4"/>
    <s v="California"/>
    <s v="Ventura County"/>
    <n v="1"/>
    <n v="4"/>
    <x v="1"/>
  </r>
  <r>
    <s v="TX500498"/>
    <s v="Maxi Dresses"/>
    <n v="2"/>
    <n v="72.7"/>
    <n v="145.4"/>
    <d v="2025-01-22T00:00:00"/>
    <d v="2025-01-26T00:00:00"/>
    <s v="F"/>
    <x v="4"/>
    <n v="5"/>
    <s v="California"/>
    <s v="Humboldt County"/>
    <n v="4"/>
    <n v="4"/>
    <x v="2"/>
  </r>
  <r>
    <s v="TX500499"/>
    <s v="Bikinis"/>
    <n v="4"/>
    <n v="38.6"/>
    <n v="154.4"/>
    <d v="2025-01-22T00:00:00"/>
    <d v="2025-01-23T00:00:00"/>
    <s v="M"/>
    <x v="0"/>
    <n v="5"/>
    <s v="California"/>
    <s v="Kern County"/>
    <n v="1"/>
    <n v="4"/>
    <x v="1"/>
  </r>
  <r>
    <s v="TX500500"/>
    <s v="T-Shirts"/>
    <n v="7"/>
    <n v="33.1"/>
    <n v="231.70000000000002"/>
    <d v="2025-01-22T00:00:00"/>
    <d v="2025-01-23T00:00:00"/>
    <s v="O"/>
    <x v="4"/>
    <n v="1"/>
    <s v="California"/>
    <s v="Los Angeles County"/>
    <n v="1"/>
    <n v="4"/>
    <x v="3"/>
  </r>
  <r>
    <s v="TX500501"/>
    <s v="Bikinis"/>
    <n v="2"/>
    <n v="30.5"/>
    <n v="61"/>
    <d v="2025-01-22T00:00:00"/>
    <d v="2025-01-22T00:00:00"/>
    <s v=""/>
    <x v="1"/>
    <n v="3"/>
    <s v="California"/>
    <s v="Los Angeles County"/>
    <n v="0"/>
    <n v="4"/>
    <x v="0"/>
  </r>
  <r>
    <s v="TX500502"/>
    <s v="Sundresses"/>
    <n v="2"/>
    <n v="69.599999999999994"/>
    <n v="139.19999999999999"/>
    <d v="2025-01-22T00:00:00"/>
    <d v="2025-01-23T00:00:00"/>
    <s v="M"/>
    <x v="0"/>
    <n v="3"/>
    <s v="California"/>
    <s v="Los Angeles County"/>
    <n v="1"/>
    <n v="4"/>
    <x v="1"/>
  </r>
  <r>
    <s v="TX500503"/>
    <s v="Maxi Dresses"/>
    <n v="1"/>
    <n v="42.4"/>
    <n v="42.4"/>
    <d v="2025-01-22T00:00:00"/>
    <d v="2025-01-26T00:00:00"/>
    <s v="F"/>
    <x v="1"/>
    <n v="4"/>
    <s v="California"/>
    <s v="Los Angeles County"/>
    <n v="4"/>
    <n v="4"/>
    <x v="2"/>
  </r>
  <r>
    <s v="TX500504"/>
    <s v="Pajama Sets"/>
    <n v="1"/>
    <n v="32.200000000000003"/>
    <n v="32.200000000000003"/>
    <d v="2025-01-22T00:00:00"/>
    <d v="2025-01-25T00:00:00"/>
    <s v="F"/>
    <x v="2"/>
    <n v="3"/>
    <s v="California"/>
    <s v="Los Angeles County"/>
    <n v="3"/>
    <n v="4"/>
    <x v="2"/>
  </r>
  <r>
    <s v="TX500505"/>
    <s v="Jeans"/>
    <n v="2"/>
    <n v="41.5"/>
    <n v="83"/>
    <d v="2025-01-22T00:00:00"/>
    <d v="2025-01-25T00:00:00"/>
    <s v="F"/>
    <x v="0"/>
    <n v="5"/>
    <s v="California"/>
    <s v="Los Angeles County"/>
    <n v="3"/>
    <n v="4"/>
    <x v="2"/>
  </r>
  <r>
    <s v="TX500506"/>
    <s v="Sunglasses"/>
    <n v="9"/>
    <n v="58.9"/>
    <n v="530.1"/>
    <d v="2025-01-22T00:00:00"/>
    <d v="2025-01-26T00:00:00"/>
    <s v="F"/>
    <x v="3"/>
    <n v="4"/>
    <s v="California"/>
    <s v="Los Angeles County"/>
    <n v="4"/>
    <n v="4"/>
    <x v="2"/>
  </r>
  <r>
    <s v="TX500507"/>
    <s v="Sneakers"/>
    <n v="1"/>
    <n v="57.1"/>
    <n v="57.1"/>
    <d v="2025-01-22T00:00:00"/>
    <d v="2025-01-25T00:00:00"/>
    <s v="F"/>
    <x v="1"/>
    <n v="4"/>
    <s v="California"/>
    <s v="Los Angeles County"/>
    <n v="3"/>
    <n v="4"/>
    <x v="2"/>
  </r>
  <r>
    <s v="TX500508"/>
    <s v="Jeans"/>
    <n v="1"/>
    <n v="57.2"/>
    <n v="57.2"/>
    <d v="2025-01-22T00:00:00"/>
    <d v="2025-01-24T00:00:00"/>
    <s v="M"/>
    <x v="1"/>
    <n v="4"/>
    <s v="California"/>
    <s v="Los Angeles County"/>
    <n v="2"/>
    <n v="4"/>
    <x v="1"/>
  </r>
  <r>
    <s v="TX500509"/>
    <s v="T-Shirts"/>
    <n v="2"/>
    <n v="35.1"/>
    <n v="70.2"/>
    <d v="2025-01-22T00:00:00"/>
    <d v="2025-01-23T00:00:00"/>
    <s v="M"/>
    <x v="1"/>
    <n v="4"/>
    <s v="California"/>
    <s v="Sacramento County"/>
    <n v="1"/>
    <n v="4"/>
    <x v="1"/>
  </r>
  <r>
    <s v="TX500510"/>
    <s v="Tank Tops"/>
    <n v="1"/>
    <n v="52.1"/>
    <n v="52.1"/>
    <d v="2025-01-22T00:00:00"/>
    <d v="2025-01-24T00:00:00"/>
    <s v="F"/>
    <x v="4"/>
    <n v="3"/>
    <s v="California"/>
    <s v="San Diego County"/>
    <n v="2"/>
    <n v="4"/>
    <x v="2"/>
  </r>
  <r>
    <s v="TX500511"/>
    <s v="Tote Bags"/>
    <n v="3"/>
    <n v="59.8"/>
    <n v="179.39999999999998"/>
    <d v="2025-01-22T00:00:00"/>
    <d v="2025-01-24T00:00:00"/>
    <s v="F"/>
    <x v="4"/>
    <n v="3"/>
    <s v="California"/>
    <s v="San Diego County"/>
    <n v="2"/>
    <n v="4"/>
    <x v="2"/>
  </r>
  <r>
    <s v="TX500512"/>
    <s v="Workout Tops"/>
    <n v="4"/>
    <n v="83.3"/>
    <n v="333.2"/>
    <d v="2025-01-22T00:00:00"/>
    <d v="2025-01-22T00:00:00"/>
    <s v=""/>
    <x v="2"/>
    <n v="4"/>
    <s v="California"/>
    <s v="San Diego County"/>
    <n v="0"/>
    <n v="4"/>
    <x v="0"/>
  </r>
  <r>
    <s v="TX500513"/>
    <s v="Crop Tops"/>
    <n v="12"/>
    <n v="41.3"/>
    <n v="495.59999999999997"/>
    <d v="2025-01-22T00:00:00"/>
    <d v="2025-01-23T00:00:00"/>
    <s v="F"/>
    <x v="1"/>
    <n v="4"/>
    <s v="California"/>
    <s v="San Diego County"/>
    <n v="1"/>
    <n v="4"/>
    <x v="2"/>
  </r>
  <r>
    <s v="TX500514"/>
    <s v="T-Shirts"/>
    <n v="5"/>
    <n v="16"/>
    <n v="80"/>
    <d v="2025-01-22T00:00:00"/>
    <d v="2025-01-24T00:00:00"/>
    <s v="M"/>
    <x v="4"/>
    <n v="3"/>
    <s v="California"/>
    <s v="San Mateo County"/>
    <n v="2"/>
    <n v="4"/>
    <x v="1"/>
  </r>
  <r>
    <s v="TX500515"/>
    <s v="Bikinis"/>
    <n v="2"/>
    <n v="20.8"/>
    <n v="41.6"/>
    <d v="2025-01-23T00:00:00"/>
    <d v="2025-01-25T00:00:00"/>
    <s v="M"/>
    <x v="0"/>
    <n v="5"/>
    <s v="California"/>
    <s v="Santa Clara County"/>
    <n v="2"/>
    <n v="4"/>
    <x v="1"/>
  </r>
  <r>
    <s v="TX500516"/>
    <s v="T-Shirts"/>
    <n v="28"/>
    <n v="27.1"/>
    <n v="758.80000000000007"/>
    <d v="2025-01-23T00:00:00"/>
    <d v="2025-01-24T00:00:00"/>
    <s v=""/>
    <x v="3"/>
    <n v="5"/>
    <s v="California"/>
    <s v="Santa Clara County"/>
    <n v="1"/>
    <n v="4"/>
    <x v="0"/>
  </r>
  <r>
    <s v="TX500517"/>
    <s v="Bikinis"/>
    <n v="2"/>
    <n v="38.9"/>
    <n v="77.8"/>
    <d v="2025-01-23T00:00:00"/>
    <d v="2025-01-25T00:00:00"/>
    <s v="F"/>
    <x v="0"/>
    <n v="4"/>
    <s v="California"/>
    <s v="Sonoma County"/>
    <n v="2"/>
    <n v="4"/>
    <x v="2"/>
  </r>
  <r>
    <s v="TX500518"/>
    <s v="Shorts"/>
    <n v="2"/>
    <n v="10.8"/>
    <n v="21.6"/>
    <d v="2025-01-23T00:00:00"/>
    <d v="2025-01-26T00:00:00"/>
    <s v="F"/>
    <x v="1"/>
    <n v="5"/>
    <s v="California"/>
    <s v="Trinity County"/>
    <n v="3"/>
    <n v="4"/>
    <x v="2"/>
  </r>
  <r>
    <s v="TX500519"/>
    <s v="Graphic Tees"/>
    <n v="13"/>
    <n v="48.4"/>
    <n v="629.19999999999993"/>
    <d v="2025-01-23T00:00:00"/>
    <d v="2025-01-27T00:00:00"/>
    <s v="F"/>
    <x v="0"/>
    <n v="4"/>
    <s v="California"/>
    <s v="Alameda County"/>
    <n v="4"/>
    <n v="4"/>
    <x v="2"/>
  </r>
  <r>
    <s v="TX500520"/>
    <s v="Graphic Tees"/>
    <n v="3"/>
    <n v="29.2"/>
    <n v="87.6"/>
    <d v="2025-01-23T00:00:00"/>
    <d v="2025-01-26T00:00:00"/>
    <s v="F"/>
    <x v="1"/>
    <n v="3"/>
    <s v="California"/>
    <s v="Fresno County"/>
    <n v="3"/>
    <n v="4"/>
    <x v="2"/>
  </r>
  <r>
    <s v="TX500521"/>
    <s v="Graphic Tees"/>
    <n v="2"/>
    <n v="25.1"/>
    <n v="50.2"/>
    <d v="2025-01-23T00:00:00"/>
    <d v="2025-01-24T00:00:00"/>
    <s v="M"/>
    <x v="0"/>
    <n v="3"/>
    <s v="California"/>
    <s v="Fresno County"/>
    <n v="1"/>
    <n v="4"/>
    <x v="1"/>
  </r>
  <r>
    <s v="TX500522"/>
    <s v="Hoodies &amp; Sweatshirts"/>
    <n v="3"/>
    <n v="65.599999999999994"/>
    <n v="196.79999999999998"/>
    <d v="2025-01-23T00:00:00"/>
    <d v="2025-01-23T00:00:00"/>
    <s v="F"/>
    <x v="2"/>
    <n v="3"/>
    <s v="California"/>
    <s v="Los Angeles County"/>
    <n v="0"/>
    <n v="4"/>
    <x v="2"/>
  </r>
  <r>
    <s v="TX500523"/>
    <s v="Sneakers"/>
    <n v="2"/>
    <n v="57.3"/>
    <n v="114.6"/>
    <d v="2025-01-23T00:00:00"/>
    <d v="2025-01-23T00:00:00"/>
    <s v=""/>
    <x v="0"/>
    <n v="4"/>
    <s v="California"/>
    <s v="Los Angeles County"/>
    <n v="0"/>
    <n v="4"/>
    <x v="0"/>
  </r>
  <r>
    <s v="TX500524"/>
    <s v="Sundresses"/>
    <n v="4"/>
    <n v="22.4"/>
    <n v="89.6"/>
    <d v="2025-01-23T00:00:00"/>
    <d v="2025-01-24T00:00:00"/>
    <s v="F"/>
    <x v="2"/>
    <n v="5"/>
    <s v="California"/>
    <s v="Los Angeles County"/>
    <n v="1"/>
    <n v="4"/>
    <x v="2"/>
  </r>
  <r>
    <s v="TX500525"/>
    <s v="Casual Dresses"/>
    <n v="9"/>
    <n v="45.7"/>
    <n v="411.3"/>
    <d v="2025-01-23T00:00:00"/>
    <d v="2025-01-24T00:00:00"/>
    <s v="F"/>
    <x v="0"/>
    <n v="4"/>
    <s v="California"/>
    <s v="Los Angeles County"/>
    <n v="1"/>
    <n v="4"/>
    <x v="2"/>
  </r>
  <r>
    <s v="TX500526"/>
    <s v="T-Shirts"/>
    <n v="2"/>
    <n v="29.3"/>
    <n v="58.6"/>
    <d v="2025-01-23T00:00:00"/>
    <d v="2025-01-24T00:00:00"/>
    <s v="M"/>
    <x v="1"/>
    <n v="4"/>
    <s v="California"/>
    <s v="Los Angeles County"/>
    <n v="1"/>
    <n v="4"/>
    <x v="1"/>
  </r>
  <r>
    <s v="TX500527"/>
    <s v="Leggings"/>
    <n v="22"/>
    <n v="74"/>
    <n v="1628"/>
    <d v="2025-01-23T00:00:00"/>
    <d v="2025-01-24T00:00:00"/>
    <s v="M"/>
    <x v="0"/>
    <n v="5"/>
    <s v="California"/>
    <s v="Los Angeles County"/>
    <n v="1"/>
    <n v="4"/>
    <x v="1"/>
  </r>
  <r>
    <s v="TX500528"/>
    <s v="Baseball Caps"/>
    <n v="2"/>
    <n v="39.200000000000003"/>
    <n v="78.400000000000006"/>
    <d v="2025-01-23T00:00:00"/>
    <d v="2025-01-25T00:00:00"/>
    <s v="F"/>
    <x v="1"/>
    <n v="4"/>
    <s v="California"/>
    <s v="Los Angeles County"/>
    <n v="2"/>
    <n v="4"/>
    <x v="2"/>
  </r>
  <r>
    <s v="TX500529"/>
    <s v="Graphic Tees"/>
    <n v="17"/>
    <n v="62.7"/>
    <n v="1065.9000000000001"/>
    <d v="2025-01-23T00:00:00"/>
    <d v="2025-01-24T00:00:00"/>
    <s v="F"/>
    <x v="2"/>
    <n v="3"/>
    <s v="California"/>
    <s v="Los Angeles County"/>
    <n v="1"/>
    <n v="4"/>
    <x v="2"/>
  </r>
  <r>
    <s v="TX500530"/>
    <s v="Bikinis"/>
    <n v="2"/>
    <n v="60.1"/>
    <n v="120.2"/>
    <d v="2025-01-23T00:00:00"/>
    <d v="2025-01-24T00:00:00"/>
    <s v="F"/>
    <x v="3"/>
    <n v="4"/>
    <s v="California"/>
    <s v="Los Angeles County"/>
    <n v="1"/>
    <n v="4"/>
    <x v="2"/>
  </r>
  <r>
    <s v="TX500531"/>
    <s v="Shorts"/>
    <n v="4"/>
    <n v="11.2"/>
    <n v="44.8"/>
    <d v="2025-01-23T00:00:00"/>
    <d v="2025-01-24T00:00:00"/>
    <s v="F"/>
    <x v="3"/>
    <n v="3"/>
    <s v="California"/>
    <s v="Los Angeles County"/>
    <n v="1"/>
    <n v="4"/>
    <x v="2"/>
  </r>
  <r>
    <s v="TX500532"/>
    <s v="T-Shirts"/>
    <n v="2"/>
    <n v="22.9"/>
    <n v="45.8"/>
    <d v="2025-01-23T00:00:00"/>
    <d v="2025-01-24T00:00:00"/>
    <s v="F"/>
    <x v="0"/>
    <n v="4"/>
    <s v="California"/>
    <s v="Sacramento County"/>
    <n v="1"/>
    <n v="4"/>
    <x v="2"/>
  </r>
  <r>
    <s v="TX500533"/>
    <s v="Tank Tops"/>
    <n v="2"/>
    <n v="37.6"/>
    <n v="75.2"/>
    <d v="2025-01-23T00:00:00"/>
    <d v="2025-01-26T00:00:00"/>
    <s v="F"/>
    <x v="0"/>
    <n v="4"/>
    <s v="California"/>
    <s v="Sacramento County"/>
    <n v="3"/>
    <n v="4"/>
    <x v="2"/>
  </r>
  <r>
    <s v="TX500534"/>
    <s v="Jeans"/>
    <n v="1"/>
    <n v="42.4"/>
    <n v="42.4"/>
    <d v="2025-01-23T00:00:00"/>
    <d v="2025-01-24T00:00:00"/>
    <s v="F"/>
    <x v="3"/>
    <n v="5"/>
    <s v="California"/>
    <s v="Sacramento County"/>
    <n v="1"/>
    <n v="4"/>
    <x v="2"/>
  </r>
  <r>
    <s v="TX500535"/>
    <s v="T-Shirts"/>
    <n v="2"/>
    <n v="19.600000000000001"/>
    <n v="39.200000000000003"/>
    <d v="2025-01-23T00:00:00"/>
    <d v="2025-01-27T00:00:00"/>
    <s v="F"/>
    <x v="2"/>
    <n v="4"/>
    <s v="California"/>
    <s v="San Bernardino County"/>
    <n v="4"/>
    <n v="4"/>
    <x v="2"/>
  </r>
  <r>
    <s v="TX500536"/>
    <s v="Sundresses"/>
    <n v="1"/>
    <n v="90.5"/>
    <n v="90.5"/>
    <d v="2025-01-23T00:00:00"/>
    <d v="2025-01-26T00:00:00"/>
    <s v="F"/>
    <x v="2"/>
    <n v="4"/>
    <s v="California"/>
    <s v="San Bernardino County"/>
    <n v="3"/>
    <n v="4"/>
    <x v="2"/>
  </r>
  <r>
    <s v="TX500537"/>
    <s v="Sunglasses"/>
    <n v="11"/>
    <n v="33.9"/>
    <n v="372.9"/>
    <d v="2025-01-23T00:00:00"/>
    <d v="2025-01-24T00:00:00"/>
    <s v="M"/>
    <x v="2"/>
    <n v="3"/>
    <s v="California"/>
    <s v="San Bernardino County"/>
    <n v="1"/>
    <n v="4"/>
    <x v="1"/>
  </r>
  <r>
    <s v="TX500538"/>
    <s v="Shorts"/>
    <n v="2"/>
    <n v="32.799999999999997"/>
    <n v="65.599999999999994"/>
    <d v="2025-01-23T00:00:00"/>
    <d v="2025-01-25T00:00:00"/>
    <s v="F"/>
    <x v="4"/>
    <n v="2"/>
    <s v="California"/>
    <s v="San Diego County"/>
    <n v="2"/>
    <n v="4"/>
    <x v="2"/>
  </r>
  <r>
    <s v="TX500539"/>
    <s v="Crop Tops"/>
    <n v="1"/>
    <n v="49.9"/>
    <n v="49.9"/>
    <d v="2025-01-23T00:00:00"/>
    <d v="2025-01-24T00:00:00"/>
    <s v="M"/>
    <x v="3"/>
    <n v="3"/>
    <s v="California"/>
    <s v="San Diego County"/>
    <n v="1"/>
    <n v="4"/>
    <x v="1"/>
  </r>
  <r>
    <s v="TX500540"/>
    <s v="Hoodies &amp; Sweatshirts"/>
    <n v="5"/>
    <n v="79.2"/>
    <n v="396"/>
    <d v="2025-01-23T00:00:00"/>
    <d v="2025-01-24T00:00:00"/>
    <s v="F"/>
    <x v="4"/>
    <n v="4"/>
    <s v="California"/>
    <s v="San Diego County"/>
    <n v="1"/>
    <n v="4"/>
    <x v="2"/>
  </r>
  <r>
    <s v="TX500541"/>
    <s v="T-Shirts"/>
    <n v="16"/>
    <n v="19.5"/>
    <n v="312"/>
    <d v="2025-01-23T00:00:00"/>
    <d v="2025-01-25T00:00:00"/>
    <s v="M"/>
    <x v="3"/>
    <n v="5"/>
    <s v="California"/>
    <s v="San Diego County"/>
    <n v="2"/>
    <n v="4"/>
    <x v="1"/>
  </r>
  <r>
    <s v="TX500542"/>
    <s v="T-Shirts"/>
    <n v="4"/>
    <n v="18"/>
    <n v="72"/>
    <d v="2025-01-23T00:00:00"/>
    <d v="2025-01-24T00:00:00"/>
    <s v="M"/>
    <x v="1"/>
    <n v="4"/>
    <s v="California"/>
    <s v="Santa Barbara County"/>
    <n v="1"/>
    <n v="4"/>
    <x v="1"/>
  </r>
  <r>
    <s v="TX500543"/>
    <s v="Sundresses"/>
    <n v="3"/>
    <n v="45.9"/>
    <n v="137.69999999999999"/>
    <d v="2025-01-23T00:00:00"/>
    <d v="2025-01-25T00:00:00"/>
    <s v="F"/>
    <x v="1"/>
    <n v="3"/>
    <s v="California"/>
    <s v="Santa Barbara County"/>
    <n v="2"/>
    <n v="4"/>
    <x v="2"/>
  </r>
  <r>
    <s v="TX500544"/>
    <s v="Maxi Dresses"/>
    <n v="1"/>
    <n v="41.2"/>
    <n v="41.2"/>
    <d v="2025-01-23T00:00:00"/>
    <d v="2025-01-25T00:00:00"/>
    <s v="F"/>
    <x v="1"/>
    <n v="5"/>
    <s v="California"/>
    <s v="Santa Clara County"/>
    <n v="2"/>
    <n v="4"/>
    <x v="2"/>
  </r>
  <r>
    <s v="TX500545"/>
    <s v="Sneakers"/>
    <n v="10"/>
    <n v="167.2"/>
    <n v="1672"/>
    <d v="2025-01-23T00:00:00"/>
    <d v="2025-01-25T00:00:00"/>
    <s v="F"/>
    <x v="2"/>
    <n v="5"/>
    <s v="California"/>
    <s v="Santa Cruz County"/>
    <n v="2"/>
    <n v="4"/>
    <x v="2"/>
  </r>
  <r>
    <s v="TX500546"/>
    <s v="Jeans"/>
    <n v="30"/>
    <n v="74.5"/>
    <n v="2235"/>
    <d v="2025-01-24T00:00:00"/>
    <d v="2025-01-27T00:00:00"/>
    <s v="F"/>
    <x v="1"/>
    <n v="5"/>
    <s v="California"/>
    <s v="Solano County"/>
    <n v="3"/>
    <n v="4"/>
    <x v="2"/>
  </r>
  <r>
    <s v="TX500547"/>
    <s v="Hoodies &amp; Sweatshirts"/>
    <n v="4"/>
    <n v="39.299999999999997"/>
    <n v="157.19999999999999"/>
    <d v="2025-01-24T00:00:00"/>
    <d v="2025-01-25T00:00:00"/>
    <s v=""/>
    <x v="2"/>
    <n v="4"/>
    <s v="California"/>
    <s v="Stanislaus County"/>
    <n v="1"/>
    <n v="4"/>
    <x v="0"/>
  </r>
  <r>
    <s v="TX500548"/>
    <s v="Sundresses"/>
    <n v="1"/>
    <n v="68.5"/>
    <n v="68.5"/>
    <d v="2025-01-24T00:00:00"/>
    <d v="2025-01-27T00:00:00"/>
    <s v="M"/>
    <x v="1"/>
    <n v="5"/>
    <s v="California"/>
    <s v="Tehama County"/>
    <n v="3"/>
    <n v="4"/>
    <x v="1"/>
  </r>
  <r>
    <s v="TX500549"/>
    <s v="Shorts"/>
    <n v="3"/>
    <n v="22.5"/>
    <n v="67.5"/>
    <d v="2025-01-24T00:00:00"/>
    <d v="2025-01-24T00:00:00"/>
    <s v="F"/>
    <x v="4"/>
    <n v="4"/>
    <s v="California"/>
    <s v="Ventura County"/>
    <n v="0"/>
    <n v="4"/>
    <x v="2"/>
  </r>
  <r>
    <s v="TX500550"/>
    <s v="Tank Tops"/>
    <n v="1"/>
    <n v="48"/>
    <n v="48"/>
    <d v="2025-01-24T00:00:00"/>
    <d v="2025-01-25T00:00:00"/>
    <s v="O"/>
    <x v="4"/>
    <n v="3"/>
    <s v="California"/>
    <s v="Amador County"/>
    <n v="1"/>
    <n v="4"/>
    <x v="3"/>
  </r>
  <r>
    <s v="TX500551"/>
    <s v="Jeans"/>
    <n v="1"/>
    <n v="94"/>
    <n v="94"/>
    <d v="2025-01-24T00:00:00"/>
    <d v="2025-01-25T00:00:00"/>
    <s v="M"/>
    <x v="3"/>
    <n v="3"/>
    <s v="California"/>
    <s v="Contra Costa County"/>
    <n v="1"/>
    <n v="4"/>
    <x v="1"/>
  </r>
  <r>
    <s v="TX500552"/>
    <s v="T-Shirts"/>
    <n v="3"/>
    <n v="21.9"/>
    <n v="65.699999999999989"/>
    <d v="2025-01-24T00:00:00"/>
    <d v="2025-01-25T00:00:00"/>
    <s v="F"/>
    <x v="0"/>
    <n v="4"/>
    <s v="California"/>
    <s v="Humboldt County"/>
    <n v="1"/>
    <n v="4"/>
    <x v="2"/>
  </r>
  <r>
    <s v="TX500553"/>
    <s v="Jeans"/>
    <n v="7"/>
    <n v="64.900000000000006"/>
    <n v="454.30000000000007"/>
    <d v="2025-01-24T00:00:00"/>
    <d v="2025-01-25T00:00:00"/>
    <s v="F"/>
    <x v="0"/>
    <n v="4"/>
    <s v="California"/>
    <s v="Los Angeles County"/>
    <n v="1"/>
    <n v="4"/>
    <x v="2"/>
  </r>
  <r>
    <s v="TX500554"/>
    <s v="Casual Dresses"/>
    <n v="1"/>
    <n v="52.9"/>
    <n v="52.9"/>
    <d v="2025-01-24T00:00:00"/>
    <d v="2025-01-24T00:00:00"/>
    <s v="F"/>
    <x v="1"/>
    <n v="3"/>
    <s v="California"/>
    <s v="Los Angeles County"/>
    <n v="0"/>
    <n v="4"/>
    <x v="2"/>
  </r>
  <r>
    <s v="TX500555"/>
    <s v="T-Shirts"/>
    <n v="3"/>
    <n v="25.5"/>
    <n v="76.5"/>
    <d v="2025-01-24T00:00:00"/>
    <d v="2025-01-25T00:00:00"/>
    <s v="F"/>
    <x v="1"/>
    <n v="5"/>
    <s v="California"/>
    <s v="Los Angeles County"/>
    <n v="1"/>
    <n v="4"/>
    <x v="2"/>
  </r>
  <r>
    <s v="TX500556"/>
    <s v="Jeans"/>
    <n v="3"/>
    <n v="51.9"/>
    <n v="155.69999999999999"/>
    <d v="2025-01-24T00:00:00"/>
    <d v="2025-01-25T00:00:00"/>
    <s v="F"/>
    <x v="3"/>
    <n v="4"/>
    <s v="California"/>
    <s v="Los Angeles County"/>
    <n v="1"/>
    <n v="4"/>
    <x v="2"/>
  </r>
  <r>
    <s v="TX500557"/>
    <s v="Sandals"/>
    <n v="1"/>
    <n v="46.3"/>
    <n v="46.3"/>
    <d v="2025-01-24T00:00:00"/>
    <d v="2025-01-27T00:00:00"/>
    <s v="F"/>
    <x v="4"/>
    <n v="4"/>
    <s v="California"/>
    <s v="Los Angeles County"/>
    <n v="3"/>
    <n v="4"/>
    <x v="2"/>
  </r>
  <r>
    <s v="TX500558"/>
    <s v="Jeans"/>
    <n v="2"/>
    <n v="68.2"/>
    <n v="136.4"/>
    <d v="2025-01-24T00:00:00"/>
    <d v="2025-01-26T00:00:00"/>
    <s v="F"/>
    <x v="3"/>
    <n v="4"/>
    <s v="California"/>
    <s v="Los Angeles County"/>
    <n v="2"/>
    <n v="4"/>
    <x v="2"/>
  </r>
  <r>
    <s v="TX500559"/>
    <s v="Tank Tops"/>
    <n v="1"/>
    <n v="40.299999999999997"/>
    <n v="40.299999999999997"/>
    <d v="2025-01-24T00:00:00"/>
    <d v="2025-01-25T00:00:00"/>
    <s v="M"/>
    <x v="0"/>
    <n v="3"/>
    <s v="California"/>
    <s v="Los Angeles County"/>
    <n v="1"/>
    <n v="4"/>
    <x v="1"/>
  </r>
  <r>
    <s v="TX500560"/>
    <s v="Sneakers"/>
    <n v="3"/>
    <n v="91.3"/>
    <n v="273.89999999999998"/>
    <d v="2025-01-24T00:00:00"/>
    <d v="2025-01-29T00:00:00"/>
    <s v="M"/>
    <x v="0"/>
    <n v="5"/>
    <s v="California"/>
    <s v="Sacramento County"/>
    <n v="5"/>
    <n v="4"/>
    <x v="1"/>
  </r>
  <r>
    <s v="TX500561"/>
    <s v="Shorts"/>
    <n v="3"/>
    <n v="11.9"/>
    <n v="35.700000000000003"/>
    <d v="2025-01-24T00:00:00"/>
    <d v="2025-01-25T00:00:00"/>
    <s v="F"/>
    <x v="0"/>
    <n v="3"/>
    <s v="California"/>
    <s v="Sacramento County"/>
    <n v="1"/>
    <n v="4"/>
    <x v="2"/>
  </r>
  <r>
    <s v="TX500562"/>
    <s v="Sneakers"/>
    <n v="2"/>
    <n v="63.5"/>
    <n v="127"/>
    <d v="2025-01-24T00:00:00"/>
    <d v="2025-01-26T00:00:00"/>
    <s v="M"/>
    <x v="1"/>
    <n v="4"/>
    <s v="California"/>
    <s v="Sacramento County"/>
    <n v="2"/>
    <n v="4"/>
    <x v="1"/>
  </r>
  <r>
    <s v="TX500563"/>
    <s v="Graphic Tees"/>
    <n v="2"/>
    <n v="27.1"/>
    <n v="54.2"/>
    <d v="2025-01-24T00:00:00"/>
    <d v="2025-01-27T00:00:00"/>
    <s v="M"/>
    <x v="2"/>
    <n v="5"/>
    <s v="California"/>
    <s v="Sacramento County"/>
    <n v="3"/>
    <n v="4"/>
    <x v="1"/>
  </r>
  <r>
    <s v="TX500564"/>
    <s v="Tank Tops"/>
    <n v="2"/>
    <n v="82.1"/>
    <n v="164.2"/>
    <d v="2025-01-25T00:00:00"/>
    <d v="2025-01-28T00:00:00"/>
    <s v="M"/>
    <x v="1"/>
    <n v="3"/>
    <s v="California"/>
    <s v="San Bernardino County"/>
    <n v="3"/>
    <n v="4"/>
    <x v="1"/>
  </r>
  <r>
    <s v="TX500565"/>
    <s v="Workout Tops"/>
    <n v="5"/>
    <n v="42.9"/>
    <n v="214.5"/>
    <d v="2025-01-25T00:00:00"/>
    <d v="2025-01-27T00:00:00"/>
    <s v="F"/>
    <x v="1"/>
    <n v="4"/>
    <s v="California"/>
    <s v="San Diego County"/>
    <n v="2"/>
    <n v="4"/>
    <x v="2"/>
  </r>
  <r>
    <s v="TX500566"/>
    <s v="T-Shirts"/>
    <n v="11"/>
    <n v="37.9"/>
    <n v="416.9"/>
    <d v="2025-01-25T00:00:00"/>
    <d v="2025-02-01T00:00:00"/>
    <s v="M"/>
    <x v="0"/>
    <n v="4"/>
    <s v="California"/>
    <s v="San Diego County"/>
    <n v="7"/>
    <n v="4"/>
    <x v="1"/>
  </r>
  <r>
    <s v="TX500567"/>
    <s v="Shorts"/>
    <n v="1"/>
    <n v="22.4"/>
    <n v="22.4"/>
    <d v="2025-01-25T00:00:00"/>
    <d v="2025-01-26T00:00:00"/>
    <s v="F"/>
    <x v="0"/>
    <n v="3"/>
    <s v="California"/>
    <s v="San Francisco"/>
    <n v="1"/>
    <n v="4"/>
    <x v="2"/>
  </r>
  <r>
    <s v="TX500568"/>
    <s v="Sneakers"/>
    <n v="13"/>
    <n v="79.900000000000006"/>
    <n v="1038.7"/>
    <d v="2025-01-25T00:00:00"/>
    <d v="2025-02-07T00:00:00"/>
    <s v="F"/>
    <x v="3"/>
    <n v="3"/>
    <s v="California"/>
    <s v="Santa Clara County"/>
    <n v="13"/>
    <n v="4"/>
    <x v="2"/>
  </r>
  <r>
    <s v="TX500569"/>
    <s v="Tank Tops"/>
    <n v="1"/>
    <n v="70.599999999999994"/>
    <n v="70.599999999999994"/>
    <d v="2025-01-25T00:00:00"/>
    <d v="2025-01-28T00:00:00"/>
    <s v="F"/>
    <x v="0"/>
    <n v="3"/>
    <s v="California"/>
    <s v="Santa Clara County"/>
    <n v="3"/>
    <n v="4"/>
    <x v="2"/>
  </r>
  <r>
    <s v="TX500570"/>
    <s v="Jeans"/>
    <n v="1"/>
    <n v="49.5"/>
    <n v="49.5"/>
    <d v="2025-01-25T00:00:00"/>
    <d v="2025-01-27T00:00:00"/>
    <s v="M"/>
    <x v="0"/>
    <n v="4"/>
    <s v="California"/>
    <s v="Ventura County"/>
    <n v="2"/>
    <n v="4"/>
    <x v="1"/>
  </r>
  <r>
    <s v="TX500571"/>
    <s v="Sneakers"/>
    <n v="2"/>
    <n v="96.6"/>
    <n v="193.2"/>
    <d v="2025-01-25T00:00:00"/>
    <d v="2025-01-27T00:00:00"/>
    <s v="M"/>
    <x v="0"/>
    <n v="4"/>
    <s v="California"/>
    <s v="Alameda County"/>
    <n v="2"/>
    <n v="4"/>
    <x v="1"/>
  </r>
  <r>
    <s v="TX500572"/>
    <s v="Jeans"/>
    <n v="2"/>
    <n v="52.8"/>
    <n v="105.6"/>
    <d v="2025-01-25T00:00:00"/>
    <d v="2025-01-26T00:00:00"/>
    <s v="F"/>
    <x v="1"/>
    <n v="3"/>
    <s v="California"/>
    <s v="Alameda County"/>
    <n v="1"/>
    <n v="4"/>
    <x v="2"/>
  </r>
  <r>
    <s v="TX500573"/>
    <s v="Sneakers"/>
    <n v="1"/>
    <n v="101.7"/>
    <n v="101.7"/>
    <d v="2025-01-25T00:00:00"/>
    <d v="2025-01-26T00:00:00"/>
    <s v="M"/>
    <x v="0"/>
    <n v="4"/>
    <s v="California"/>
    <s v="Contra Costa County"/>
    <n v="1"/>
    <n v="4"/>
    <x v="1"/>
  </r>
  <r>
    <s v="TX500574"/>
    <s v="Graphic Tees"/>
    <n v="5"/>
    <n v="26.9"/>
    <n v="134.5"/>
    <d v="2025-01-25T00:00:00"/>
    <d v="2025-01-30T00:00:00"/>
    <s v="F"/>
    <x v="1"/>
    <n v="3"/>
    <s v="California"/>
    <s v="Kern County"/>
    <n v="5"/>
    <n v="4"/>
    <x v="2"/>
  </r>
  <r>
    <s v="TX500575"/>
    <s v="Sneakers"/>
    <n v="4"/>
    <n v="211"/>
    <n v="844"/>
    <d v="2025-01-25T00:00:00"/>
    <d v="2025-01-25T00:00:00"/>
    <s v="F"/>
    <x v="1"/>
    <n v="3"/>
    <s v="California"/>
    <s v="Los Angeles County"/>
    <n v="0"/>
    <n v="4"/>
    <x v="2"/>
  </r>
  <r>
    <s v="TX500576"/>
    <s v="Shorts"/>
    <n v="4"/>
    <n v="21.1"/>
    <n v="84.4"/>
    <d v="2025-01-25T00:00:00"/>
    <d v="2025-01-28T00:00:00"/>
    <s v="M"/>
    <x v="4"/>
    <n v="4"/>
    <s v="California"/>
    <s v="Los Angeles County"/>
    <n v="3"/>
    <n v="4"/>
    <x v="1"/>
  </r>
  <r>
    <s v="TX500577"/>
    <s v="Bikinis"/>
    <n v="1"/>
    <n v="26.6"/>
    <n v="26.6"/>
    <d v="2025-01-25T00:00:00"/>
    <d v="2025-01-27T00:00:00"/>
    <s v="M"/>
    <x v="0"/>
    <n v="2"/>
    <s v="California"/>
    <s v="Los Angeles County"/>
    <n v="2"/>
    <n v="4"/>
    <x v="1"/>
  </r>
  <r>
    <s v="TX500578"/>
    <s v="Casual Dresses"/>
    <n v="4"/>
    <n v="51.2"/>
    <n v="204.8"/>
    <d v="2025-01-25T00:00:00"/>
    <d v="2025-01-26T00:00:00"/>
    <s v="F"/>
    <x v="3"/>
    <n v="4"/>
    <s v="California"/>
    <s v="Mono County"/>
    <n v="1"/>
    <n v="4"/>
    <x v="2"/>
  </r>
  <r>
    <s v="TX500579"/>
    <s v="Shorts"/>
    <n v="5"/>
    <n v="10.6"/>
    <n v="53"/>
    <d v="2025-01-25T00:00:00"/>
    <d v="2025-01-29T00:00:00"/>
    <s v="F"/>
    <x v="0"/>
    <n v="4"/>
    <s v="California"/>
    <s v="San Diego County"/>
    <n v="4"/>
    <n v="4"/>
    <x v="2"/>
  </r>
  <r>
    <s v="TX500580"/>
    <s v="Jeans"/>
    <n v="3"/>
    <n v="43.4"/>
    <n v="130.19999999999999"/>
    <d v="2025-01-25T00:00:00"/>
    <d v="2025-01-28T00:00:00"/>
    <s v="F"/>
    <x v="4"/>
    <n v="4"/>
    <s v="California"/>
    <s v="San Diego County"/>
    <n v="3"/>
    <n v="4"/>
    <x v="2"/>
  </r>
  <r>
    <s v="TX500581"/>
    <s v="Casual Dresses"/>
    <n v="1"/>
    <n v="80"/>
    <n v="80"/>
    <d v="2025-01-25T00:00:00"/>
    <d v="2025-01-25T00:00:00"/>
    <s v="F"/>
    <x v="0"/>
    <n v="5"/>
    <s v="California"/>
    <s v="San Diego County"/>
    <n v="0"/>
    <n v="4"/>
    <x v="2"/>
  </r>
  <r>
    <s v="TX500582"/>
    <s v="Bikinis"/>
    <n v="4"/>
    <n v="64.7"/>
    <n v="258.8"/>
    <d v="2025-01-25T00:00:00"/>
    <d v="2025-01-27T00:00:00"/>
    <s v="F"/>
    <x v="1"/>
    <n v="2"/>
    <s v="California"/>
    <s v="San Diego County"/>
    <n v="2"/>
    <n v="4"/>
    <x v="2"/>
  </r>
  <r>
    <s v="TX500583"/>
    <s v="T-Shirts"/>
    <n v="11"/>
    <n v="26.3"/>
    <n v="289.3"/>
    <d v="2025-01-26T00:00:00"/>
    <d v="2025-01-26T00:00:00"/>
    <s v="F"/>
    <x v="4"/>
    <n v="3"/>
    <s v="California"/>
    <s v="San Joaquin County"/>
    <n v="0"/>
    <n v="5"/>
    <x v="2"/>
  </r>
  <r>
    <s v="TX500584"/>
    <s v="Bikinis"/>
    <n v="1"/>
    <n v="28.5"/>
    <n v="28.5"/>
    <d v="2025-01-26T00:00:00"/>
    <d v="2025-01-26T00:00:00"/>
    <s v="M"/>
    <x v="0"/>
    <n v="3"/>
    <s v="California"/>
    <s v="San Mateo County"/>
    <n v="0"/>
    <n v="5"/>
    <x v="1"/>
  </r>
  <r>
    <s v="TX500585"/>
    <s v="Pajama Sets"/>
    <n v="1"/>
    <n v="47.8"/>
    <n v="47.8"/>
    <d v="2025-01-26T00:00:00"/>
    <d v="2025-01-28T00:00:00"/>
    <s v="F"/>
    <x v="0"/>
    <n v="3"/>
    <s v="California"/>
    <s v="San Mateo County"/>
    <n v="2"/>
    <n v="5"/>
    <x v="2"/>
  </r>
  <r>
    <s v="TX500586"/>
    <s v="Bikinis"/>
    <n v="3"/>
    <n v="42.8"/>
    <n v="128.39999999999998"/>
    <d v="2025-01-26T00:00:00"/>
    <d v="2025-01-29T00:00:00"/>
    <s v="F"/>
    <x v="4"/>
    <n v="3"/>
    <s v="California"/>
    <s v="Santa Clara County"/>
    <n v="3"/>
    <n v="5"/>
    <x v="2"/>
  </r>
  <r>
    <s v="TX500587"/>
    <s v="Jeans"/>
    <n v="5"/>
    <n v="46.8"/>
    <n v="234"/>
    <d v="2025-01-26T00:00:00"/>
    <d v="2025-01-31T00:00:00"/>
    <s v="F"/>
    <x v="1"/>
    <n v="5"/>
    <s v="California"/>
    <s v="Santa Clara County"/>
    <n v="5"/>
    <n v="5"/>
    <x v="2"/>
  </r>
  <r>
    <s v="TX500588"/>
    <s v="Tank Tops"/>
    <n v="10"/>
    <n v="64.099999999999994"/>
    <n v="641"/>
    <d v="2025-01-26T00:00:00"/>
    <d v="2025-01-27T00:00:00"/>
    <s v="M"/>
    <x v="1"/>
    <n v="4"/>
    <s v="California"/>
    <s v="Santa Clara County"/>
    <n v="1"/>
    <n v="5"/>
    <x v="1"/>
  </r>
  <r>
    <s v="TX500589"/>
    <s v="Sneakers"/>
    <n v="1"/>
    <n v="89.1"/>
    <n v="89.1"/>
    <d v="2025-01-26T00:00:00"/>
    <d v="2025-01-27T00:00:00"/>
    <s v="F"/>
    <x v="0"/>
    <n v="3"/>
    <s v="California"/>
    <s v="Tulare County"/>
    <n v="1"/>
    <n v="5"/>
    <x v="2"/>
  </r>
  <r>
    <s v="TX500590"/>
    <s v="Sneakers"/>
    <n v="3"/>
    <n v="83.1"/>
    <n v="249.29999999999998"/>
    <d v="2025-01-26T00:00:00"/>
    <d v="2025-01-27T00:00:00"/>
    <s v="F"/>
    <x v="2"/>
    <n v="3"/>
    <s v="California"/>
    <s v="Ventura County"/>
    <n v="1"/>
    <n v="5"/>
    <x v="2"/>
  </r>
  <r>
    <s v="TX500591"/>
    <s v="T-Shirts"/>
    <n v="3"/>
    <n v="40.9"/>
    <n v="122.69999999999999"/>
    <d v="2025-01-26T00:00:00"/>
    <d v="2025-01-27T00:00:00"/>
    <s v="M"/>
    <x v="0"/>
    <n v="4"/>
    <s v="California"/>
    <s v="Contra Costa County"/>
    <n v="1"/>
    <n v="5"/>
    <x v="1"/>
  </r>
  <r>
    <s v="TX500592"/>
    <s v="Sneakers"/>
    <n v="2"/>
    <n v="125.7"/>
    <n v="251.4"/>
    <d v="2025-01-26T00:00:00"/>
    <d v="2025-01-27T00:00:00"/>
    <s v="F"/>
    <x v="3"/>
    <n v="4"/>
    <s v="California"/>
    <s v="Fresno County"/>
    <n v="1"/>
    <n v="5"/>
    <x v="2"/>
  </r>
  <r>
    <s v="TX500593"/>
    <s v="Workout Tops"/>
    <n v="2"/>
    <n v="30.9"/>
    <n v="61.8"/>
    <d v="2025-01-26T00:00:00"/>
    <d v="2025-01-26T00:00:00"/>
    <s v="F"/>
    <x v="2"/>
    <n v="5"/>
    <s v="California"/>
    <s v="Kern County"/>
    <n v="0"/>
    <n v="5"/>
    <x v="2"/>
  </r>
  <r>
    <s v="TX500594"/>
    <s v="T-Shirts"/>
    <n v="2"/>
    <n v="18.3"/>
    <n v="36.6"/>
    <d v="2025-01-26T00:00:00"/>
    <d v="2025-01-27T00:00:00"/>
    <s v="F"/>
    <x v="1"/>
    <n v="4"/>
    <s v="California"/>
    <s v="Los Angeles County"/>
    <n v="1"/>
    <n v="5"/>
    <x v="2"/>
  </r>
  <r>
    <s v="TX500595"/>
    <s v="Graphic Tees"/>
    <n v="2"/>
    <n v="56.5"/>
    <n v="113"/>
    <d v="2025-01-26T00:00:00"/>
    <d v="2025-01-30T00:00:00"/>
    <s v="M"/>
    <x v="2"/>
    <n v="5"/>
    <s v="California"/>
    <s v="Los Angeles County"/>
    <n v="4"/>
    <n v="5"/>
    <x v="1"/>
  </r>
  <r>
    <s v="TX500596"/>
    <s v="Bikinis"/>
    <n v="7"/>
    <n v="29.9"/>
    <n v="209.29999999999998"/>
    <d v="2025-01-26T00:00:00"/>
    <d v="2025-01-28T00:00:00"/>
    <s v="M"/>
    <x v="4"/>
    <n v="5"/>
    <s v="California"/>
    <s v="Los Angeles County"/>
    <n v="2"/>
    <n v="5"/>
    <x v="1"/>
  </r>
  <r>
    <s v="TX500597"/>
    <s v="Sandals"/>
    <n v="2"/>
    <n v="50.4"/>
    <n v="100.8"/>
    <d v="2025-01-26T00:00:00"/>
    <d v="2025-01-27T00:00:00"/>
    <s v="F"/>
    <x v="2"/>
    <n v="4"/>
    <s v="California"/>
    <s v="Los Angeles County"/>
    <n v="1"/>
    <n v="5"/>
    <x v="2"/>
  </r>
  <r>
    <s v="TX500598"/>
    <s v="Sneakers"/>
    <n v="1"/>
    <n v="85.8"/>
    <n v="85.8"/>
    <d v="2025-01-26T00:00:00"/>
    <d v="2025-01-26T00:00:00"/>
    <s v="F"/>
    <x v="2"/>
    <n v="5"/>
    <s v="California"/>
    <s v="Los Angeles County"/>
    <n v="0"/>
    <n v="5"/>
    <x v="2"/>
  </r>
  <r>
    <s v="TX500599"/>
    <s v="Graphic Tees"/>
    <n v="16"/>
    <n v="66.599999999999994"/>
    <n v="1065.5999999999999"/>
    <d v="2025-01-26T00:00:00"/>
    <d v="2025-01-28T00:00:00"/>
    <s v="M"/>
    <x v="1"/>
    <n v="4"/>
    <s v="California"/>
    <s v="Los Angeles County"/>
    <n v="2"/>
    <n v="5"/>
    <x v="1"/>
  </r>
  <r>
    <s v="TX500600"/>
    <s v="Jeans"/>
    <n v="4"/>
    <n v="70.3"/>
    <n v="281.2"/>
    <d v="2025-01-26T00:00:00"/>
    <d v="2025-01-27T00:00:00"/>
    <s v="F"/>
    <x v="0"/>
    <n v="3"/>
    <s v="California"/>
    <s v="Los Angeles County"/>
    <n v="1"/>
    <n v="5"/>
    <x v="2"/>
  </r>
  <r>
    <s v="TX500601"/>
    <s v="T-Shirts"/>
    <n v="4"/>
    <n v="31"/>
    <n v="124"/>
    <d v="2025-01-26T00:00:00"/>
    <d v="2025-01-29T00:00:00"/>
    <s v="M"/>
    <x v="0"/>
    <n v="5"/>
    <s v="California"/>
    <s v="Los Angeles County"/>
    <n v="3"/>
    <n v="5"/>
    <x v="1"/>
  </r>
  <r>
    <s v="TX500602"/>
    <s v="Hoodies &amp; Sweatshirts"/>
    <n v="6"/>
    <n v="81.599999999999994"/>
    <n v="489.59999999999997"/>
    <d v="2025-01-26T00:00:00"/>
    <d v="2025-01-27T00:00:00"/>
    <s v="F"/>
    <x v="1"/>
    <n v="3"/>
    <s v="California"/>
    <s v="Madera County"/>
    <n v="1"/>
    <n v="5"/>
    <x v="2"/>
  </r>
  <r>
    <s v="TX500603"/>
    <s v="Tank Tops"/>
    <n v="25"/>
    <n v="58.3"/>
    <n v="1457.5"/>
    <d v="2025-01-26T00:00:00"/>
    <d v="2025-01-27T00:00:00"/>
    <s v="F"/>
    <x v="0"/>
    <n v="4"/>
    <s v="California"/>
    <s v="Napa County"/>
    <n v="1"/>
    <n v="5"/>
    <x v="2"/>
  </r>
  <r>
    <s v="TX500604"/>
    <s v="Tank Tops"/>
    <n v="4"/>
    <n v="35.1"/>
    <n v="140.4"/>
    <d v="2025-01-26T00:00:00"/>
    <d v="2025-01-28T00:00:00"/>
    <s v="M"/>
    <x v="0"/>
    <n v="5"/>
    <s v="California"/>
    <s v="San Diego County"/>
    <n v="2"/>
    <n v="5"/>
    <x v="1"/>
  </r>
  <r>
    <s v="TX500605"/>
    <s v="Sneakers"/>
    <n v="1"/>
    <n v="80.2"/>
    <n v="80.2"/>
    <d v="2025-01-26T00:00:00"/>
    <d v="2025-01-27T00:00:00"/>
    <s v="M"/>
    <x v="3"/>
    <n v="5"/>
    <s v="California"/>
    <s v="San Diego County"/>
    <n v="1"/>
    <n v="5"/>
    <x v="1"/>
  </r>
  <r>
    <s v="TX500606"/>
    <s v="Baseball Caps"/>
    <n v="3"/>
    <n v="39.200000000000003"/>
    <n v="117.60000000000001"/>
    <d v="2025-01-26T00:00:00"/>
    <d v="2025-01-28T00:00:00"/>
    <s v="F"/>
    <x v="1"/>
    <n v="4"/>
    <s v="California"/>
    <s v="San Mateo County"/>
    <n v="2"/>
    <n v="5"/>
    <x v="2"/>
  </r>
  <r>
    <s v="TX500607"/>
    <s v="Shorts"/>
    <n v="2"/>
    <n v="15.4"/>
    <n v="30.8"/>
    <d v="2025-01-26T00:00:00"/>
    <d v="2025-01-26T00:00:00"/>
    <s v="F"/>
    <x v="3"/>
    <n v="4"/>
    <s v="California"/>
    <s v="Sierra County"/>
    <n v="0"/>
    <n v="5"/>
    <x v="2"/>
  </r>
  <r>
    <s v="TX500608"/>
    <s v="Workout Tops"/>
    <n v="3"/>
    <n v="65.400000000000006"/>
    <n v="196.20000000000002"/>
    <d v="2025-01-26T00:00:00"/>
    <d v="2025-01-29T00:00:00"/>
    <s v="M"/>
    <x v="3"/>
    <n v="4"/>
    <s v="California"/>
    <s v="Sonoma County"/>
    <n v="3"/>
    <n v="5"/>
    <x v="1"/>
  </r>
  <r>
    <s v="TX500609"/>
    <s v="Tank Tops"/>
    <n v="8"/>
    <n v="63.2"/>
    <n v="505.6"/>
    <d v="2025-01-26T00:00:00"/>
    <d v="2025-01-28T00:00:00"/>
    <s v="F"/>
    <x v="1"/>
    <n v="4"/>
    <s v="California"/>
    <s v="Stanislaus County"/>
    <n v="2"/>
    <n v="5"/>
    <x v="2"/>
  </r>
  <r>
    <s v="TX500610"/>
    <s v="Tank Tops"/>
    <n v="6"/>
    <n v="35.700000000000003"/>
    <n v="214.20000000000002"/>
    <d v="2025-01-26T00:00:00"/>
    <d v="2025-01-30T00:00:00"/>
    <s v="F"/>
    <x v="4"/>
    <n v="3"/>
    <s v="California"/>
    <s v="Stanislaus County"/>
    <n v="4"/>
    <n v="5"/>
    <x v="2"/>
  </r>
  <r>
    <s v="TX500611"/>
    <s v="Shorts"/>
    <n v="20"/>
    <n v="26.2"/>
    <n v="524"/>
    <d v="2025-01-26T00:00:00"/>
    <d v="2025-01-27T00:00:00"/>
    <s v="F"/>
    <x v="3"/>
    <n v="4"/>
    <s v="California"/>
    <s v="Alameda County"/>
    <n v="1"/>
    <n v="5"/>
    <x v="2"/>
  </r>
  <r>
    <s v="TX500612"/>
    <s v="Hoodies &amp; Sweatshirts"/>
    <n v="2"/>
    <n v="31"/>
    <n v="62"/>
    <d v="2025-01-26T00:00:00"/>
    <d v="2025-01-27T00:00:00"/>
    <s v="F"/>
    <x v="0"/>
    <n v="5"/>
    <s v="California"/>
    <s v="Contra Costa County"/>
    <n v="1"/>
    <n v="5"/>
    <x v="2"/>
  </r>
  <r>
    <s v="TX500613"/>
    <s v="T-Shirts"/>
    <n v="4"/>
    <n v="37.700000000000003"/>
    <n v="150.80000000000001"/>
    <d v="2025-01-26T00:00:00"/>
    <d v="2025-01-27T00:00:00"/>
    <s v="F"/>
    <x v="1"/>
    <n v="4"/>
    <s v="California"/>
    <s v="Kern County"/>
    <n v="1"/>
    <n v="5"/>
    <x v="2"/>
  </r>
  <r>
    <s v="TX500614"/>
    <s v="Bikinis"/>
    <n v="34"/>
    <n v="43.6"/>
    <n v="1482.4"/>
    <d v="2025-01-26T00:00:00"/>
    <d v="2025-01-28T00:00:00"/>
    <s v="F"/>
    <x v="4"/>
    <n v="3"/>
    <s v="California"/>
    <s v="Los Angeles County"/>
    <n v="2"/>
    <n v="5"/>
    <x v="2"/>
  </r>
  <r>
    <s v="TX500615"/>
    <s v="Sundresses"/>
    <n v="4"/>
    <n v="26.5"/>
    <n v="106"/>
    <d v="2025-01-26T00:00:00"/>
    <d v="2025-01-28T00:00:00"/>
    <s v="M"/>
    <x v="0"/>
    <n v="2"/>
    <s v="California"/>
    <s v="Los Angeles County"/>
    <n v="2"/>
    <n v="5"/>
    <x v="1"/>
  </r>
  <r>
    <s v="TX500616"/>
    <s v="Shorts"/>
    <n v="2"/>
    <n v="34.6"/>
    <n v="69.2"/>
    <d v="2025-01-26T00:00:00"/>
    <d v="2025-01-27T00:00:00"/>
    <s v="M"/>
    <x v="4"/>
    <n v="3"/>
    <s v="California"/>
    <s v="Los Angeles County"/>
    <n v="1"/>
    <n v="5"/>
    <x v="1"/>
  </r>
  <r>
    <s v="TX500617"/>
    <s v="T-Shirts"/>
    <n v="2"/>
    <n v="58.2"/>
    <n v="116.4"/>
    <d v="2025-01-26T00:00:00"/>
    <d v="2025-01-27T00:00:00"/>
    <s v="M"/>
    <x v="2"/>
    <n v="5"/>
    <s v="California"/>
    <s v="Los Angeles County"/>
    <n v="1"/>
    <n v="5"/>
    <x v="1"/>
  </r>
  <r>
    <s v="TX500618"/>
    <s v="Hoodies &amp; Sweatshirts"/>
    <n v="1"/>
    <n v="30.2"/>
    <n v="30.2"/>
    <d v="2025-01-27T00:00:00"/>
    <d v="2025-01-28T00:00:00"/>
    <s v="F"/>
    <x v="2"/>
    <n v="3"/>
    <s v="California"/>
    <s v="Los Angeles County"/>
    <n v="1"/>
    <n v="5"/>
    <x v="2"/>
  </r>
  <r>
    <s v="TX500619"/>
    <s v="Tank Tops"/>
    <n v="10"/>
    <n v="53.2"/>
    <n v="532"/>
    <d v="2025-01-27T00:00:00"/>
    <d v="2025-01-28T00:00:00"/>
    <s v="M"/>
    <x v="0"/>
    <n v="5"/>
    <s v="California"/>
    <s v="Placer County"/>
    <n v="1"/>
    <n v="5"/>
    <x v="1"/>
  </r>
  <r>
    <s v="TX500620"/>
    <s v="Casual Dresses"/>
    <n v="6"/>
    <n v="51.1"/>
    <n v="306.60000000000002"/>
    <d v="2025-01-27T00:00:00"/>
    <d v="2025-01-27T00:00:00"/>
    <s v="M"/>
    <x v="1"/>
    <n v="5"/>
    <s v="California"/>
    <s v="Placer County"/>
    <n v="0"/>
    <n v="5"/>
    <x v="1"/>
  </r>
  <r>
    <s v="TX500621"/>
    <s v="Tank Tops"/>
    <n v="1"/>
    <n v="105.4"/>
    <n v="105.4"/>
    <d v="2025-01-27T00:00:00"/>
    <d v="2025-01-31T00:00:00"/>
    <s v="F"/>
    <x v="1"/>
    <n v="5"/>
    <s v="California"/>
    <s v="Riverside County"/>
    <n v="4"/>
    <n v="5"/>
    <x v="2"/>
  </r>
  <r>
    <s v="TX500622"/>
    <s v="Hoodies &amp; Sweatshirts"/>
    <n v="1"/>
    <n v="57.7"/>
    <n v="57.7"/>
    <d v="2025-01-27T00:00:00"/>
    <d v="2025-01-27T00:00:00"/>
    <s v="M"/>
    <x v="0"/>
    <n v="2"/>
    <s v="California"/>
    <s v="San Diego County"/>
    <n v="0"/>
    <n v="5"/>
    <x v="1"/>
  </r>
  <r>
    <s v="TX500623"/>
    <s v="Crop Tops"/>
    <n v="2"/>
    <n v="72.400000000000006"/>
    <n v="144.80000000000001"/>
    <d v="2025-01-27T00:00:00"/>
    <d v="2025-02-01T00:00:00"/>
    <s v="F"/>
    <x v="0"/>
    <n v="4"/>
    <s v="California"/>
    <s v="San Francisco"/>
    <n v="5"/>
    <n v="5"/>
    <x v="2"/>
  </r>
  <r>
    <s v="TX500624"/>
    <s v="Jeans"/>
    <n v="2"/>
    <n v="62.5"/>
    <n v="125"/>
    <d v="2025-01-27T00:00:00"/>
    <d v="2025-01-28T00:00:00"/>
    <s v=""/>
    <x v="0"/>
    <n v="5"/>
    <s v="California"/>
    <s v="Santa Clara County"/>
    <n v="1"/>
    <n v="5"/>
    <x v="0"/>
  </r>
  <r>
    <s v="TX500625"/>
    <s v="Shorts"/>
    <n v="22"/>
    <n v="11.6"/>
    <n v="255.2"/>
    <d v="2025-01-27T00:00:00"/>
    <d v="2025-01-29T00:00:00"/>
    <s v="F"/>
    <x v="3"/>
    <n v="5"/>
    <s v="California"/>
    <s v="Sonoma County"/>
    <n v="2"/>
    <n v="5"/>
    <x v="2"/>
  </r>
  <r>
    <s v="TX500626"/>
    <s v="Bikinis"/>
    <n v="10"/>
    <n v="39.6"/>
    <n v="396"/>
    <d v="2025-01-27T00:00:00"/>
    <d v="2025-01-29T00:00:00"/>
    <s v="F"/>
    <x v="2"/>
    <n v="5"/>
    <s v="California"/>
    <s v="Sonoma County"/>
    <n v="2"/>
    <n v="5"/>
    <x v="2"/>
  </r>
  <r>
    <s v="TX500627"/>
    <s v="T-Shirts"/>
    <n v="2"/>
    <n v="40.1"/>
    <n v="80.2"/>
    <d v="2025-01-27T00:00:00"/>
    <d v="2025-01-28T00:00:00"/>
    <s v="F"/>
    <x v="2"/>
    <n v="4"/>
    <s v="California"/>
    <s v="Sonoma County"/>
    <n v="1"/>
    <n v="5"/>
    <x v="2"/>
  </r>
  <r>
    <s v="TX500628"/>
    <s v="T-Shirts"/>
    <n v="3"/>
    <n v="18.600000000000001"/>
    <n v="55.800000000000004"/>
    <d v="2025-01-27T00:00:00"/>
    <d v="2025-01-28T00:00:00"/>
    <s v="F"/>
    <x v="2"/>
    <n v="4"/>
    <s v="California"/>
    <s v="Alameda County"/>
    <n v="1"/>
    <n v="5"/>
    <x v="2"/>
  </r>
  <r>
    <s v="TX500629"/>
    <s v="Graphic Tees"/>
    <n v="1"/>
    <n v="58.8"/>
    <n v="58.8"/>
    <d v="2025-01-27T00:00:00"/>
    <d v="2025-01-29T00:00:00"/>
    <s v="F"/>
    <x v="0"/>
    <n v="3"/>
    <s v="California"/>
    <s v="Alameda County"/>
    <n v="2"/>
    <n v="5"/>
    <x v="2"/>
  </r>
  <r>
    <s v="TX500630"/>
    <s v="T-Shirts"/>
    <n v="2"/>
    <n v="22.1"/>
    <n v="44.2"/>
    <d v="2025-01-27T00:00:00"/>
    <d v="2025-01-30T00:00:00"/>
    <s v="M"/>
    <x v="1"/>
    <n v="5"/>
    <s v="California"/>
    <s v="Alameda County"/>
    <n v="3"/>
    <n v="5"/>
    <x v="1"/>
  </r>
  <r>
    <s v="TX500631"/>
    <s v="Sneakers"/>
    <n v="1"/>
    <n v="114.9"/>
    <n v="114.9"/>
    <d v="2025-01-28T00:00:00"/>
    <d v="2025-01-29T00:00:00"/>
    <s v="F"/>
    <x v="1"/>
    <n v="3"/>
    <s v="California"/>
    <s v="Kern County"/>
    <n v="1"/>
    <n v="5"/>
    <x v="2"/>
  </r>
  <r>
    <s v="TX500632"/>
    <s v="Sundresses"/>
    <n v="5"/>
    <n v="75.8"/>
    <n v="379"/>
    <d v="2025-01-28T00:00:00"/>
    <d v="2025-01-29T00:00:00"/>
    <s v="M"/>
    <x v="0"/>
    <n v="5"/>
    <s v="California"/>
    <s v="Los Angeles County"/>
    <n v="1"/>
    <n v="5"/>
    <x v="1"/>
  </r>
  <r>
    <s v="TX500633"/>
    <s v="Baseball Caps"/>
    <n v="5"/>
    <n v="20.6"/>
    <n v="103"/>
    <d v="2025-01-28T00:00:00"/>
    <d v="2025-01-29T00:00:00"/>
    <s v="M"/>
    <x v="2"/>
    <n v="5"/>
    <s v="California"/>
    <s v="Los Angeles County"/>
    <n v="1"/>
    <n v="5"/>
    <x v="1"/>
  </r>
  <r>
    <s v="TX500634"/>
    <s v="Pajama Sets"/>
    <n v="3"/>
    <n v="67.900000000000006"/>
    <n v="203.70000000000002"/>
    <d v="2025-01-28T00:00:00"/>
    <d v="2025-01-29T00:00:00"/>
    <s v="F"/>
    <x v="1"/>
    <n v="3"/>
    <s v="California"/>
    <s v="Los Angeles County"/>
    <n v="1"/>
    <n v="5"/>
    <x v="2"/>
  </r>
  <r>
    <s v="TX500635"/>
    <s v="Shorts"/>
    <n v="5"/>
    <n v="27"/>
    <n v="135"/>
    <d v="2025-01-28T00:00:00"/>
    <d v="2025-02-04T00:00:00"/>
    <s v="F"/>
    <x v="0"/>
    <n v="5"/>
    <s v="California"/>
    <s v="Los Angeles County"/>
    <n v="7"/>
    <n v="5"/>
    <x v="2"/>
  </r>
  <r>
    <s v="TX500636"/>
    <s v="Tote Bags"/>
    <n v="1"/>
    <n v="50.6"/>
    <n v="50.6"/>
    <d v="2025-01-28T00:00:00"/>
    <d v="2025-01-28T00:00:00"/>
    <s v="M"/>
    <x v="0"/>
    <n v="3"/>
    <s v="California"/>
    <s v="Los Angeles County"/>
    <n v="0"/>
    <n v="5"/>
    <x v="1"/>
  </r>
  <r>
    <s v="TX500637"/>
    <s v="Graphic Tees"/>
    <n v="5"/>
    <n v="22.1"/>
    <n v="110.5"/>
    <d v="2025-01-28T00:00:00"/>
    <d v="2025-02-02T00:00:00"/>
    <s v="M"/>
    <x v="0"/>
    <n v="4"/>
    <s v="California"/>
    <s v="Los Angeles County"/>
    <n v="5"/>
    <n v="5"/>
    <x v="1"/>
  </r>
  <r>
    <s v="TX500638"/>
    <s v="T-Shirts"/>
    <n v="3"/>
    <n v="42.9"/>
    <n v="128.69999999999999"/>
    <d v="2025-01-28T00:00:00"/>
    <d v="2025-01-30T00:00:00"/>
    <s v="F"/>
    <x v="0"/>
    <n v="4"/>
    <s v="California"/>
    <s v="Los Angeles County"/>
    <n v="2"/>
    <n v="5"/>
    <x v="2"/>
  </r>
  <r>
    <s v="TX500639"/>
    <s v="Tank Tops"/>
    <n v="11"/>
    <n v="62.4"/>
    <n v="686.4"/>
    <d v="2025-01-28T00:00:00"/>
    <d v="2025-01-30T00:00:00"/>
    <s v="F"/>
    <x v="2"/>
    <n v="4"/>
    <s v="California"/>
    <s v="Los Angeles County"/>
    <n v="2"/>
    <n v="5"/>
    <x v="2"/>
  </r>
  <r>
    <s v="TX500640"/>
    <s v="Tote Bags"/>
    <n v="9"/>
    <n v="36.4"/>
    <n v="327.59999999999997"/>
    <d v="2025-01-28T00:00:00"/>
    <d v="2025-01-30T00:00:00"/>
    <s v="F"/>
    <x v="0"/>
    <n v="5"/>
    <s v="California"/>
    <s v="Los Angeles County"/>
    <n v="2"/>
    <n v="5"/>
    <x v="2"/>
  </r>
  <r>
    <s v="TX500641"/>
    <s v="Shorts"/>
    <n v="2"/>
    <n v="22.5"/>
    <n v="45"/>
    <d v="2025-01-28T00:00:00"/>
    <d v="2025-01-31T00:00:00"/>
    <s v="M"/>
    <x v="0"/>
    <n v="4"/>
    <s v="California"/>
    <s v="Los Angeles County"/>
    <n v="3"/>
    <n v="5"/>
    <x v="1"/>
  </r>
  <r>
    <s v="TX500642"/>
    <s v="Jeans"/>
    <n v="4"/>
    <n v="70.8"/>
    <n v="283.2"/>
    <d v="2025-01-28T00:00:00"/>
    <d v="2025-01-30T00:00:00"/>
    <s v="F"/>
    <x v="4"/>
    <n v="4"/>
    <s v="California"/>
    <s v="Los Angeles County"/>
    <n v="2"/>
    <n v="5"/>
    <x v="2"/>
  </r>
  <r>
    <s v="TX500643"/>
    <s v="Jeans"/>
    <n v="5"/>
    <n v="56.6"/>
    <n v="283"/>
    <d v="2025-01-28T00:00:00"/>
    <d v="2025-01-30T00:00:00"/>
    <s v="M"/>
    <x v="0"/>
    <n v="3"/>
    <s v="California"/>
    <s v="Nevada County"/>
    <n v="2"/>
    <n v="5"/>
    <x v="1"/>
  </r>
  <r>
    <s v="TX500644"/>
    <s v="Jeans"/>
    <n v="2"/>
    <n v="47.9"/>
    <n v="95.8"/>
    <d v="2025-01-28T00:00:00"/>
    <d v="2025-01-29T00:00:00"/>
    <s v="F"/>
    <x v="0"/>
    <n v="4"/>
    <s v="California"/>
    <s v="Sacramento County"/>
    <n v="1"/>
    <n v="5"/>
    <x v="2"/>
  </r>
  <r>
    <s v="TX500645"/>
    <s v="Jeans"/>
    <n v="8"/>
    <n v="78.400000000000006"/>
    <n v="627.20000000000005"/>
    <d v="2025-01-28T00:00:00"/>
    <d v="2025-01-30T00:00:00"/>
    <s v="F"/>
    <x v="1"/>
    <n v="4"/>
    <s v="California"/>
    <s v="Sacramento County"/>
    <n v="2"/>
    <n v="5"/>
    <x v="2"/>
  </r>
  <r>
    <s v="TX500646"/>
    <s v="Sneakers"/>
    <n v="14"/>
    <n v="122.1"/>
    <n v="1709.3999999999999"/>
    <d v="2025-01-28T00:00:00"/>
    <d v="2025-02-02T00:00:00"/>
    <s v="F"/>
    <x v="0"/>
    <n v="5"/>
    <s v="California"/>
    <s v="Sacramento County"/>
    <n v="5"/>
    <n v="5"/>
    <x v="2"/>
  </r>
  <r>
    <s v="TX500647"/>
    <s v="Sneakers"/>
    <n v="2"/>
    <n v="83.7"/>
    <n v="167.4"/>
    <d v="2025-01-29T00:00:00"/>
    <d v="2025-01-29T00:00:00"/>
    <s v=""/>
    <x v="1"/>
    <n v="5"/>
    <s v="California"/>
    <s v="San Bernardino County"/>
    <n v="0"/>
    <n v="5"/>
    <x v="0"/>
  </r>
  <r>
    <s v="TX500648"/>
    <s v="Workout Tops"/>
    <n v="4"/>
    <n v="97.9"/>
    <n v="391.6"/>
    <d v="2025-01-29T00:00:00"/>
    <d v="2025-02-02T00:00:00"/>
    <s v="F"/>
    <x v="3"/>
    <n v="5"/>
    <s v="California"/>
    <s v="San Bernardino County"/>
    <n v="4"/>
    <n v="5"/>
    <x v="2"/>
  </r>
  <r>
    <s v="TX500649"/>
    <s v="Baseball Caps"/>
    <n v="1"/>
    <n v="15"/>
    <n v="15"/>
    <d v="2025-01-29T00:00:00"/>
    <d v="2025-02-03T00:00:00"/>
    <s v="F"/>
    <x v="3"/>
    <n v="4"/>
    <s v="California"/>
    <s v="San Diego County"/>
    <n v="5"/>
    <n v="5"/>
    <x v="2"/>
  </r>
  <r>
    <s v="TX500650"/>
    <s v="Casual Dresses"/>
    <n v="3"/>
    <n v="94.6"/>
    <n v="283.79999999999995"/>
    <d v="2025-01-29T00:00:00"/>
    <d v="2025-01-30T00:00:00"/>
    <s v="M"/>
    <x v="2"/>
    <n v="3"/>
    <s v="California"/>
    <s v="San Diego County"/>
    <n v="1"/>
    <n v="5"/>
    <x v="1"/>
  </r>
  <r>
    <s v="TX500651"/>
    <s v="Shorts"/>
    <n v="6"/>
    <n v="19.7"/>
    <n v="118.19999999999999"/>
    <d v="2025-01-29T00:00:00"/>
    <d v="2025-02-09T00:00:00"/>
    <s v="F"/>
    <x v="0"/>
    <n v="5"/>
    <s v="California"/>
    <s v="San Diego County"/>
    <n v="11"/>
    <n v="5"/>
    <x v="2"/>
  </r>
  <r>
    <s v="TX500652"/>
    <s v="Hoodies &amp; Sweatshirts"/>
    <n v="1"/>
    <n v="46.7"/>
    <n v="46.7"/>
    <d v="2025-01-29T00:00:00"/>
    <d v="2025-02-01T00:00:00"/>
    <s v="F"/>
    <x v="2"/>
    <n v="4"/>
    <s v="California"/>
    <s v="San Francisco"/>
    <n v="3"/>
    <n v="5"/>
    <x v="2"/>
  </r>
  <r>
    <s v="TX500653"/>
    <s v="Tank Tops"/>
    <n v="4"/>
    <n v="43"/>
    <n v="172"/>
    <d v="2025-01-29T00:00:00"/>
    <d v="2025-01-30T00:00:00"/>
    <s v="M"/>
    <x v="2"/>
    <n v="5"/>
    <s v="California"/>
    <s v="San Francisco"/>
    <n v="1"/>
    <n v="5"/>
    <x v="1"/>
  </r>
  <r>
    <s v="TX500654"/>
    <s v="Jeans"/>
    <n v="3"/>
    <n v="68.2"/>
    <n v="204.60000000000002"/>
    <d v="2025-01-29T00:00:00"/>
    <d v="2025-02-04T00:00:00"/>
    <s v="F"/>
    <x v="0"/>
    <n v="4"/>
    <s v="California"/>
    <s v="San Mateo County"/>
    <n v="6"/>
    <n v="5"/>
    <x v="2"/>
  </r>
  <r>
    <s v="TX500655"/>
    <s v="Bikinis"/>
    <n v="10"/>
    <n v="24.3"/>
    <n v="243"/>
    <d v="2025-01-29T00:00:00"/>
    <d v="2025-01-30T00:00:00"/>
    <s v="M"/>
    <x v="0"/>
    <n v="5"/>
    <s v="California"/>
    <s v="Santa Barbara County"/>
    <n v="1"/>
    <n v="5"/>
    <x v="1"/>
  </r>
  <r>
    <s v="TX500656"/>
    <s v="Hoodies &amp; Sweatshirts"/>
    <n v="2"/>
    <n v="86.8"/>
    <n v="173.6"/>
    <d v="2025-01-29T00:00:00"/>
    <d v="2025-02-02T00:00:00"/>
    <s v="F"/>
    <x v="4"/>
    <n v="5"/>
    <s v="California"/>
    <s v="Santa Clara County"/>
    <n v="4"/>
    <n v="5"/>
    <x v="2"/>
  </r>
  <r>
    <s v="TX500657"/>
    <s v="Shorts"/>
    <n v="2"/>
    <n v="15.8"/>
    <n v="31.6"/>
    <d v="2025-01-29T00:00:00"/>
    <d v="2025-01-31T00:00:00"/>
    <s v="M"/>
    <x v="1"/>
    <n v="4"/>
    <s v="California"/>
    <s v="Santa Clara County"/>
    <n v="2"/>
    <n v="5"/>
    <x v="1"/>
  </r>
  <r>
    <s v="TX500658"/>
    <s v="Sneakers"/>
    <n v="4"/>
    <n v="61.6"/>
    <n v="246.4"/>
    <d v="2025-01-29T00:00:00"/>
    <d v="2025-01-30T00:00:00"/>
    <s v="M"/>
    <x v="2"/>
    <n v="4"/>
    <s v="California"/>
    <s v="Santa Clara County"/>
    <n v="1"/>
    <n v="5"/>
    <x v="1"/>
  </r>
  <r>
    <s v="TX500659"/>
    <s v="Jeans"/>
    <n v="3"/>
    <n v="48.7"/>
    <n v="146.10000000000002"/>
    <d v="2025-01-29T00:00:00"/>
    <d v="2025-02-04T00:00:00"/>
    <s v="F"/>
    <x v="1"/>
    <n v="5"/>
    <s v="California"/>
    <s v="Trinity County"/>
    <n v="6"/>
    <n v="5"/>
    <x v="2"/>
  </r>
  <r>
    <s v="TX500660"/>
    <s v="T-Shirts"/>
    <n v="4"/>
    <n v="24.3"/>
    <n v="97.2"/>
    <d v="2025-01-29T00:00:00"/>
    <d v="2025-01-31T00:00:00"/>
    <s v="F"/>
    <x v="1"/>
    <n v="5"/>
    <s v="California"/>
    <s v="Alameda County"/>
    <n v="2"/>
    <n v="5"/>
    <x v="2"/>
  </r>
  <r>
    <s v="TX500661"/>
    <s v="Sneakers"/>
    <n v="2"/>
    <n v="130.69999999999999"/>
    <n v="261.39999999999998"/>
    <d v="2025-01-29T00:00:00"/>
    <d v="2025-01-30T00:00:00"/>
    <s v="F"/>
    <x v="2"/>
    <n v="4"/>
    <s v="California"/>
    <s v="Humboldt County"/>
    <n v="1"/>
    <n v="5"/>
    <x v="2"/>
  </r>
  <r>
    <s v="TX500662"/>
    <s v="Bikinis"/>
    <n v="1"/>
    <n v="26"/>
    <n v="26"/>
    <d v="2025-01-29T00:00:00"/>
    <d v="2025-01-31T00:00:00"/>
    <s v="M"/>
    <x v="0"/>
    <n v="4"/>
    <s v="California"/>
    <s v="Los Angeles County"/>
    <n v="2"/>
    <n v="5"/>
    <x v="1"/>
  </r>
  <r>
    <s v="TX500663"/>
    <s v="Sneakers"/>
    <n v="5"/>
    <n v="94.4"/>
    <n v="472"/>
    <d v="2025-01-29T00:00:00"/>
    <d v="2025-01-30T00:00:00"/>
    <s v="F"/>
    <x v="0"/>
    <n v="4"/>
    <s v="California"/>
    <s v="Los Angeles County"/>
    <n v="1"/>
    <n v="5"/>
    <x v="2"/>
  </r>
  <r>
    <s v="TX500664"/>
    <s v="Shorts"/>
    <n v="6"/>
    <n v="23.7"/>
    <n v="142.19999999999999"/>
    <d v="2025-01-29T00:00:00"/>
    <d v="2025-01-31T00:00:00"/>
    <s v="M"/>
    <x v="2"/>
    <n v="5"/>
    <s v="California"/>
    <s v="Los Angeles County"/>
    <n v="2"/>
    <n v="5"/>
    <x v="1"/>
  </r>
  <r>
    <s v="TX500665"/>
    <s v="Sundresses"/>
    <n v="12"/>
    <n v="37.4"/>
    <n v="448.79999999999995"/>
    <d v="2025-01-29T00:00:00"/>
    <d v="2025-01-31T00:00:00"/>
    <s v="M"/>
    <x v="2"/>
    <n v="4"/>
    <s v="California"/>
    <s v="Los Angeles County"/>
    <n v="2"/>
    <n v="5"/>
    <x v="1"/>
  </r>
  <r>
    <s v="TX500666"/>
    <s v="Tank Tops"/>
    <n v="36"/>
    <n v="55.2"/>
    <n v="1987.2"/>
    <d v="2025-01-29T00:00:00"/>
    <d v="2025-01-29T00:00:00"/>
    <s v="F"/>
    <x v="3"/>
    <n v="3"/>
    <s v="California"/>
    <s v="Los Angeles County"/>
    <n v="0"/>
    <n v="5"/>
    <x v="2"/>
  </r>
  <r>
    <s v="TX500667"/>
    <s v="Sneakers"/>
    <n v="9"/>
    <n v="57.1"/>
    <n v="513.9"/>
    <d v="2025-01-29T00:00:00"/>
    <d v="2025-01-31T00:00:00"/>
    <s v="M"/>
    <x v="0"/>
    <n v="5"/>
    <s v="California"/>
    <s v="Los Angeles County"/>
    <n v="2"/>
    <n v="5"/>
    <x v="1"/>
  </r>
  <r>
    <s v="TX500668"/>
    <s v="Casual Dresses"/>
    <n v="1"/>
    <n v="55.3"/>
    <n v="55.3"/>
    <d v="2025-01-29T00:00:00"/>
    <d v="2025-01-30T00:00:00"/>
    <s v="F"/>
    <x v="2"/>
    <n v="5"/>
    <s v="California"/>
    <s v="Los Angeles County"/>
    <n v="1"/>
    <n v="5"/>
    <x v="2"/>
  </r>
  <r>
    <s v="TX500669"/>
    <s v="Crop Tops"/>
    <n v="7"/>
    <n v="23.9"/>
    <n v="167.29999999999998"/>
    <d v="2025-01-29T00:00:00"/>
    <d v="2025-01-30T00:00:00"/>
    <s v="F"/>
    <x v="4"/>
    <n v="3"/>
    <s v="California"/>
    <s v="Los Angeles County"/>
    <n v="1"/>
    <n v="5"/>
    <x v="2"/>
  </r>
  <r>
    <s v="TX500670"/>
    <s v="Shorts"/>
    <n v="1"/>
    <n v="34.1"/>
    <n v="34.1"/>
    <d v="2025-01-29T00:00:00"/>
    <d v="2025-02-05T00:00:00"/>
    <s v="F"/>
    <x v="2"/>
    <n v="4"/>
    <s v="California"/>
    <s v="Los Angeles County"/>
    <n v="7"/>
    <n v="5"/>
    <x v="2"/>
  </r>
  <r>
    <s v="TX500671"/>
    <s v="Casual Dresses"/>
    <n v="4"/>
    <n v="38.5"/>
    <n v="154"/>
    <d v="2025-01-29T00:00:00"/>
    <d v="2025-02-09T00:00:00"/>
    <s v="F"/>
    <x v="0"/>
    <n v="4"/>
    <s v="California"/>
    <s v="Los Angeles County"/>
    <n v="11"/>
    <n v="5"/>
    <x v="2"/>
  </r>
  <r>
    <s v="TX500672"/>
    <s v="Hoodies &amp; Sweatshirts"/>
    <n v="2"/>
    <n v="105"/>
    <n v="210"/>
    <d v="2025-01-29T00:00:00"/>
    <d v="2025-02-04T00:00:00"/>
    <s v="F"/>
    <x v="0"/>
    <n v="5"/>
    <s v="California"/>
    <s v="Los Angeles County"/>
    <n v="6"/>
    <n v="5"/>
    <x v="2"/>
  </r>
  <r>
    <s v="TX500673"/>
    <s v="T-Shirts"/>
    <n v="5"/>
    <n v="45.2"/>
    <n v="226"/>
    <d v="2025-01-29T00:00:00"/>
    <d v="2025-01-31T00:00:00"/>
    <s v="F"/>
    <x v="0"/>
    <n v="5"/>
    <s v="California"/>
    <s v="Los Angeles County"/>
    <n v="2"/>
    <n v="5"/>
    <x v="2"/>
  </r>
  <r>
    <s v="TX500674"/>
    <s v="Pajama Sets"/>
    <n v="3"/>
    <n v="24.8"/>
    <n v="74.400000000000006"/>
    <d v="2025-01-29T00:00:00"/>
    <d v="2025-01-29T00:00:00"/>
    <s v=""/>
    <x v="0"/>
    <n v="3"/>
    <s v="California"/>
    <s v="Los Angeles County"/>
    <n v="0"/>
    <n v="5"/>
    <x v="0"/>
  </r>
  <r>
    <s v="TX500675"/>
    <s v="Maxi Dresses"/>
    <n v="4"/>
    <n v="43.8"/>
    <n v="175.2"/>
    <d v="2025-01-29T00:00:00"/>
    <d v="2025-02-05T00:00:00"/>
    <s v="F"/>
    <x v="1"/>
    <n v="5"/>
    <s v="California"/>
    <s v="Sacramento County"/>
    <n v="7"/>
    <n v="5"/>
    <x v="2"/>
  </r>
  <r>
    <s v="TX500676"/>
    <s v="Tank Tops"/>
    <n v="1"/>
    <n v="75"/>
    <n v="75"/>
    <d v="2025-01-29T00:00:00"/>
    <d v="2025-01-31T00:00:00"/>
    <s v="F"/>
    <x v="4"/>
    <n v="3"/>
    <s v="California"/>
    <s v="Sacramento County"/>
    <n v="2"/>
    <n v="5"/>
    <x v="2"/>
  </r>
  <r>
    <s v="TX500677"/>
    <s v="Sneakers"/>
    <n v="1"/>
    <n v="169.9"/>
    <n v="169.9"/>
    <d v="2025-01-29T00:00:00"/>
    <d v="2025-01-30T00:00:00"/>
    <s v="M"/>
    <x v="2"/>
    <n v="4"/>
    <s v="California"/>
    <s v="Sacramento County"/>
    <n v="1"/>
    <n v="5"/>
    <x v="1"/>
  </r>
  <r>
    <s v="TX500678"/>
    <s v="Sundresses"/>
    <n v="2"/>
    <n v="72.2"/>
    <n v="144.4"/>
    <d v="2025-01-29T00:00:00"/>
    <d v="2025-01-31T00:00:00"/>
    <s v="F"/>
    <x v="4"/>
    <n v="3"/>
    <s v="California"/>
    <s v="Sacramento County"/>
    <n v="2"/>
    <n v="5"/>
    <x v="2"/>
  </r>
  <r>
    <s v="TX500679"/>
    <s v="Shorts"/>
    <n v="1"/>
    <n v="20"/>
    <n v="20"/>
    <d v="2025-01-30T00:00:00"/>
    <d v="2025-02-02T00:00:00"/>
    <s v="F"/>
    <x v="2"/>
    <n v="3"/>
    <s v="California"/>
    <s v="San Bernardino County"/>
    <n v="3"/>
    <n v="5"/>
    <x v="2"/>
  </r>
  <r>
    <s v="TX500680"/>
    <s v="Sundresses"/>
    <n v="2"/>
    <n v="40.799999999999997"/>
    <n v="81.599999999999994"/>
    <d v="2025-01-30T00:00:00"/>
    <d v="2025-02-01T00:00:00"/>
    <s v="F"/>
    <x v="3"/>
    <n v="5"/>
    <s v="California"/>
    <s v="San Diego County"/>
    <n v="2"/>
    <n v="5"/>
    <x v="2"/>
  </r>
  <r>
    <s v="TX500681"/>
    <s v="Bikinis"/>
    <n v="4"/>
    <n v="58"/>
    <n v="232"/>
    <d v="2025-01-30T00:00:00"/>
    <d v="2025-02-03T00:00:00"/>
    <s v="F"/>
    <x v="0"/>
    <n v="4"/>
    <s v="California"/>
    <s v="San Diego County"/>
    <n v="4"/>
    <n v="5"/>
    <x v="2"/>
  </r>
  <r>
    <s v="TX500682"/>
    <s v="Casual Dresses"/>
    <n v="2"/>
    <n v="43.1"/>
    <n v="86.2"/>
    <d v="2025-01-30T00:00:00"/>
    <d v="2025-01-31T00:00:00"/>
    <s v="F"/>
    <x v="1"/>
    <n v="5"/>
    <s v="California"/>
    <s v="San Diego County"/>
    <n v="1"/>
    <n v="5"/>
    <x v="2"/>
  </r>
  <r>
    <s v="TX500683"/>
    <s v="Jeans"/>
    <n v="9"/>
    <n v="74.7"/>
    <n v="672.30000000000007"/>
    <d v="2025-01-30T00:00:00"/>
    <d v="2025-02-01T00:00:00"/>
    <s v="M"/>
    <x v="0"/>
    <n v="5"/>
    <s v="California"/>
    <s v="San Diego County"/>
    <n v="2"/>
    <n v="5"/>
    <x v="1"/>
  </r>
  <r>
    <s v="TX500684"/>
    <s v="Jeans"/>
    <n v="1"/>
    <n v="128.19999999999999"/>
    <n v="128.19999999999999"/>
    <d v="2025-01-30T00:00:00"/>
    <d v="2025-01-30T00:00:00"/>
    <s v="M"/>
    <x v="1"/>
    <n v="4"/>
    <s v="California"/>
    <s v="San Diego County"/>
    <n v="0"/>
    <n v="5"/>
    <x v="1"/>
  </r>
  <r>
    <s v="TX500685"/>
    <s v="Baseball Caps"/>
    <n v="4"/>
    <n v="26.7"/>
    <n v="106.8"/>
    <d v="2025-01-30T00:00:00"/>
    <d v="2025-01-31T00:00:00"/>
    <s v="M"/>
    <x v="1"/>
    <n v="4"/>
    <s v="California"/>
    <s v="San Diego County"/>
    <n v="1"/>
    <n v="5"/>
    <x v="1"/>
  </r>
  <r>
    <s v="TX500686"/>
    <s v="Pajama Sets"/>
    <n v="6"/>
    <n v="31.5"/>
    <n v="189"/>
    <d v="2025-01-30T00:00:00"/>
    <d v="2025-01-31T00:00:00"/>
    <s v="F"/>
    <x v="2"/>
    <n v="4"/>
    <s v="California"/>
    <s v="San Francisco"/>
    <n v="1"/>
    <n v="5"/>
    <x v="2"/>
  </r>
  <r>
    <s v="TX500687"/>
    <s v="Workout Tops"/>
    <n v="7"/>
    <n v="64.7"/>
    <n v="452.90000000000003"/>
    <d v="2025-01-30T00:00:00"/>
    <d v="2025-01-31T00:00:00"/>
    <s v="F"/>
    <x v="0"/>
    <n v="5"/>
    <s v="California"/>
    <s v="San Mateo County"/>
    <n v="1"/>
    <n v="5"/>
    <x v="2"/>
  </r>
  <r>
    <s v="TX500688"/>
    <s v="Sandals"/>
    <n v="2"/>
    <n v="55.6"/>
    <n v="111.2"/>
    <d v="2025-01-30T00:00:00"/>
    <d v="2025-02-02T00:00:00"/>
    <s v="F"/>
    <x v="3"/>
    <n v="4"/>
    <s v="California"/>
    <s v="Santa Clara County"/>
    <n v="3"/>
    <n v="5"/>
    <x v="2"/>
  </r>
  <r>
    <s v="TX500689"/>
    <s v="Workout Tops"/>
    <n v="2"/>
    <n v="36.200000000000003"/>
    <n v="72.400000000000006"/>
    <d v="2025-01-30T00:00:00"/>
    <d v="2025-01-31T00:00:00"/>
    <s v="F"/>
    <x v="3"/>
    <n v="4"/>
    <s v="California"/>
    <s v="Santa Clara County"/>
    <n v="1"/>
    <n v="5"/>
    <x v="2"/>
  </r>
  <r>
    <s v="TX500690"/>
    <s v="Shorts"/>
    <n v="1"/>
    <n v="26.6"/>
    <n v="26.6"/>
    <d v="2025-01-30T00:00:00"/>
    <d v="2025-01-31T00:00:00"/>
    <s v=""/>
    <x v="1"/>
    <n v="3"/>
    <s v="California"/>
    <s v="Stanislaus County"/>
    <n v="1"/>
    <n v="5"/>
    <x v="0"/>
  </r>
  <r>
    <s v="TX500691"/>
    <s v="Bikinis"/>
    <n v="4"/>
    <n v="31.5"/>
    <n v="126"/>
    <d v="2025-01-30T00:00:00"/>
    <d v="2025-02-01T00:00:00"/>
    <s v="M"/>
    <x v="0"/>
    <n v="4"/>
    <s v="California"/>
    <s v="Sutter County"/>
    <n v="2"/>
    <n v="5"/>
    <x v="1"/>
  </r>
  <r>
    <s v="TX500692"/>
    <s v="Bikinis"/>
    <n v="1"/>
    <n v="27"/>
    <n v="27"/>
    <d v="2025-01-30T00:00:00"/>
    <d v="2025-02-01T00:00:00"/>
    <s v="F"/>
    <x v="1"/>
    <n v="5"/>
    <s v="California"/>
    <s v="Ventura County"/>
    <n v="2"/>
    <n v="5"/>
    <x v="2"/>
  </r>
  <r>
    <s v="TX500693"/>
    <s v="Graphic Tees"/>
    <n v="1"/>
    <n v="32"/>
    <n v="32"/>
    <d v="2025-01-30T00:00:00"/>
    <d v="2025-02-02T00:00:00"/>
    <s v="M"/>
    <x v="3"/>
    <n v="4"/>
    <s v="California"/>
    <s v="Alameda County"/>
    <n v="3"/>
    <n v="5"/>
    <x v="1"/>
  </r>
  <r>
    <s v="TX500694"/>
    <s v="Tank Tops"/>
    <n v="3"/>
    <n v="48.1"/>
    <n v="144.30000000000001"/>
    <d v="2025-01-30T00:00:00"/>
    <d v="2025-02-01T00:00:00"/>
    <s v="M"/>
    <x v="2"/>
    <n v="3"/>
    <s v="California"/>
    <s v="Contra Costa County"/>
    <n v="2"/>
    <n v="5"/>
    <x v="1"/>
  </r>
  <r>
    <s v="TX500695"/>
    <s v="Sundresses"/>
    <n v="2"/>
    <n v="43.4"/>
    <n v="86.8"/>
    <d v="2025-01-30T00:00:00"/>
    <d v="2025-01-31T00:00:00"/>
    <s v="M"/>
    <x v="1"/>
    <n v="3"/>
    <s v="California"/>
    <s v="Kern County"/>
    <n v="1"/>
    <n v="5"/>
    <x v="1"/>
  </r>
  <r>
    <s v="TX500696"/>
    <s v="Jeans"/>
    <n v="2"/>
    <n v="42.6"/>
    <n v="85.2"/>
    <d v="2025-01-30T00:00:00"/>
    <d v="2025-02-02T00:00:00"/>
    <s v="F"/>
    <x v="3"/>
    <n v="4"/>
    <s v="California"/>
    <s v="Kern County"/>
    <n v="3"/>
    <n v="5"/>
    <x v="2"/>
  </r>
  <r>
    <s v="TX500697"/>
    <s v="T-Shirts"/>
    <n v="2"/>
    <n v="15.9"/>
    <n v="31.8"/>
    <d v="2025-01-30T00:00:00"/>
    <d v="2025-01-31T00:00:00"/>
    <s v="F"/>
    <x v="0"/>
    <n v="4"/>
    <s v="California"/>
    <s v="Kings County"/>
    <n v="1"/>
    <n v="5"/>
    <x v="2"/>
  </r>
  <r>
    <s v="TX500698"/>
    <s v="Sundresses"/>
    <n v="2"/>
    <n v="63.2"/>
    <n v="126.4"/>
    <d v="2025-01-30T00:00:00"/>
    <d v="2025-01-31T00:00:00"/>
    <s v="M"/>
    <x v="1"/>
    <n v="4"/>
    <s v="California"/>
    <s v="Los Angeles County"/>
    <n v="1"/>
    <n v="5"/>
    <x v="1"/>
  </r>
  <r>
    <s v="TX500699"/>
    <s v="Hoodies &amp; Sweatshirts"/>
    <n v="4"/>
    <n v="64.8"/>
    <n v="259.2"/>
    <d v="2025-01-30T00:00:00"/>
    <d v="2025-02-01T00:00:00"/>
    <s v=""/>
    <x v="4"/>
    <n v="3"/>
    <s v="California"/>
    <s v="Los Angeles County"/>
    <n v="2"/>
    <n v="5"/>
    <x v="0"/>
  </r>
  <r>
    <s v="TX500700"/>
    <s v="Hoodies &amp; Sweatshirts"/>
    <n v="3"/>
    <n v="79.8"/>
    <n v="239.39999999999998"/>
    <d v="2025-01-30T00:00:00"/>
    <d v="2025-01-31T00:00:00"/>
    <s v="M"/>
    <x v="0"/>
    <n v="4"/>
    <s v="California"/>
    <s v="Los Angeles County"/>
    <n v="1"/>
    <n v="5"/>
    <x v="1"/>
  </r>
  <r>
    <s v="TX500701"/>
    <s v="Sundresses"/>
    <n v="1"/>
    <n v="54.4"/>
    <n v="54.4"/>
    <d v="2025-01-30T00:00:00"/>
    <d v="2025-02-01T00:00:00"/>
    <s v="F"/>
    <x v="4"/>
    <n v="5"/>
    <s v="California"/>
    <s v="Los Angeles County"/>
    <n v="2"/>
    <n v="5"/>
    <x v="2"/>
  </r>
  <r>
    <s v="TX500702"/>
    <s v="Jeans"/>
    <n v="1"/>
    <n v="87.3"/>
    <n v="87.3"/>
    <d v="2025-01-30T00:00:00"/>
    <d v="2025-01-31T00:00:00"/>
    <s v="M"/>
    <x v="1"/>
    <n v="4"/>
    <s v="California"/>
    <s v="Los Angeles County"/>
    <n v="1"/>
    <n v="5"/>
    <x v="1"/>
  </r>
  <r>
    <s v="TX500703"/>
    <s v="T-Shirts"/>
    <n v="4"/>
    <n v="32.4"/>
    <n v="129.6"/>
    <d v="2025-01-30T00:00:00"/>
    <d v="2025-01-30T00:00:00"/>
    <s v="M"/>
    <x v="1"/>
    <n v="4"/>
    <s v="California"/>
    <s v="Los Angeles County"/>
    <n v="0"/>
    <n v="5"/>
    <x v="1"/>
  </r>
  <r>
    <s v="TX500704"/>
    <s v="Sneakers"/>
    <n v="1"/>
    <n v="177.4"/>
    <n v="177.4"/>
    <d v="2025-01-30T00:00:00"/>
    <d v="2025-02-03T00:00:00"/>
    <s v="M"/>
    <x v="0"/>
    <n v="5"/>
    <s v="California"/>
    <s v="Los Angeles County"/>
    <n v="4"/>
    <n v="5"/>
    <x v="1"/>
  </r>
  <r>
    <s v="TX500705"/>
    <s v="Hoodies &amp; Sweatshirts"/>
    <n v="2"/>
    <n v="70.099999999999994"/>
    <n v="140.19999999999999"/>
    <d v="2025-01-30T00:00:00"/>
    <d v="2025-01-31T00:00:00"/>
    <s v="M"/>
    <x v="3"/>
    <n v="3"/>
    <s v="California"/>
    <s v="Los Angeles County"/>
    <n v="1"/>
    <n v="5"/>
    <x v="1"/>
  </r>
  <r>
    <s v="TX500706"/>
    <s v="Sundresses"/>
    <n v="6"/>
    <n v="51.1"/>
    <n v="306.60000000000002"/>
    <d v="2025-01-30T00:00:00"/>
    <d v="2025-01-31T00:00:00"/>
    <s v="F"/>
    <x v="0"/>
    <n v="4"/>
    <s v="California"/>
    <s v="Los Angeles County"/>
    <n v="1"/>
    <n v="5"/>
    <x v="2"/>
  </r>
  <r>
    <s v="TX500707"/>
    <s v="Sneakers"/>
    <n v="5"/>
    <n v="79.900000000000006"/>
    <n v="399.5"/>
    <d v="2025-01-30T00:00:00"/>
    <d v="2025-02-01T00:00:00"/>
    <s v="M"/>
    <x v="3"/>
    <n v="5"/>
    <s v="California"/>
    <s v="Merced County"/>
    <n v="2"/>
    <n v="5"/>
    <x v="1"/>
  </r>
  <r>
    <s v="TX500708"/>
    <s v="Jeans"/>
    <n v="1"/>
    <n v="57.6"/>
    <n v="57.6"/>
    <d v="2025-01-31T00:00:00"/>
    <d v="2025-02-05T00:00:00"/>
    <s v="M"/>
    <x v="0"/>
    <n v="5"/>
    <s v="California"/>
    <s v="Monterey County"/>
    <n v="5"/>
    <n v="5"/>
    <x v="1"/>
  </r>
  <r>
    <s v="TX500709"/>
    <s v="T-Shirts"/>
    <n v="10"/>
    <n v="59.7"/>
    <n v="597"/>
    <d v="2025-01-31T00:00:00"/>
    <d v="2025-02-04T00:00:00"/>
    <s v="M"/>
    <x v="2"/>
    <n v="4"/>
    <s v="California"/>
    <s v="Orange County"/>
    <n v="4"/>
    <n v="5"/>
    <x v="1"/>
  </r>
  <r>
    <s v="TX500710"/>
    <s v="T-Shirts"/>
    <n v="5"/>
    <n v="30"/>
    <n v="150"/>
    <d v="2025-01-31T00:00:00"/>
    <d v="2025-02-02T00:00:00"/>
    <s v="M"/>
    <x v="1"/>
    <n v="4"/>
    <s v="California"/>
    <s v="Sacramento County"/>
    <n v="2"/>
    <n v="5"/>
    <x v="1"/>
  </r>
  <r>
    <s v="TX500711"/>
    <s v="Bikinis"/>
    <n v="2"/>
    <n v="69.2"/>
    <n v="138.4"/>
    <d v="2025-01-31T00:00:00"/>
    <d v="2025-02-02T00:00:00"/>
    <s v=""/>
    <x v="2"/>
    <n v="3"/>
    <s v="California"/>
    <s v="Sacramento County"/>
    <n v="2"/>
    <n v="5"/>
    <x v="0"/>
  </r>
  <r>
    <s v="TX500712"/>
    <s v="Shorts"/>
    <n v="8"/>
    <n v="10.9"/>
    <n v="87.2"/>
    <d v="2025-01-31T00:00:00"/>
    <d v="2025-02-01T00:00:00"/>
    <s v="F"/>
    <x v="0"/>
    <n v="5"/>
    <s v="California"/>
    <s v="Sacramento County"/>
    <n v="1"/>
    <n v="5"/>
    <x v="2"/>
  </r>
  <r>
    <s v="TX500713"/>
    <s v="Sunglasses"/>
    <n v="2"/>
    <n v="48.6"/>
    <n v="97.2"/>
    <d v="2025-01-31T00:00:00"/>
    <d v="2025-02-04T00:00:00"/>
    <s v="M"/>
    <x v="1"/>
    <n v="5"/>
    <s v="California"/>
    <s v="Sacramento County"/>
    <n v="4"/>
    <n v="5"/>
    <x v="1"/>
  </r>
  <r>
    <s v="TX500714"/>
    <s v="Sneakers"/>
    <n v="2"/>
    <n v="61.1"/>
    <n v="122.2"/>
    <d v="2025-01-31T00:00:00"/>
    <d v="2025-02-03T00:00:00"/>
    <s v="F"/>
    <x v="1"/>
    <n v="5"/>
    <s v="California"/>
    <s v="San Bernardino County"/>
    <n v="3"/>
    <n v="5"/>
    <x v="2"/>
  </r>
  <r>
    <s v="TX500715"/>
    <s v="T-Shirts"/>
    <n v="2"/>
    <n v="23.2"/>
    <n v="46.4"/>
    <d v="2025-01-31T00:00:00"/>
    <d v="2025-02-01T00:00:00"/>
    <s v="M"/>
    <x v="3"/>
    <n v="5"/>
    <s v="California"/>
    <s v="San Diego County"/>
    <n v="1"/>
    <n v="5"/>
    <x v="1"/>
  </r>
  <r>
    <s v="TX500716"/>
    <s v="Casual Dresses"/>
    <n v="4"/>
    <n v="55.8"/>
    <n v="223.2"/>
    <d v="2025-01-31T00:00:00"/>
    <d v="2025-02-01T00:00:00"/>
    <s v="M"/>
    <x v="0"/>
    <n v="4"/>
    <s v="California"/>
    <s v="San Diego County"/>
    <n v="1"/>
    <n v="5"/>
    <x v="1"/>
  </r>
  <r>
    <s v="TX500717"/>
    <s v="Sundresses"/>
    <n v="4"/>
    <n v="24.8"/>
    <n v="99.2"/>
    <d v="2025-01-31T00:00:00"/>
    <d v="2025-02-01T00:00:00"/>
    <s v="F"/>
    <x v="0"/>
    <n v="5"/>
    <s v="California"/>
    <s v="San Diego County"/>
    <n v="1"/>
    <n v="5"/>
    <x v="2"/>
  </r>
  <r>
    <s v="TX500718"/>
    <s v="Bikinis"/>
    <n v="2"/>
    <n v="27.9"/>
    <n v="55.8"/>
    <d v="2025-01-31T00:00:00"/>
    <d v="2025-01-31T00:00:00"/>
    <s v="M"/>
    <x v="2"/>
    <n v="5"/>
    <s v="California"/>
    <s v="San Diego County"/>
    <n v="0"/>
    <n v="5"/>
    <x v="1"/>
  </r>
  <r>
    <s v="TX500719"/>
    <s v="Bikinis"/>
    <n v="6"/>
    <n v="51.1"/>
    <n v="306.60000000000002"/>
    <d v="2025-01-31T00:00:00"/>
    <d v="2025-01-31T00:00:00"/>
    <s v="F"/>
    <x v="3"/>
    <n v="4"/>
    <s v="California"/>
    <s v="San Diego County"/>
    <n v="0"/>
    <n v="5"/>
    <x v="2"/>
  </r>
  <r>
    <s v="TX500720"/>
    <s v="Pajama Sets"/>
    <n v="11"/>
    <n v="32.700000000000003"/>
    <n v="359.70000000000005"/>
    <d v="2025-01-31T00:00:00"/>
    <d v="2025-02-01T00:00:00"/>
    <s v="M"/>
    <x v="4"/>
    <n v="5"/>
    <s v="California"/>
    <s v="San Francisco"/>
    <n v="1"/>
    <n v="5"/>
    <x v="1"/>
  </r>
  <r>
    <s v="TX500721"/>
    <s v="T-Shirts"/>
    <n v="4"/>
    <n v="22.5"/>
    <n v="90"/>
    <d v="2025-01-31T00:00:00"/>
    <d v="2025-01-31T00:00:00"/>
    <s v="M"/>
    <x v="0"/>
    <n v="5"/>
    <s v="California"/>
    <s v="San Joaquin County"/>
    <n v="0"/>
    <n v="5"/>
    <x v="1"/>
  </r>
  <r>
    <s v="TX500722"/>
    <s v="Shorts"/>
    <n v="7"/>
    <n v="14.6"/>
    <n v="102.2"/>
    <d v="2025-01-31T00:00:00"/>
    <d v="2025-02-01T00:00:00"/>
    <s v="F"/>
    <x v="2"/>
    <n v="4"/>
    <s v="California"/>
    <s v="San Luis Obispo County"/>
    <n v="1"/>
    <n v="5"/>
    <x v="2"/>
  </r>
  <r>
    <s v="TX500723"/>
    <s v="Sandals"/>
    <n v="3"/>
    <n v="32.5"/>
    <n v="97.5"/>
    <d v="2025-01-31T00:00:00"/>
    <d v="2025-02-03T00:00:00"/>
    <s v="M"/>
    <x v="0"/>
    <n v="4"/>
    <s v="California"/>
    <s v="Santa Barbara County"/>
    <n v="3"/>
    <n v="5"/>
    <x v="1"/>
  </r>
  <r>
    <s v="TX500724"/>
    <s v="Leggings"/>
    <n v="1"/>
    <n v="78.099999999999994"/>
    <n v="78.099999999999994"/>
    <d v="2025-01-31T00:00:00"/>
    <d v="2025-02-03T00:00:00"/>
    <s v="M"/>
    <x v="0"/>
    <n v="5"/>
    <s v="California"/>
    <s v="Santa Clara County"/>
    <n v="3"/>
    <n v="5"/>
    <x v="1"/>
  </r>
  <r>
    <s v="TX500725"/>
    <s v="Casual Dresses"/>
    <n v="6"/>
    <n v="110.2"/>
    <n v="661.2"/>
    <d v="2025-01-31T00:00:00"/>
    <d v="2025-01-31T00:00:00"/>
    <s v="M"/>
    <x v="1"/>
    <n v="2"/>
    <s v="California"/>
    <s v="Ventura County"/>
    <n v="0"/>
    <n v="5"/>
    <x v="1"/>
  </r>
  <r>
    <s v="TX500726"/>
    <s v="Jeans"/>
    <n v="3"/>
    <n v="86.3"/>
    <n v="258.89999999999998"/>
    <d v="2025-01-31T00:00:00"/>
    <d v="2025-02-02T00:00:00"/>
    <s v="F"/>
    <x v="3"/>
    <n v="4"/>
    <s v="California"/>
    <s v="Alameda County"/>
    <n v="2"/>
    <n v="5"/>
    <x v="2"/>
  </r>
  <r>
    <s v="TX500727"/>
    <s v="Tank Tops"/>
    <n v="6"/>
    <n v="73.599999999999994"/>
    <n v="441.59999999999997"/>
    <d v="2025-01-31T00:00:00"/>
    <d v="2025-02-02T00:00:00"/>
    <s v="O"/>
    <x v="3"/>
    <n v="2"/>
    <s v="California"/>
    <s v="Humboldt County"/>
    <n v="2"/>
    <n v="5"/>
    <x v="3"/>
  </r>
  <r>
    <s v="TX500728"/>
    <s v="Jeans"/>
    <n v="13"/>
    <n v="67.7"/>
    <n v="880.1"/>
    <d v="2025-01-31T00:00:00"/>
    <d v="2025-02-02T00:00:00"/>
    <s v="F"/>
    <x v="0"/>
    <n v="5"/>
    <s v="California"/>
    <s v="Los Angeles County"/>
    <n v="2"/>
    <n v="5"/>
    <x v="2"/>
  </r>
  <r>
    <s v="TX500729"/>
    <s v="Hoodies &amp; Sweatshirts"/>
    <n v="6"/>
    <n v="142.19999999999999"/>
    <n v="853.19999999999993"/>
    <d v="2025-01-31T00:00:00"/>
    <d v="2025-02-01T00:00:00"/>
    <s v="F"/>
    <x v="2"/>
    <n v="2"/>
    <s v="California"/>
    <s v="Los Angeles County"/>
    <n v="1"/>
    <n v="5"/>
    <x v="2"/>
  </r>
  <r>
    <s v="TX500730"/>
    <s v="Tank Tops"/>
    <n v="9"/>
    <n v="45.8"/>
    <n v="412.2"/>
    <d v="2025-01-31T00:00:00"/>
    <d v="2025-02-02T00:00:00"/>
    <s v="F"/>
    <x v="1"/>
    <n v="5"/>
    <s v="California"/>
    <s v="Los Angeles County"/>
    <n v="2"/>
    <n v="5"/>
    <x v="2"/>
  </r>
  <r>
    <s v="TX500731"/>
    <s v="Bikinis"/>
    <n v="2"/>
    <n v="24.2"/>
    <n v="48.4"/>
    <d v="2025-02-01T00:00:00"/>
    <d v="2025-02-04T00:00:00"/>
    <s v="F"/>
    <x v="3"/>
    <n v="5"/>
    <s v="California"/>
    <s v="Los Angeles County"/>
    <n v="3"/>
    <n v="5"/>
    <x v="2"/>
  </r>
  <r>
    <s v="TX500732"/>
    <s v="Sneakers"/>
    <n v="3"/>
    <n v="144.9"/>
    <n v="434.70000000000005"/>
    <d v="2025-02-01T00:00:00"/>
    <d v="2025-02-02T00:00:00"/>
    <s v="O"/>
    <x v="2"/>
    <n v="5"/>
    <s v="California"/>
    <s v="Los Angeles County"/>
    <n v="1"/>
    <n v="5"/>
    <x v="3"/>
  </r>
  <r>
    <s v="TX500733"/>
    <s v="Maxi Dresses"/>
    <n v="5"/>
    <n v="32.799999999999997"/>
    <n v="164"/>
    <d v="2025-02-01T00:00:00"/>
    <d v="2025-02-04T00:00:00"/>
    <s v="F"/>
    <x v="2"/>
    <n v="4"/>
    <s v="California"/>
    <s v="Riverside County"/>
    <n v="3"/>
    <n v="5"/>
    <x v="2"/>
  </r>
  <r>
    <s v="TX500734"/>
    <s v="Hoodies &amp; Sweatshirts"/>
    <n v="10"/>
    <n v="35.700000000000003"/>
    <n v="357"/>
    <d v="2025-02-01T00:00:00"/>
    <d v="2025-02-01T00:00:00"/>
    <s v="F"/>
    <x v="0"/>
    <n v="3"/>
    <s v="California"/>
    <s v="Sacramento County"/>
    <n v="0"/>
    <n v="5"/>
    <x v="2"/>
  </r>
  <r>
    <s v="TX500735"/>
    <s v="Sundresses"/>
    <n v="2"/>
    <n v="54.6"/>
    <n v="109.2"/>
    <d v="2025-02-01T00:00:00"/>
    <d v="2025-02-02T00:00:00"/>
    <s v="F"/>
    <x v="2"/>
    <n v="4"/>
    <s v="California"/>
    <s v="Sacramento County"/>
    <n v="1"/>
    <n v="5"/>
    <x v="2"/>
  </r>
  <r>
    <s v="TX500736"/>
    <s v="T-Shirts"/>
    <n v="2"/>
    <n v="35.700000000000003"/>
    <n v="71.400000000000006"/>
    <d v="2025-02-01T00:00:00"/>
    <d v="2025-02-04T00:00:00"/>
    <s v=""/>
    <x v="0"/>
    <n v="3"/>
    <s v="California"/>
    <s v="Sacramento County"/>
    <n v="3"/>
    <n v="5"/>
    <x v="0"/>
  </r>
  <r>
    <s v="TX500737"/>
    <s v="Bikinis"/>
    <n v="2"/>
    <n v="52.4"/>
    <n v="104.8"/>
    <d v="2025-02-01T00:00:00"/>
    <d v="2025-02-01T00:00:00"/>
    <s v="F"/>
    <x v="0"/>
    <n v="1"/>
    <s v="California"/>
    <s v="Sacramento County"/>
    <n v="0"/>
    <n v="5"/>
    <x v="2"/>
  </r>
  <r>
    <s v="TX500738"/>
    <s v="T-Shirts"/>
    <n v="14"/>
    <n v="16.2"/>
    <n v="226.79999999999998"/>
    <d v="2025-02-01T00:00:00"/>
    <d v="2025-02-02T00:00:00"/>
    <s v=""/>
    <x v="0"/>
    <n v="3"/>
    <s v="California"/>
    <s v="San Diego County"/>
    <n v="1"/>
    <n v="5"/>
    <x v="0"/>
  </r>
  <r>
    <s v="TX500739"/>
    <s v="Jeans"/>
    <n v="47"/>
    <n v="42.8"/>
    <n v="2011.6"/>
    <d v="2025-02-01T00:00:00"/>
    <d v="2025-02-02T00:00:00"/>
    <s v="F"/>
    <x v="0"/>
    <n v="4"/>
    <s v="California"/>
    <s v="San Diego County"/>
    <n v="1"/>
    <n v="5"/>
    <x v="2"/>
  </r>
  <r>
    <s v="TX500740"/>
    <s v="Jeans"/>
    <n v="9"/>
    <n v="144.4"/>
    <n v="1299.6000000000001"/>
    <d v="2025-02-01T00:00:00"/>
    <d v="2025-02-04T00:00:00"/>
    <s v="F"/>
    <x v="4"/>
    <n v="4"/>
    <s v="California"/>
    <s v="San Diego County"/>
    <n v="3"/>
    <n v="5"/>
    <x v="2"/>
  </r>
  <r>
    <s v="TX500741"/>
    <s v="Workout Tops"/>
    <n v="36"/>
    <n v="30.6"/>
    <n v="1101.6000000000001"/>
    <d v="2025-02-01T00:00:00"/>
    <d v="2025-02-05T00:00:00"/>
    <s v="F"/>
    <x v="2"/>
    <n v="5"/>
    <s v="California"/>
    <s v="Santa Clara County"/>
    <n v="4"/>
    <n v="5"/>
    <x v="2"/>
  </r>
  <r>
    <s v="TX500742"/>
    <s v="Sneakers"/>
    <n v="2"/>
    <n v="117.5"/>
    <n v="235"/>
    <d v="2025-02-01T00:00:00"/>
    <d v="2025-02-02T00:00:00"/>
    <s v="M"/>
    <x v="0"/>
    <n v="4"/>
    <s v="California"/>
    <s v="Stanislaus County"/>
    <n v="1"/>
    <n v="5"/>
    <x v="1"/>
  </r>
  <r>
    <s v="TX500743"/>
    <s v="Jeans"/>
    <n v="2"/>
    <n v="105.7"/>
    <n v="211.4"/>
    <d v="2025-02-01T00:00:00"/>
    <d v="2025-02-02T00:00:00"/>
    <s v="F"/>
    <x v="2"/>
    <n v="5"/>
    <s v="California"/>
    <s v="Alameda County"/>
    <n v="1"/>
    <n v="5"/>
    <x v="2"/>
  </r>
  <r>
    <s v="TX500744"/>
    <s v="Workout Tops"/>
    <n v="3"/>
    <n v="133.69999999999999"/>
    <n v="401.09999999999997"/>
    <d v="2025-02-01T00:00:00"/>
    <d v="2025-02-02T00:00:00"/>
    <s v=""/>
    <x v="4"/>
    <n v="5"/>
    <s v="California"/>
    <s v="Alameda County"/>
    <n v="1"/>
    <n v="5"/>
    <x v="0"/>
  </r>
  <r>
    <s v="TX500745"/>
    <s v="Graphic Tees"/>
    <n v="5"/>
    <n v="46.8"/>
    <n v="234"/>
    <d v="2025-02-02T00:00:00"/>
    <d v="2025-02-10T00:00:00"/>
    <s v="F"/>
    <x v="0"/>
    <n v="3"/>
    <s v="California"/>
    <s v="Alameda County"/>
    <n v="8"/>
    <n v="6"/>
    <x v="2"/>
  </r>
  <r>
    <s v="TX500746"/>
    <s v="Bikinis"/>
    <n v="3"/>
    <n v="58.4"/>
    <n v="175.2"/>
    <d v="2025-02-02T00:00:00"/>
    <d v="2025-02-04T00:00:00"/>
    <s v="F"/>
    <x v="0"/>
    <n v="4"/>
    <s v="California"/>
    <s v="Contra Costa County"/>
    <n v="2"/>
    <n v="6"/>
    <x v="2"/>
  </r>
  <r>
    <s v="TX500747"/>
    <s v="Jeans"/>
    <n v="9"/>
    <n v="65.099999999999994"/>
    <n v="585.9"/>
    <d v="2025-02-02T00:00:00"/>
    <d v="2025-02-06T00:00:00"/>
    <s v="M"/>
    <x v="1"/>
    <n v="5"/>
    <s v="California"/>
    <s v="Kern County"/>
    <n v="4"/>
    <n v="6"/>
    <x v="1"/>
  </r>
  <r>
    <s v="TX500748"/>
    <s v="T-Shirts"/>
    <n v="1"/>
    <n v="18.600000000000001"/>
    <n v="18.600000000000001"/>
    <d v="2025-02-02T00:00:00"/>
    <d v="2025-02-05T00:00:00"/>
    <s v="F"/>
    <x v="0"/>
    <n v="2"/>
    <s v="California"/>
    <s v="Kern County"/>
    <n v="3"/>
    <n v="6"/>
    <x v="2"/>
  </r>
  <r>
    <s v="TX500749"/>
    <s v="Tank Tops"/>
    <n v="11"/>
    <n v="92.3"/>
    <n v="1015.3"/>
    <d v="2025-02-02T00:00:00"/>
    <d v="2025-02-04T00:00:00"/>
    <s v="M"/>
    <x v="1"/>
    <n v="4"/>
    <s v="California"/>
    <s v="Los Angeles County"/>
    <n v="2"/>
    <n v="6"/>
    <x v="1"/>
  </r>
  <r>
    <s v="TX500750"/>
    <s v="Jeans"/>
    <n v="3"/>
    <n v="81.7"/>
    <n v="245.10000000000002"/>
    <d v="2025-02-02T00:00:00"/>
    <d v="2025-02-03T00:00:00"/>
    <s v=""/>
    <x v="4"/>
    <n v="2"/>
    <s v="California"/>
    <s v="Los Angeles County"/>
    <n v="1"/>
    <n v="6"/>
    <x v="0"/>
  </r>
  <r>
    <s v="TX500751"/>
    <s v="T-Shirts"/>
    <n v="2"/>
    <n v="40.9"/>
    <n v="81.8"/>
    <d v="2025-02-02T00:00:00"/>
    <d v="2025-02-04T00:00:00"/>
    <s v="M"/>
    <x v="0"/>
    <n v="3"/>
    <s v="California"/>
    <s v="Los Angeles County"/>
    <n v="2"/>
    <n v="6"/>
    <x v="1"/>
  </r>
  <r>
    <s v="TX500752"/>
    <s v="Jeans"/>
    <n v="4"/>
    <n v="43.2"/>
    <n v="172.8"/>
    <d v="2025-02-02T00:00:00"/>
    <d v="2025-02-08T00:00:00"/>
    <s v="F"/>
    <x v="0"/>
    <n v="3"/>
    <s v="California"/>
    <s v="Los Angeles County"/>
    <n v="6"/>
    <n v="6"/>
    <x v="2"/>
  </r>
  <r>
    <s v="TX500753"/>
    <s v="T-Shirts"/>
    <n v="11"/>
    <n v="25.8"/>
    <n v="283.8"/>
    <d v="2025-02-02T00:00:00"/>
    <d v="2025-02-05T00:00:00"/>
    <s v="M"/>
    <x v="2"/>
    <n v="3"/>
    <s v="California"/>
    <s v="Los Angeles County"/>
    <n v="3"/>
    <n v="6"/>
    <x v="1"/>
  </r>
  <r>
    <s v="TX500754"/>
    <s v="Crop Tops"/>
    <n v="4"/>
    <n v="36.4"/>
    <n v="145.6"/>
    <d v="2025-02-02T00:00:00"/>
    <d v="2025-02-03T00:00:00"/>
    <s v="M"/>
    <x v="0"/>
    <n v="4"/>
    <s v="California"/>
    <s v="Los Angeles County"/>
    <n v="1"/>
    <n v="6"/>
    <x v="1"/>
  </r>
  <r>
    <s v="TX500755"/>
    <s v="Bikinis"/>
    <n v="1"/>
    <n v="59.1"/>
    <n v="59.1"/>
    <d v="2025-02-02T00:00:00"/>
    <d v="2025-02-03T00:00:00"/>
    <s v="F"/>
    <x v="2"/>
    <n v="4"/>
    <s v="California"/>
    <s v="San Bernardino County"/>
    <n v="1"/>
    <n v="6"/>
    <x v="2"/>
  </r>
  <r>
    <s v="TX500756"/>
    <s v="Sneakers"/>
    <n v="17"/>
    <n v="74.5"/>
    <n v="1266.5"/>
    <d v="2025-02-02T00:00:00"/>
    <d v="2025-02-04T00:00:00"/>
    <s v="M"/>
    <x v="4"/>
    <n v="4"/>
    <s v="California"/>
    <s v="Sonoma County"/>
    <n v="2"/>
    <n v="6"/>
    <x v="1"/>
  </r>
  <r>
    <s v="TX500757"/>
    <s v="Sandals"/>
    <n v="1"/>
    <n v="72.8"/>
    <n v="72.8"/>
    <d v="2025-02-02T00:00:00"/>
    <d v="2025-02-03T00:00:00"/>
    <s v="F"/>
    <x v="0"/>
    <n v="3"/>
    <s v="California"/>
    <s v="Stanislaus County"/>
    <n v="1"/>
    <n v="6"/>
    <x v="2"/>
  </r>
  <r>
    <s v="TX500758"/>
    <s v="Jeans"/>
    <n v="4"/>
    <n v="137.30000000000001"/>
    <n v="549.20000000000005"/>
    <d v="2025-02-02T00:00:00"/>
    <d v="2025-02-05T00:00:00"/>
    <s v="F"/>
    <x v="0"/>
    <n v="4"/>
    <s v="California"/>
    <s v="Ventura County"/>
    <n v="3"/>
    <n v="6"/>
    <x v="2"/>
  </r>
  <r>
    <s v="TX500759"/>
    <s v="Tank Tops"/>
    <n v="3"/>
    <n v="48.7"/>
    <n v="146.10000000000002"/>
    <d v="2025-02-02T00:00:00"/>
    <d v="2025-02-07T00:00:00"/>
    <s v="F"/>
    <x v="0"/>
    <n v="3"/>
    <s v="California"/>
    <s v="Alameda County"/>
    <n v="5"/>
    <n v="6"/>
    <x v="2"/>
  </r>
  <r>
    <s v="TX500760"/>
    <s v="Jeans"/>
    <n v="4"/>
    <n v="53.7"/>
    <n v="214.8"/>
    <d v="2025-02-02T00:00:00"/>
    <d v="2025-02-06T00:00:00"/>
    <s v="M"/>
    <x v="1"/>
    <n v="2"/>
    <s v="California"/>
    <s v="Fresno County"/>
    <n v="4"/>
    <n v="6"/>
    <x v="1"/>
  </r>
  <r>
    <s v="TX500761"/>
    <s v="Sneakers"/>
    <n v="7"/>
    <n v="100.9"/>
    <n v="706.30000000000007"/>
    <d v="2025-02-02T00:00:00"/>
    <d v="2025-02-04T00:00:00"/>
    <s v="F"/>
    <x v="0"/>
    <n v="3"/>
    <s v="California"/>
    <s v="Fresno County"/>
    <n v="2"/>
    <n v="6"/>
    <x v="2"/>
  </r>
  <r>
    <s v="TX500762"/>
    <s v="Bikinis"/>
    <n v="2"/>
    <n v="41.8"/>
    <n v="83.6"/>
    <d v="2025-02-02T00:00:00"/>
    <d v="2025-02-06T00:00:00"/>
    <s v="M"/>
    <x v="3"/>
    <n v="5"/>
    <s v="California"/>
    <s v="Kern County"/>
    <n v="4"/>
    <n v="6"/>
    <x v="1"/>
  </r>
  <r>
    <s v="TX500763"/>
    <s v="Graphic Tees"/>
    <n v="8"/>
    <n v="28.5"/>
    <n v="228"/>
    <d v="2025-02-02T00:00:00"/>
    <d v="2025-02-04T00:00:00"/>
    <s v="M"/>
    <x v="2"/>
    <n v="3"/>
    <s v="California"/>
    <s v="Los Angeles County"/>
    <n v="2"/>
    <n v="6"/>
    <x v="1"/>
  </r>
  <r>
    <s v="TX500764"/>
    <s v="Hoodies &amp; Sweatshirts"/>
    <n v="4"/>
    <n v="88.9"/>
    <n v="355.6"/>
    <d v="2025-02-02T00:00:00"/>
    <d v="2025-02-05T00:00:00"/>
    <s v="F"/>
    <x v="0"/>
    <n v="5"/>
    <s v="California"/>
    <s v="Los Angeles County"/>
    <n v="3"/>
    <n v="6"/>
    <x v="2"/>
  </r>
  <r>
    <s v="TX500765"/>
    <s v="Jeans"/>
    <n v="1"/>
    <n v="62.5"/>
    <n v="62.5"/>
    <d v="2025-02-02T00:00:00"/>
    <d v="2025-02-11T00:00:00"/>
    <s v="F"/>
    <x v="0"/>
    <n v="5"/>
    <s v="California"/>
    <s v="Los Angeles County"/>
    <n v="9"/>
    <n v="6"/>
    <x v="2"/>
  </r>
  <r>
    <s v="TX500766"/>
    <s v="Tank Tops"/>
    <n v="3"/>
    <n v="46.9"/>
    <n v="140.69999999999999"/>
    <d v="2025-02-02T00:00:00"/>
    <d v="2025-02-03T00:00:00"/>
    <s v="M"/>
    <x v="0"/>
    <n v="5"/>
    <s v="California"/>
    <s v="Los Angeles County"/>
    <n v="1"/>
    <n v="6"/>
    <x v="1"/>
  </r>
  <r>
    <s v="TX500767"/>
    <s v="T-Shirts"/>
    <n v="3"/>
    <n v="45"/>
    <n v="135"/>
    <d v="2025-02-02T00:00:00"/>
    <d v="2025-02-16T00:00:00"/>
    <s v="M"/>
    <x v="1"/>
    <n v="4"/>
    <s v="California"/>
    <s v="Los Angeles County"/>
    <n v="14"/>
    <n v="6"/>
    <x v="1"/>
  </r>
  <r>
    <s v="TX500768"/>
    <s v="Jeans"/>
    <n v="3"/>
    <n v="45.2"/>
    <n v="135.60000000000002"/>
    <d v="2025-02-02T00:00:00"/>
    <d v="2025-02-04T00:00:00"/>
    <s v="M"/>
    <x v="4"/>
    <n v="5"/>
    <s v="California"/>
    <s v="Los Angeles County"/>
    <n v="2"/>
    <n v="6"/>
    <x v="1"/>
  </r>
  <r>
    <s v="TX500769"/>
    <s v="Graphic Tees"/>
    <n v="2"/>
    <n v="60.1"/>
    <n v="120.2"/>
    <d v="2025-02-02T00:00:00"/>
    <d v="2025-02-03T00:00:00"/>
    <s v="F"/>
    <x v="0"/>
    <n v="5"/>
    <s v="California"/>
    <s v="Los Angeles County"/>
    <n v="1"/>
    <n v="6"/>
    <x v="2"/>
  </r>
  <r>
    <s v="TX500770"/>
    <s v="Casual Dresses"/>
    <n v="4"/>
    <n v="118.7"/>
    <n v="474.8"/>
    <d v="2025-02-02T00:00:00"/>
    <d v="2025-02-04T00:00:00"/>
    <s v="F"/>
    <x v="0"/>
    <n v="4"/>
    <s v="California"/>
    <s v="Los Angeles County"/>
    <n v="2"/>
    <n v="6"/>
    <x v="2"/>
  </r>
  <r>
    <s v="TX500771"/>
    <s v="Sundresses"/>
    <n v="1"/>
    <n v="57.8"/>
    <n v="57.8"/>
    <d v="2025-02-02T00:00:00"/>
    <d v="2025-02-11T00:00:00"/>
    <s v="F"/>
    <x v="1"/>
    <n v="4"/>
    <s v="California"/>
    <s v="Los Angeles County"/>
    <n v="9"/>
    <n v="6"/>
    <x v="2"/>
  </r>
  <r>
    <s v="TX500772"/>
    <s v="Graphic Tees"/>
    <n v="1"/>
    <n v="19.5"/>
    <n v="19.5"/>
    <d v="2025-02-02T00:00:00"/>
    <d v="2025-02-03T00:00:00"/>
    <s v="M"/>
    <x v="1"/>
    <n v="3"/>
    <s v="California"/>
    <s v="Los Angeles County"/>
    <n v="1"/>
    <n v="6"/>
    <x v="1"/>
  </r>
  <r>
    <s v="TX500773"/>
    <s v="Casual Dresses"/>
    <n v="1"/>
    <n v="42.6"/>
    <n v="42.6"/>
    <d v="2025-02-02T00:00:00"/>
    <d v="2025-02-03T00:00:00"/>
    <s v="M"/>
    <x v="0"/>
    <n v="3"/>
    <s v="California"/>
    <s v="Los Angeles County"/>
    <n v="1"/>
    <n v="6"/>
    <x v="1"/>
  </r>
  <r>
    <s v="TX500774"/>
    <s v="Jeans"/>
    <n v="2"/>
    <n v="74.8"/>
    <n v="149.6"/>
    <d v="2025-02-02T00:00:00"/>
    <d v="2025-02-03T00:00:00"/>
    <s v="F"/>
    <x v="3"/>
    <n v="5"/>
    <s v="California"/>
    <s v="Madera County"/>
    <n v="1"/>
    <n v="6"/>
    <x v="2"/>
  </r>
  <r>
    <s v="TX500775"/>
    <s v="T-Shirts"/>
    <n v="3"/>
    <n v="32.5"/>
    <n v="97.5"/>
    <d v="2025-02-02T00:00:00"/>
    <d v="2025-02-03T00:00:00"/>
    <s v="M"/>
    <x v="2"/>
    <n v="2"/>
    <s v="California"/>
    <s v="Napa County"/>
    <n v="1"/>
    <n v="6"/>
    <x v="1"/>
  </r>
  <r>
    <s v="TX500776"/>
    <s v="Sneakers"/>
    <n v="3"/>
    <n v="60.5"/>
    <n v="181.5"/>
    <d v="2025-02-02T00:00:00"/>
    <d v="2025-02-02T00:00:00"/>
    <s v="F"/>
    <x v="1"/>
    <n v="5"/>
    <s v="California"/>
    <s v="Orange County"/>
    <n v="0"/>
    <n v="6"/>
    <x v="2"/>
  </r>
  <r>
    <s v="TX500777"/>
    <s v="Tank Tops"/>
    <n v="7"/>
    <n v="57.2"/>
    <n v="400.40000000000003"/>
    <d v="2025-02-02T00:00:00"/>
    <d v="2025-02-04T00:00:00"/>
    <s v=""/>
    <x v="2"/>
    <n v="4"/>
    <s v="California"/>
    <s v="Orange County"/>
    <n v="2"/>
    <n v="6"/>
    <x v="0"/>
  </r>
  <r>
    <s v="TX500778"/>
    <s v="Sunglasses"/>
    <n v="2"/>
    <n v="112"/>
    <n v="224"/>
    <d v="2025-02-02T00:00:00"/>
    <d v="2025-02-03T00:00:00"/>
    <s v="F"/>
    <x v="1"/>
    <n v="3"/>
    <s v="California"/>
    <s v="Placer County"/>
    <n v="1"/>
    <n v="6"/>
    <x v="2"/>
  </r>
  <r>
    <s v="TX500779"/>
    <s v="Hoodies &amp; Sweatshirts"/>
    <n v="10"/>
    <n v="49"/>
    <n v="490"/>
    <d v="2025-02-02T00:00:00"/>
    <d v="2025-02-03T00:00:00"/>
    <s v="O"/>
    <x v="2"/>
    <n v="3"/>
    <s v="California"/>
    <s v="Sacramento County"/>
    <n v="1"/>
    <n v="6"/>
    <x v="3"/>
  </r>
  <r>
    <s v="TX500780"/>
    <s v="Shorts"/>
    <n v="2"/>
    <n v="33.700000000000003"/>
    <n v="67.400000000000006"/>
    <d v="2025-02-02T00:00:00"/>
    <d v="2025-02-06T00:00:00"/>
    <s v="F"/>
    <x v="3"/>
    <n v="4"/>
    <s v="California"/>
    <s v="Sacramento County"/>
    <n v="4"/>
    <n v="6"/>
    <x v="2"/>
  </r>
  <r>
    <s v="TX500781"/>
    <s v="Graphic Tees"/>
    <n v="3"/>
    <n v="35.6"/>
    <n v="106.80000000000001"/>
    <d v="2025-02-02T00:00:00"/>
    <d v="2025-02-05T00:00:00"/>
    <s v="F"/>
    <x v="0"/>
    <n v="5"/>
    <s v="California"/>
    <s v="Sacramento County"/>
    <n v="3"/>
    <n v="6"/>
    <x v="2"/>
  </r>
  <r>
    <s v="TX500782"/>
    <s v="Graphic Tees"/>
    <n v="35"/>
    <n v="30.4"/>
    <n v="1064"/>
    <d v="2025-02-03T00:00:00"/>
    <d v="2025-02-03T00:00:00"/>
    <s v="F"/>
    <x v="0"/>
    <n v="3"/>
    <s v="California"/>
    <s v="San Bernardino County"/>
    <n v="0"/>
    <n v="6"/>
    <x v="2"/>
  </r>
  <r>
    <s v="TX500783"/>
    <s v="Bikinis"/>
    <n v="12"/>
    <n v="50.2"/>
    <n v="602.40000000000009"/>
    <d v="2025-02-03T00:00:00"/>
    <d v="2025-02-04T00:00:00"/>
    <s v="M"/>
    <x v="4"/>
    <n v="4"/>
    <s v="California"/>
    <s v="San Diego County"/>
    <n v="1"/>
    <n v="6"/>
    <x v="1"/>
  </r>
  <r>
    <s v="TX500784"/>
    <s v="Tank Tops"/>
    <n v="2"/>
    <n v="43.7"/>
    <n v="87.4"/>
    <d v="2025-02-03T00:00:00"/>
    <d v="2025-02-05T00:00:00"/>
    <s v="F"/>
    <x v="0"/>
    <n v="4"/>
    <s v="California"/>
    <s v="San Diego County"/>
    <n v="2"/>
    <n v="6"/>
    <x v="2"/>
  </r>
  <r>
    <s v="TX500785"/>
    <s v="Bikinis"/>
    <n v="1"/>
    <n v="33.299999999999997"/>
    <n v="33.299999999999997"/>
    <d v="2025-02-03T00:00:00"/>
    <d v="2025-02-04T00:00:00"/>
    <s v="F"/>
    <x v="2"/>
    <n v="3"/>
    <s v="California"/>
    <s v="San Diego County"/>
    <n v="1"/>
    <n v="6"/>
    <x v="2"/>
  </r>
  <r>
    <s v="TX500786"/>
    <s v="T-Shirts"/>
    <n v="4"/>
    <n v="15.1"/>
    <n v="60.4"/>
    <d v="2025-02-03T00:00:00"/>
    <d v="2025-02-05T00:00:00"/>
    <s v="F"/>
    <x v="4"/>
    <n v="5"/>
    <s v="California"/>
    <s v="San Diego County"/>
    <n v="2"/>
    <n v="6"/>
    <x v="2"/>
  </r>
  <r>
    <s v="TX500787"/>
    <s v="Jeans"/>
    <n v="5"/>
    <n v="118.2"/>
    <n v="591"/>
    <d v="2025-02-03T00:00:00"/>
    <d v="2025-02-04T00:00:00"/>
    <s v="F"/>
    <x v="3"/>
    <n v="2"/>
    <s v="California"/>
    <s v="San Diego County"/>
    <n v="1"/>
    <n v="6"/>
    <x v="2"/>
  </r>
  <r>
    <s v="TX500788"/>
    <s v="Bikinis"/>
    <n v="3"/>
    <n v="28.9"/>
    <n v="86.699999999999989"/>
    <d v="2025-02-03T00:00:00"/>
    <d v="2025-02-05T00:00:00"/>
    <s v="F"/>
    <x v="2"/>
    <n v="3"/>
    <s v="California"/>
    <s v="San Diego County"/>
    <n v="2"/>
    <n v="6"/>
    <x v="2"/>
  </r>
  <r>
    <s v="TX500789"/>
    <s v="Graphic Tees"/>
    <n v="3"/>
    <n v="55.6"/>
    <n v="166.8"/>
    <d v="2025-02-03T00:00:00"/>
    <d v="2025-02-04T00:00:00"/>
    <s v="M"/>
    <x v="0"/>
    <n v="3"/>
    <s v="California"/>
    <s v="San Diego County"/>
    <n v="1"/>
    <n v="6"/>
    <x v="1"/>
  </r>
  <r>
    <s v="TX500790"/>
    <s v="Sundresses"/>
    <n v="4"/>
    <n v="25.6"/>
    <n v="102.4"/>
    <d v="2025-02-03T00:00:00"/>
    <d v="2025-02-05T00:00:00"/>
    <s v="F"/>
    <x v="0"/>
    <n v="3"/>
    <s v="California"/>
    <s v="San Diego County"/>
    <n v="2"/>
    <n v="6"/>
    <x v="2"/>
  </r>
  <r>
    <s v="TX500791"/>
    <s v="Hoodies &amp; Sweatshirts"/>
    <n v="3"/>
    <n v="31.3"/>
    <n v="93.9"/>
    <d v="2025-02-03T00:00:00"/>
    <d v="2025-02-04T00:00:00"/>
    <s v="M"/>
    <x v="0"/>
    <n v="4"/>
    <s v="California"/>
    <s v="San Francisco"/>
    <n v="1"/>
    <n v="6"/>
    <x v="1"/>
  </r>
  <r>
    <s v="TX500792"/>
    <s v="Shorts"/>
    <n v="3"/>
    <n v="22.1"/>
    <n v="66.300000000000011"/>
    <d v="2025-02-03T00:00:00"/>
    <d v="2025-02-07T00:00:00"/>
    <s v="M"/>
    <x v="0"/>
    <n v="4"/>
    <s v="California"/>
    <s v="San Francisco"/>
    <n v="4"/>
    <n v="6"/>
    <x v="1"/>
  </r>
  <r>
    <s v="TX500793"/>
    <s v="Sneakers"/>
    <n v="14"/>
    <n v="99.4"/>
    <n v="1391.6000000000001"/>
    <d v="2025-02-03T00:00:00"/>
    <d v="2025-02-04T00:00:00"/>
    <s v="M"/>
    <x v="1"/>
    <n v="4"/>
    <s v="California"/>
    <s v="Santa Clara County"/>
    <n v="1"/>
    <n v="6"/>
    <x v="1"/>
  </r>
  <r>
    <s v="TX500794"/>
    <s v="Hoodies &amp; Sweatshirts"/>
    <n v="6"/>
    <n v="66.599999999999994"/>
    <n v="399.59999999999997"/>
    <d v="2025-02-03T00:00:00"/>
    <d v="2025-02-04T00:00:00"/>
    <s v="F"/>
    <x v="0"/>
    <n v="4"/>
    <s v="California"/>
    <s v="Santa Clara County"/>
    <n v="1"/>
    <n v="6"/>
    <x v="2"/>
  </r>
  <r>
    <s v="TX500795"/>
    <s v="T-Shirts"/>
    <n v="2"/>
    <n v="22.6"/>
    <n v="45.2"/>
    <d v="2025-02-03T00:00:00"/>
    <d v="2025-02-06T00:00:00"/>
    <s v="M"/>
    <x v="0"/>
    <n v="4"/>
    <s v="California"/>
    <s v="Santa Clara County"/>
    <n v="3"/>
    <n v="6"/>
    <x v="1"/>
  </r>
  <r>
    <s v="TX500796"/>
    <s v="Sneakers"/>
    <n v="18"/>
    <n v="66.8"/>
    <n v="1202.3999999999999"/>
    <d v="2025-02-03T00:00:00"/>
    <d v="2025-02-04T00:00:00"/>
    <s v="F"/>
    <x v="0"/>
    <n v="2"/>
    <s v="California"/>
    <s v="Ventura County"/>
    <n v="1"/>
    <n v="6"/>
    <x v="2"/>
  </r>
  <r>
    <s v="TX500797"/>
    <s v="Shorts"/>
    <n v="4"/>
    <n v="20.8"/>
    <n v="83.2"/>
    <d v="2025-02-03T00:00:00"/>
    <d v="2025-02-10T00:00:00"/>
    <s v="M"/>
    <x v="1"/>
    <n v="2"/>
    <s v="California"/>
    <s v="Contra Costa County"/>
    <n v="7"/>
    <n v="6"/>
    <x v="1"/>
  </r>
  <r>
    <s v="TX500798"/>
    <s v="Sneakers"/>
    <n v="7"/>
    <n v="102.5"/>
    <n v="717.5"/>
    <d v="2025-02-03T00:00:00"/>
    <d v="2025-02-04T00:00:00"/>
    <s v="F"/>
    <x v="4"/>
    <n v="5"/>
    <s v="California"/>
    <s v="Los Angeles County"/>
    <n v="1"/>
    <n v="6"/>
    <x v="2"/>
  </r>
  <r>
    <s v="TX500799"/>
    <s v="Shorts"/>
    <n v="18"/>
    <n v="24.8"/>
    <n v="446.40000000000003"/>
    <d v="2025-02-03T00:00:00"/>
    <d v="2025-02-07T00:00:00"/>
    <s v="F"/>
    <x v="0"/>
    <n v="4"/>
    <s v="California"/>
    <s v="Los Angeles County"/>
    <n v="4"/>
    <n v="6"/>
    <x v="2"/>
  </r>
  <r>
    <s v="TX500800"/>
    <s v="Graphic Tees"/>
    <n v="31"/>
    <n v="31.4"/>
    <n v="973.4"/>
    <d v="2025-02-03T00:00:00"/>
    <d v="2025-02-04T00:00:00"/>
    <s v="F"/>
    <x v="3"/>
    <n v="4"/>
    <s v="California"/>
    <s v="Los Angeles County"/>
    <n v="1"/>
    <n v="6"/>
    <x v="2"/>
  </r>
  <r>
    <s v="TX500801"/>
    <s v="Sundresses"/>
    <n v="5"/>
    <n v="59.3"/>
    <n v="296.5"/>
    <d v="2025-02-03T00:00:00"/>
    <d v="2025-02-06T00:00:00"/>
    <s v="M"/>
    <x v="1"/>
    <n v="5"/>
    <s v="California"/>
    <s v="Marin County"/>
    <n v="3"/>
    <n v="6"/>
    <x v="1"/>
  </r>
  <r>
    <s v="TX500802"/>
    <s v="Maxi Dresses"/>
    <n v="6"/>
    <n v="39"/>
    <n v="234"/>
    <d v="2025-02-03T00:00:00"/>
    <d v="2025-02-06T00:00:00"/>
    <s v="M"/>
    <x v="1"/>
    <n v="4"/>
    <s v="California"/>
    <s v="Sacramento County"/>
    <n v="3"/>
    <n v="6"/>
    <x v="1"/>
  </r>
  <r>
    <s v="TX500803"/>
    <s v="Sandals"/>
    <n v="6"/>
    <n v="98.6"/>
    <n v="591.59999999999991"/>
    <d v="2025-02-03T00:00:00"/>
    <d v="2025-02-05T00:00:00"/>
    <s v="F"/>
    <x v="1"/>
    <n v="4"/>
    <s v="California"/>
    <s v="Sacramento County"/>
    <n v="2"/>
    <n v="6"/>
    <x v="2"/>
  </r>
  <r>
    <s v="TX500804"/>
    <s v="T-Shirts"/>
    <n v="1"/>
    <n v="20"/>
    <n v="20"/>
    <d v="2025-02-04T00:00:00"/>
    <d v="2025-02-05T00:00:00"/>
    <s v="M"/>
    <x v="3"/>
    <n v="5"/>
    <s v="California"/>
    <s v="San Diego County"/>
    <n v="1"/>
    <n v="6"/>
    <x v="1"/>
  </r>
  <r>
    <s v="TX500805"/>
    <s v="Tank Tops"/>
    <n v="2"/>
    <n v="42.9"/>
    <n v="85.8"/>
    <d v="2025-02-04T00:00:00"/>
    <d v="2025-02-06T00:00:00"/>
    <s v="F"/>
    <x v="0"/>
    <n v="5"/>
    <s v="California"/>
    <s v="San Diego County"/>
    <n v="2"/>
    <n v="6"/>
    <x v="2"/>
  </r>
  <r>
    <s v="TX500806"/>
    <s v="Hoodies &amp; Sweatshirts"/>
    <n v="7"/>
    <n v="55.6"/>
    <n v="389.2"/>
    <d v="2025-02-04T00:00:00"/>
    <d v="2025-02-06T00:00:00"/>
    <s v="F"/>
    <x v="2"/>
    <n v="3"/>
    <s v="California"/>
    <s v="San Diego County"/>
    <n v="2"/>
    <n v="6"/>
    <x v="2"/>
  </r>
  <r>
    <s v="TX500807"/>
    <s v="T-Shirts"/>
    <n v="4"/>
    <n v="19.2"/>
    <n v="76.8"/>
    <d v="2025-02-04T00:00:00"/>
    <d v="2025-02-09T00:00:00"/>
    <s v="F"/>
    <x v="0"/>
    <n v="4"/>
    <s v="California"/>
    <s v="San Luis Obispo County"/>
    <n v="5"/>
    <n v="6"/>
    <x v="2"/>
  </r>
  <r>
    <s v="TX500808"/>
    <s v="Sandals"/>
    <n v="2"/>
    <n v="28.8"/>
    <n v="57.6"/>
    <d v="2025-02-04T00:00:00"/>
    <d v="2025-02-06T00:00:00"/>
    <s v="M"/>
    <x v="1"/>
    <n v="4"/>
    <s v="California"/>
    <s v="Sonoma County"/>
    <n v="2"/>
    <n v="6"/>
    <x v="1"/>
  </r>
  <r>
    <s v="TX500809"/>
    <s v="Graphic Tees"/>
    <n v="1"/>
    <n v="29.7"/>
    <n v="29.7"/>
    <d v="2025-02-04T00:00:00"/>
    <d v="2025-02-06T00:00:00"/>
    <s v="F"/>
    <x v="2"/>
    <n v="2"/>
    <s v="California"/>
    <s v="Tulare County"/>
    <n v="2"/>
    <n v="6"/>
    <x v="2"/>
  </r>
  <r>
    <s v="TX500810"/>
    <s v="Jeans"/>
    <n v="6"/>
    <n v="63.3"/>
    <n v="379.79999999999995"/>
    <d v="2025-02-04T00:00:00"/>
    <d v="2025-02-05T00:00:00"/>
    <s v=""/>
    <x v="0"/>
    <n v="5"/>
    <s v="California"/>
    <s v="Alameda County"/>
    <n v="1"/>
    <n v="6"/>
    <x v="0"/>
  </r>
  <r>
    <s v="TX500811"/>
    <s v="Graphic Tees"/>
    <n v="1"/>
    <n v="46"/>
    <n v="46"/>
    <d v="2025-02-04T00:00:00"/>
    <d v="2025-02-05T00:00:00"/>
    <s v="F"/>
    <x v="0"/>
    <n v="5"/>
    <s v="California"/>
    <s v="Alameda County"/>
    <n v="1"/>
    <n v="6"/>
    <x v="2"/>
  </r>
  <r>
    <s v="TX500812"/>
    <s v="Maxi Dresses"/>
    <n v="3"/>
    <n v="38"/>
    <n v="114"/>
    <d v="2025-02-04T00:00:00"/>
    <d v="2025-02-06T00:00:00"/>
    <s v="F"/>
    <x v="1"/>
    <n v="5"/>
    <s v="California"/>
    <s v="Alameda County"/>
    <n v="2"/>
    <n v="6"/>
    <x v="2"/>
  </r>
  <r>
    <s v="TX500813"/>
    <s v="Bikinis"/>
    <n v="13"/>
    <n v="34.6"/>
    <n v="449.8"/>
    <d v="2025-02-04T00:00:00"/>
    <d v="2025-02-06T00:00:00"/>
    <s v="F"/>
    <x v="0"/>
    <n v="3"/>
    <s v="California"/>
    <s v="Alameda County"/>
    <n v="2"/>
    <n v="6"/>
    <x v="2"/>
  </r>
  <r>
    <s v="TX500814"/>
    <s v="Workout Tops"/>
    <n v="10"/>
    <n v="79.7"/>
    <n v="797"/>
    <d v="2025-02-04T00:00:00"/>
    <d v="2025-02-05T00:00:00"/>
    <s v="F"/>
    <x v="4"/>
    <n v="3"/>
    <s v="California"/>
    <s v="Alameda County"/>
    <n v="1"/>
    <n v="6"/>
    <x v="2"/>
  </r>
  <r>
    <s v="TX500815"/>
    <s v="T-Shirts"/>
    <n v="8"/>
    <n v="30.5"/>
    <n v="244"/>
    <d v="2025-02-04T00:00:00"/>
    <d v="2025-02-08T00:00:00"/>
    <s v="M"/>
    <x v="3"/>
    <n v="4"/>
    <s v="California"/>
    <s v="Contra Costa County"/>
    <n v="4"/>
    <n v="6"/>
    <x v="1"/>
  </r>
  <r>
    <s v="TX500816"/>
    <s v="Shorts"/>
    <n v="2"/>
    <n v="20.8"/>
    <n v="41.6"/>
    <d v="2025-02-04T00:00:00"/>
    <d v="2025-02-05T00:00:00"/>
    <s v="F"/>
    <x v="0"/>
    <n v="4"/>
    <s v="California"/>
    <s v="Fresno County"/>
    <n v="1"/>
    <n v="6"/>
    <x v="2"/>
  </r>
  <r>
    <s v="TX500817"/>
    <s v="Maxi Dresses"/>
    <n v="7"/>
    <n v="48.5"/>
    <n v="339.5"/>
    <d v="2025-02-04T00:00:00"/>
    <d v="2025-02-08T00:00:00"/>
    <s v="F"/>
    <x v="2"/>
    <n v="5"/>
    <s v="California"/>
    <s v="Fresno County"/>
    <n v="4"/>
    <n v="6"/>
    <x v="2"/>
  </r>
  <r>
    <s v="TX500818"/>
    <s v="Sneakers"/>
    <n v="4"/>
    <n v="61.8"/>
    <n v="247.2"/>
    <d v="2025-02-04T00:00:00"/>
    <d v="2025-02-08T00:00:00"/>
    <s v="F"/>
    <x v="4"/>
    <n v="4"/>
    <s v="California"/>
    <s v="Kern County"/>
    <n v="4"/>
    <n v="6"/>
    <x v="2"/>
  </r>
  <r>
    <s v="TX500819"/>
    <s v="Bikinis"/>
    <n v="1"/>
    <n v="46.1"/>
    <n v="46.1"/>
    <d v="2025-02-04T00:00:00"/>
    <d v="2025-02-05T00:00:00"/>
    <s v="O"/>
    <x v="2"/>
    <n v="4"/>
    <s v="California"/>
    <s v="Los Angeles County"/>
    <n v="1"/>
    <n v="6"/>
    <x v="3"/>
  </r>
  <r>
    <s v="TX500820"/>
    <s v="Graphic Tees"/>
    <n v="6"/>
    <n v="44"/>
    <n v="264"/>
    <d v="2025-02-04T00:00:00"/>
    <d v="2025-02-05T00:00:00"/>
    <s v="F"/>
    <x v="0"/>
    <n v="4"/>
    <s v="California"/>
    <s v="Los Angeles County"/>
    <n v="1"/>
    <n v="6"/>
    <x v="2"/>
  </r>
  <r>
    <s v="TX500821"/>
    <s v="Leggings"/>
    <n v="2"/>
    <n v="95.7"/>
    <n v="191.4"/>
    <d v="2025-02-04T00:00:00"/>
    <d v="2025-02-10T00:00:00"/>
    <s v="F"/>
    <x v="3"/>
    <n v="5"/>
    <s v="California"/>
    <s v="Los Angeles County"/>
    <n v="6"/>
    <n v="6"/>
    <x v="2"/>
  </r>
  <r>
    <s v="TX500822"/>
    <s v="Hoodies &amp; Sweatshirts"/>
    <n v="5"/>
    <n v="46.4"/>
    <n v="232"/>
    <d v="2025-02-04T00:00:00"/>
    <d v="2025-02-07T00:00:00"/>
    <s v="F"/>
    <x v="0"/>
    <n v="4"/>
    <s v="California"/>
    <s v="Los Angeles County"/>
    <n v="3"/>
    <n v="6"/>
    <x v="2"/>
  </r>
  <r>
    <s v="TX500823"/>
    <s v="Jeans"/>
    <n v="2"/>
    <n v="47.2"/>
    <n v="94.4"/>
    <d v="2025-02-04T00:00:00"/>
    <d v="2025-02-06T00:00:00"/>
    <s v="F"/>
    <x v="0"/>
    <n v="5"/>
    <s v="California"/>
    <s v="Los Angeles County"/>
    <n v="2"/>
    <n v="6"/>
    <x v="2"/>
  </r>
  <r>
    <s v="TX500824"/>
    <s v="Hoodies &amp; Sweatshirts"/>
    <n v="2"/>
    <n v="58.6"/>
    <n v="117.2"/>
    <d v="2025-02-04T00:00:00"/>
    <d v="2025-02-05T00:00:00"/>
    <s v="F"/>
    <x v="2"/>
    <n v="3"/>
    <s v="California"/>
    <s v="Los Angeles County"/>
    <n v="1"/>
    <n v="6"/>
    <x v="2"/>
  </r>
  <r>
    <s v="TX500825"/>
    <s v="Graphic Tees"/>
    <n v="3"/>
    <n v="57"/>
    <n v="171"/>
    <d v="2025-02-04T00:00:00"/>
    <d v="2025-02-05T00:00:00"/>
    <s v="M"/>
    <x v="0"/>
    <n v="5"/>
    <s v="California"/>
    <s v="Los Angeles County"/>
    <n v="1"/>
    <n v="6"/>
    <x v="1"/>
  </r>
  <r>
    <s v="TX500826"/>
    <s v="T-Shirts"/>
    <n v="4"/>
    <n v="28.9"/>
    <n v="115.6"/>
    <d v="2025-02-04T00:00:00"/>
    <d v="2025-02-08T00:00:00"/>
    <s v="M"/>
    <x v="2"/>
    <n v="4"/>
    <s v="California"/>
    <s v="Los Angeles County"/>
    <n v="4"/>
    <n v="6"/>
    <x v="1"/>
  </r>
  <r>
    <s v="TX500827"/>
    <s v="Casual Dresses"/>
    <n v="5"/>
    <n v="60.7"/>
    <n v="303.5"/>
    <d v="2025-02-04T00:00:00"/>
    <d v="2025-02-08T00:00:00"/>
    <s v=""/>
    <x v="1"/>
    <n v="3"/>
    <s v="California"/>
    <s v="Los Angeles County"/>
    <n v="4"/>
    <n v="6"/>
    <x v="0"/>
  </r>
  <r>
    <s v="TX500828"/>
    <s v="Jeans"/>
    <n v="5"/>
    <n v="60.8"/>
    <n v="304"/>
    <d v="2025-02-04T00:00:00"/>
    <d v="2025-02-08T00:00:00"/>
    <s v="M"/>
    <x v="0"/>
    <n v="3"/>
    <s v="California"/>
    <s v="Los Angeles County"/>
    <n v="4"/>
    <n v="6"/>
    <x v="1"/>
  </r>
  <r>
    <s v="TX500829"/>
    <s v="Jeans"/>
    <n v="5"/>
    <n v="64.599999999999994"/>
    <n v="323"/>
    <d v="2025-02-04T00:00:00"/>
    <d v="2025-02-05T00:00:00"/>
    <s v="F"/>
    <x v="3"/>
    <n v="4"/>
    <s v="California"/>
    <s v="Los Angeles County"/>
    <n v="1"/>
    <n v="6"/>
    <x v="2"/>
  </r>
  <r>
    <s v="TX500830"/>
    <s v="T-Shirts"/>
    <n v="1"/>
    <n v="21.9"/>
    <n v="21.9"/>
    <d v="2025-02-04T00:00:00"/>
    <d v="2025-02-07T00:00:00"/>
    <s v="M"/>
    <x v="1"/>
    <n v="5"/>
    <s v="California"/>
    <s v="Nevada County"/>
    <n v="3"/>
    <n v="6"/>
    <x v="1"/>
  </r>
  <r>
    <s v="TX500831"/>
    <s v="Graphic Tees"/>
    <n v="12"/>
    <n v="33.4"/>
    <n v="400.79999999999995"/>
    <d v="2025-02-04T00:00:00"/>
    <d v="2025-02-06T00:00:00"/>
    <s v="F"/>
    <x v="0"/>
    <n v="4"/>
    <s v="California"/>
    <s v="Riverside County"/>
    <n v="2"/>
    <n v="6"/>
    <x v="2"/>
  </r>
  <r>
    <s v="TX500832"/>
    <s v="Sneakers"/>
    <n v="1"/>
    <n v="51.7"/>
    <n v="51.7"/>
    <d v="2025-02-04T00:00:00"/>
    <d v="2025-02-05T00:00:00"/>
    <s v=""/>
    <x v="0"/>
    <n v="4"/>
    <s v="California"/>
    <s v="Sacramento County"/>
    <n v="1"/>
    <n v="6"/>
    <x v="0"/>
  </r>
  <r>
    <s v="TX500833"/>
    <s v="Tank Tops"/>
    <n v="4"/>
    <n v="84.9"/>
    <n v="339.6"/>
    <d v="2025-02-04T00:00:00"/>
    <d v="2025-02-05T00:00:00"/>
    <s v="F"/>
    <x v="1"/>
    <n v="3"/>
    <s v="California"/>
    <s v="Sacramento County"/>
    <n v="1"/>
    <n v="6"/>
    <x v="2"/>
  </r>
  <r>
    <s v="TX500834"/>
    <s v="Tank Tops"/>
    <n v="11"/>
    <n v="62.3"/>
    <n v="685.3"/>
    <d v="2025-02-04T00:00:00"/>
    <d v="2025-02-05T00:00:00"/>
    <s v="F"/>
    <x v="2"/>
    <n v="5"/>
    <s v="California"/>
    <s v="San Bernardino County"/>
    <n v="1"/>
    <n v="6"/>
    <x v="2"/>
  </r>
  <r>
    <s v="TX500835"/>
    <s v="Graphic Tees"/>
    <n v="1"/>
    <n v="50.7"/>
    <n v="50.7"/>
    <d v="2025-02-04T00:00:00"/>
    <d v="2025-02-06T00:00:00"/>
    <s v="M"/>
    <x v="2"/>
    <n v="5"/>
    <s v="California"/>
    <s v="San Diego County"/>
    <n v="2"/>
    <n v="6"/>
    <x v="1"/>
  </r>
  <r>
    <s v="TX500836"/>
    <s v="Leggings"/>
    <n v="1"/>
    <n v="39.5"/>
    <n v="39.5"/>
    <d v="2025-02-04T00:00:00"/>
    <d v="2025-02-05T00:00:00"/>
    <s v="M"/>
    <x v="4"/>
    <n v="3"/>
    <s v="California"/>
    <s v="San Diego County"/>
    <n v="1"/>
    <n v="6"/>
    <x v="1"/>
  </r>
  <r>
    <s v="TX500837"/>
    <s v="Casual Dresses"/>
    <n v="3"/>
    <n v="30.9"/>
    <n v="92.699999999999989"/>
    <d v="2025-02-04T00:00:00"/>
    <d v="2025-02-05T00:00:00"/>
    <s v=""/>
    <x v="4"/>
    <n v="5"/>
    <s v="California"/>
    <s v="San Diego County"/>
    <n v="1"/>
    <n v="6"/>
    <x v="0"/>
  </r>
  <r>
    <s v="TX500838"/>
    <s v="Tank Tops"/>
    <n v="7"/>
    <n v="36.4"/>
    <n v="254.79999999999998"/>
    <d v="2025-02-04T00:00:00"/>
    <d v="2025-02-07T00:00:00"/>
    <s v="F"/>
    <x v="0"/>
    <n v="5"/>
    <s v="California"/>
    <s v="San Diego County"/>
    <n v="3"/>
    <n v="6"/>
    <x v="2"/>
  </r>
  <r>
    <s v="TX500839"/>
    <s v="Jeans"/>
    <n v="8"/>
    <n v="105.6"/>
    <n v="844.8"/>
    <d v="2025-02-04T00:00:00"/>
    <d v="2025-02-14T00:00:00"/>
    <s v="F"/>
    <x v="0"/>
    <n v="4"/>
    <s v="California"/>
    <s v="San Diego County"/>
    <n v="10"/>
    <n v="6"/>
    <x v="2"/>
  </r>
  <r>
    <s v="TX500840"/>
    <s v="T-Shirts"/>
    <n v="2"/>
    <n v="22.1"/>
    <n v="44.2"/>
    <d v="2025-02-04T00:00:00"/>
    <d v="2025-02-05T00:00:00"/>
    <s v="F"/>
    <x v="0"/>
    <n v="5"/>
    <s v="California"/>
    <s v="San Francisco"/>
    <n v="1"/>
    <n v="6"/>
    <x v="2"/>
  </r>
  <r>
    <s v="TX500841"/>
    <s v="Shorts"/>
    <n v="3"/>
    <n v="22.6"/>
    <n v="67.800000000000011"/>
    <d v="2025-02-04T00:00:00"/>
    <d v="2025-02-05T00:00:00"/>
    <s v="F"/>
    <x v="2"/>
    <n v="4"/>
    <s v="California"/>
    <s v="San Francisco"/>
    <n v="1"/>
    <n v="6"/>
    <x v="2"/>
  </r>
  <r>
    <s v="TX500842"/>
    <s v="Bikinis"/>
    <n v="6"/>
    <n v="26.3"/>
    <n v="157.80000000000001"/>
    <d v="2025-02-04T00:00:00"/>
    <d v="2025-02-04T00:00:00"/>
    <s v="F"/>
    <x v="2"/>
    <n v="4"/>
    <s v="California"/>
    <s v="San Mateo County"/>
    <n v="0"/>
    <n v="6"/>
    <x v="2"/>
  </r>
  <r>
    <s v="TX500843"/>
    <s v="Tank Tops"/>
    <n v="4"/>
    <n v="37.799999999999997"/>
    <n v="151.19999999999999"/>
    <d v="2025-02-04T00:00:00"/>
    <d v="2025-02-05T00:00:00"/>
    <s v="F"/>
    <x v="0"/>
    <n v="5"/>
    <s v="California"/>
    <s v="Santa Clara County"/>
    <n v="1"/>
    <n v="6"/>
    <x v="2"/>
  </r>
  <r>
    <s v="TX500844"/>
    <s v="Jeans"/>
    <n v="17"/>
    <n v="96"/>
    <n v="1632"/>
    <d v="2025-02-04T00:00:00"/>
    <d v="2025-02-07T00:00:00"/>
    <s v="F"/>
    <x v="4"/>
    <n v="3"/>
    <s v="California"/>
    <s v="Sonoma County"/>
    <n v="3"/>
    <n v="6"/>
    <x v="2"/>
  </r>
  <r>
    <s v="TX500845"/>
    <s v="Tank Tops"/>
    <n v="1"/>
    <n v="83.6"/>
    <n v="83.6"/>
    <d v="2025-02-04T00:00:00"/>
    <d v="2025-02-07T00:00:00"/>
    <s v="F"/>
    <x v="2"/>
    <n v="3"/>
    <s v="California"/>
    <s v="Stanislaus County"/>
    <n v="3"/>
    <n v="6"/>
    <x v="2"/>
  </r>
  <r>
    <s v="TX500846"/>
    <s v="Sneakers"/>
    <n v="6"/>
    <n v="72.599999999999994"/>
    <n v="435.59999999999997"/>
    <d v="2025-02-04T00:00:00"/>
    <d v="2025-02-05T00:00:00"/>
    <s v="F"/>
    <x v="0"/>
    <n v="4"/>
    <s v="California"/>
    <s v="Alameda County"/>
    <n v="1"/>
    <n v="6"/>
    <x v="2"/>
  </r>
  <r>
    <s v="TX500847"/>
    <s v="Sandals"/>
    <n v="20"/>
    <n v="69.099999999999994"/>
    <n v="1382"/>
    <d v="2025-02-05T00:00:00"/>
    <d v="2025-02-11T00:00:00"/>
    <s v="M"/>
    <x v="0"/>
    <n v="5"/>
    <s v="California"/>
    <s v="Alameda County"/>
    <n v="6"/>
    <n v="6"/>
    <x v="1"/>
  </r>
  <r>
    <s v="TX500848"/>
    <s v="Graphic Tees"/>
    <n v="2"/>
    <n v="22.6"/>
    <n v="45.2"/>
    <d v="2025-02-05T00:00:00"/>
    <d v="2025-02-07T00:00:00"/>
    <s v="F"/>
    <x v="1"/>
    <n v="5"/>
    <s v="California"/>
    <s v="Alameda County"/>
    <n v="2"/>
    <n v="6"/>
    <x v="2"/>
  </r>
  <r>
    <s v="TX500849"/>
    <s v="Jeans"/>
    <n v="2"/>
    <n v="45.3"/>
    <n v="90.6"/>
    <d v="2025-02-05T00:00:00"/>
    <d v="2025-02-09T00:00:00"/>
    <s v="M"/>
    <x v="4"/>
    <n v="5"/>
    <s v="California"/>
    <s v="Alameda County"/>
    <n v="4"/>
    <n v="6"/>
    <x v="1"/>
  </r>
  <r>
    <s v="TX500850"/>
    <s v="Sneakers"/>
    <n v="2"/>
    <n v="115.1"/>
    <n v="230.2"/>
    <d v="2025-02-05T00:00:00"/>
    <d v="2025-02-06T00:00:00"/>
    <s v="F"/>
    <x v="1"/>
    <n v="4"/>
    <s v="California"/>
    <s v="Contra Costa County"/>
    <n v="1"/>
    <n v="6"/>
    <x v="2"/>
  </r>
  <r>
    <s v="TX500851"/>
    <s v="Leggings"/>
    <n v="4"/>
    <n v="79"/>
    <n v="316"/>
    <d v="2025-02-05T00:00:00"/>
    <d v="2025-02-07T00:00:00"/>
    <s v="M"/>
    <x v="2"/>
    <n v="2"/>
    <s v="California"/>
    <s v="Contra Costa County"/>
    <n v="2"/>
    <n v="6"/>
    <x v="1"/>
  </r>
  <r>
    <s v="TX500852"/>
    <s v="Jeans"/>
    <n v="5"/>
    <n v="52.8"/>
    <n v="264"/>
    <d v="2025-02-05T00:00:00"/>
    <d v="2025-02-06T00:00:00"/>
    <s v="F"/>
    <x v="0"/>
    <n v="4"/>
    <s v="California"/>
    <s v="El Dorado County"/>
    <n v="1"/>
    <n v="6"/>
    <x v="2"/>
  </r>
  <r>
    <s v="TX500853"/>
    <s v="T-Shirts"/>
    <n v="2"/>
    <n v="34.1"/>
    <n v="68.2"/>
    <d v="2025-02-05T00:00:00"/>
    <d v="2025-02-06T00:00:00"/>
    <s v="M"/>
    <x v="3"/>
    <n v="5"/>
    <s v="California"/>
    <s v="Humboldt County"/>
    <n v="1"/>
    <n v="6"/>
    <x v="1"/>
  </r>
  <r>
    <s v="TX500854"/>
    <s v="Jeans"/>
    <n v="5"/>
    <n v="107.9"/>
    <n v="539.5"/>
    <d v="2025-02-05T00:00:00"/>
    <d v="2025-02-05T00:00:00"/>
    <s v="F"/>
    <x v="0"/>
    <n v="5"/>
    <s v="California"/>
    <s v="Lake County"/>
    <n v="0"/>
    <n v="6"/>
    <x v="2"/>
  </r>
  <r>
    <s v="TX500855"/>
    <s v="T-Shirts"/>
    <n v="13"/>
    <n v="48.5"/>
    <n v="630.5"/>
    <d v="2025-02-05T00:00:00"/>
    <d v="2025-02-05T00:00:00"/>
    <s v="M"/>
    <x v="2"/>
    <n v="5"/>
    <s v="California"/>
    <s v="Los Angeles County"/>
    <n v="0"/>
    <n v="6"/>
    <x v="1"/>
  </r>
  <r>
    <s v="TX500856"/>
    <s v="Sandals"/>
    <n v="3"/>
    <n v="34.700000000000003"/>
    <n v="104.10000000000001"/>
    <d v="2025-02-05T00:00:00"/>
    <d v="2025-02-06T00:00:00"/>
    <s v=""/>
    <x v="4"/>
    <n v="3"/>
    <s v="California"/>
    <s v="Los Angeles County"/>
    <n v="1"/>
    <n v="6"/>
    <x v="0"/>
  </r>
  <r>
    <s v="TX500857"/>
    <s v="T-Shirts"/>
    <n v="1"/>
    <n v="16.8"/>
    <n v="16.8"/>
    <d v="2025-02-05T00:00:00"/>
    <d v="2025-02-07T00:00:00"/>
    <s v="F"/>
    <x v="3"/>
    <n v="4"/>
    <s v="California"/>
    <s v="Los Angeles County"/>
    <n v="2"/>
    <n v="6"/>
    <x v="2"/>
  </r>
  <r>
    <s v="TX500858"/>
    <s v="T-Shirts"/>
    <n v="6"/>
    <n v="18.3"/>
    <n v="109.80000000000001"/>
    <d v="2025-02-05T00:00:00"/>
    <d v="2025-02-08T00:00:00"/>
    <s v="F"/>
    <x v="0"/>
    <n v="4"/>
    <s v="California"/>
    <s v="Los Angeles County"/>
    <n v="3"/>
    <n v="6"/>
    <x v="2"/>
  </r>
  <r>
    <s v="TX500859"/>
    <s v="Leggings"/>
    <n v="3"/>
    <n v="55.9"/>
    <n v="167.7"/>
    <d v="2025-02-05T00:00:00"/>
    <d v="2025-02-11T00:00:00"/>
    <s v="M"/>
    <x v="3"/>
    <n v="3"/>
    <s v="California"/>
    <s v="Los Angeles County"/>
    <n v="6"/>
    <n v="6"/>
    <x v="1"/>
  </r>
  <r>
    <s v="TX500860"/>
    <s v="T-Shirts"/>
    <n v="3"/>
    <n v="39.200000000000003"/>
    <n v="117.60000000000001"/>
    <d v="2025-02-05T00:00:00"/>
    <d v="2025-02-07T00:00:00"/>
    <s v="F"/>
    <x v="0"/>
    <n v="3"/>
    <s v="California"/>
    <s v="Los Angeles County"/>
    <n v="2"/>
    <n v="6"/>
    <x v="2"/>
  </r>
  <r>
    <s v="TX500861"/>
    <s v="Crop Tops"/>
    <n v="4"/>
    <n v="66.5"/>
    <n v="266"/>
    <d v="2025-02-05T00:00:00"/>
    <d v="2025-02-07T00:00:00"/>
    <s v=""/>
    <x v="3"/>
    <n v="3"/>
    <s v="California"/>
    <s v="Los Angeles County"/>
    <n v="2"/>
    <n v="6"/>
    <x v="0"/>
  </r>
  <r>
    <s v="TX500862"/>
    <s v="Jeans"/>
    <n v="6"/>
    <n v="52.1"/>
    <n v="312.60000000000002"/>
    <d v="2025-02-05T00:00:00"/>
    <d v="2025-02-07T00:00:00"/>
    <s v="M"/>
    <x v="1"/>
    <n v="3"/>
    <s v="California"/>
    <s v="Napa County"/>
    <n v="2"/>
    <n v="6"/>
    <x v="1"/>
  </r>
  <r>
    <s v="TX500863"/>
    <s v="T-Shirts"/>
    <n v="2"/>
    <n v="19"/>
    <n v="38"/>
    <d v="2025-02-05T00:00:00"/>
    <d v="2025-02-06T00:00:00"/>
    <s v="M"/>
    <x v="4"/>
    <n v="5"/>
    <s v="California"/>
    <s v="Sacramento County"/>
    <n v="1"/>
    <n v="6"/>
    <x v="1"/>
  </r>
  <r>
    <s v="TX500864"/>
    <s v="Hoodies &amp; Sweatshirts"/>
    <n v="3"/>
    <n v="84.8"/>
    <n v="254.39999999999998"/>
    <d v="2025-02-05T00:00:00"/>
    <d v="2025-02-07T00:00:00"/>
    <s v="F"/>
    <x v="2"/>
    <n v="4"/>
    <s v="California"/>
    <s v="San Diego County"/>
    <n v="2"/>
    <n v="6"/>
    <x v="2"/>
  </r>
  <r>
    <s v="TX500865"/>
    <s v="Sneakers"/>
    <n v="4"/>
    <n v="63.9"/>
    <n v="255.6"/>
    <d v="2025-02-05T00:00:00"/>
    <d v="2025-02-08T00:00:00"/>
    <s v="F"/>
    <x v="0"/>
    <n v="4"/>
    <s v="California"/>
    <s v="San Diego County"/>
    <n v="3"/>
    <n v="6"/>
    <x v="2"/>
  </r>
  <r>
    <s v="TX500866"/>
    <s v="Sneakers"/>
    <n v="3"/>
    <n v="65.5"/>
    <n v="196.5"/>
    <d v="2025-02-05T00:00:00"/>
    <d v="2025-02-05T00:00:00"/>
    <s v="F"/>
    <x v="1"/>
    <n v="3"/>
    <s v="California"/>
    <s v="San Diego County"/>
    <n v="0"/>
    <n v="6"/>
    <x v="2"/>
  </r>
  <r>
    <s v="TX500867"/>
    <s v="Casual Dresses"/>
    <n v="2"/>
    <n v="116.2"/>
    <n v="232.4"/>
    <d v="2025-02-05T00:00:00"/>
    <d v="2025-02-11T00:00:00"/>
    <s v="M"/>
    <x v="3"/>
    <n v="4"/>
    <s v="California"/>
    <s v="San Francisco"/>
    <n v="6"/>
    <n v="6"/>
    <x v="1"/>
  </r>
  <r>
    <s v="TX500868"/>
    <s v="Bikinis"/>
    <n v="4"/>
    <n v="22.9"/>
    <n v="91.6"/>
    <d v="2025-02-05T00:00:00"/>
    <d v="2025-02-07T00:00:00"/>
    <s v="F"/>
    <x v="2"/>
    <n v="3"/>
    <s v="California"/>
    <s v="Solano County"/>
    <n v="2"/>
    <n v="6"/>
    <x v="2"/>
  </r>
  <r>
    <s v="TX500869"/>
    <s v="Bikinis"/>
    <n v="3"/>
    <n v="53.7"/>
    <n v="161.10000000000002"/>
    <d v="2025-02-05T00:00:00"/>
    <d v="2025-02-06T00:00:00"/>
    <s v="M"/>
    <x v="0"/>
    <n v="2"/>
    <s v="California"/>
    <s v="Sonoma County"/>
    <n v="1"/>
    <n v="6"/>
    <x v="1"/>
  </r>
  <r>
    <s v="TX500870"/>
    <s v="Jeans"/>
    <n v="5"/>
    <n v="43.2"/>
    <n v="216"/>
    <d v="2025-02-05T00:00:00"/>
    <d v="2025-02-07T00:00:00"/>
    <s v="F"/>
    <x v="0"/>
    <n v="4"/>
    <s v="California"/>
    <s v="Stanislaus County"/>
    <n v="2"/>
    <n v="6"/>
    <x v="2"/>
  </r>
  <r>
    <s v="TX500871"/>
    <s v="Tank Tops"/>
    <n v="3"/>
    <n v="84.5"/>
    <n v="253.5"/>
    <d v="2025-02-05T00:00:00"/>
    <d v="2025-02-07T00:00:00"/>
    <s v="M"/>
    <x v="2"/>
    <n v="5"/>
    <s v="California"/>
    <s v="Butte County"/>
    <n v="2"/>
    <n v="6"/>
    <x v="1"/>
  </r>
  <r>
    <s v="TX500872"/>
    <s v="Workout Tops"/>
    <n v="2"/>
    <n v="42.2"/>
    <n v="84.4"/>
    <d v="2025-02-05T00:00:00"/>
    <d v="2025-02-06T00:00:00"/>
    <s v="F"/>
    <x v="1"/>
    <n v="5"/>
    <s v="California"/>
    <s v="Contra Costa County"/>
    <n v="1"/>
    <n v="6"/>
    <x v="2"/>
  </r>
  <r>
    <s v="TX500873"/>
    <s v="Sneakers"/>
    <n v="6"/>
    <n v="94.7"/>
    <n v="568.20000000000005"/>
    <d v="2025-02-05T00:00:00"/>
    <d v="2025-02-08T00:00:00"/>
    <s v="F"/>
    <x v="1"/>
    <n v="5"/>
    <s v="California"/>
    <s v="Fresno County"/>
    <n v="3"/>
    <n v="6"/>
    <x v="2"/>
  </r>
  <r>
    <s v="TX500874"/>
    <s v="T-Shirts"/>
    <n v="18"/>
    <n v="16.7"/>
    <n v="300.59999999999997"/>
    <d v="2025-02-05T00:00:00"/>
    <d v="2025-02-17T00:00:00"/>
    <s v="F"/>
    <x v="0"/>
    <n v="5"/>
    <s v="California"/>
    <s v="Fresno County"/>
    <n v="12"/>
    <n v="6"/>
    <x v="2"/>
  </r>
  <r>
    <s v="TX500875"/>
    <s v="Sneakers"/>
    <n v="2"/>
    <n v="83.6"/>
    <n v="167.2"/>
    <d v="2025-02-05T00:00:00"/>
    <d v="2025-02-11T00:00:00"/>
    <s v="F"/>
    <x v="1"/>
    <n v="4"/>
    <s v="California"/>
    <s v="Los Angeles County"/>
    <n v="6"/>
    <n v="6"/>
    <x v="2"/>
  </r>
  <r>
    <s v="TX500876"/>
    <s v="Hoodies &amp; Sweatshirts"/>
    <n v="6"/>
    <n v="33.6"/>
    <n v="201.60000000000002"/>
    <d v="2025-02-06T00:00:00"/>
    <d v="2025-02-07T00:00:00"/>
    <s v="F"/>
    <x v="3"/>
    <n v="4"/>
    <s v="California"/>
    <s v="Los Angeles County"/>
    <n v="1"/>
    <n v="6"/>
    <x v="2"/>
  </r>
  <r>
    <s v="TX500877"/>
    <s v="Hoodies &amp; Sweatshirts"/>
    <n v="2"/>
    <n v="64.7"/>
    <n v="129.4"/>
    <d v="2025-02-06T00:00:00"/>
    <d v="2025-02-08T00:00:00"/>
    <s v="M"/>
    <x v="1"/>
    <n v="5"/>
    <s v="California"/>
    <s v="Los Angeles County"/>
    <n v="2"/>
    <n v="6"/>
    <x v="1"/>
  </r>
  <r>
    <s v="TX500878"/>
    <s v="Shorts"/>
    <n v="3"/>
    <n v="15.7"/>
    <n v="47.099999999999994"/>
    <d v="2025-02-06T00:00:00"/>
    <d v="2025-02-12T00:00:00"/>
    <s v="F"/>
    <x v="0"/>
    <n v="4"/>
    <s v="California"/>
    <s v="Los Angeles County"/>
    <n v="6"/>
    <n v="6"/>
    <x v="2"/>
  </r>
  <r>
    <s v="TX500879"/>
    <s v="Crop Tops"/>
    <n v="6"/>
    <n v="49.4"/>
    <n v="296.39999999999998"/>
    <d v="2025-02-06T00:00:00"/>
    <d v="2025-02-06T00:00:00"/>
    <s v="M"/>
    <x v="1"/>
    <n v="4"/>
    <s v="California"/>
    <s v="Los Angeles County"/>
    <n v="0"/>
    <n v="6"/>
    <x v="1"/>
  </r>
  <r>
    <s v="TX500880"/>
    <s v="Bikinis"/>
    <n v="6"/>
    <n v="37"/>
    <n v="222"/>
    <d v="2025-02-06T00:00:00"/>
    <d v="2025-02-09T00:00:00"/>
    <s v="F"/>
    <x v="1"/>
    <n v="5"/>
    <s v="California"/>
    <s v="Los Angeles County"/>
    <n v="3"/>
    <n v="6"/>
    <x v="2"/>
  </r>
  <r>
    <s v="TX500881"/>
    <s v="Sneakers"/>
    <n v="2"/>
    <n v="83.7"/>
    <n v="167.4"/>
    <d v="2025-02-06T00:00:00"/>
    <d v="2025-02-08T00:00:00"/>
    <s v="F"/>
    <x v="3"/>
    <n v="5"/>
    <s v="California"/>
    <s v="Los Angeles County"/>
    <n v="2"/>
    <n v="6"/>
    <x v="2"/>
  </r>
  <r>
    <s v="TX500882"/>
    <s v="Tank Tops"/>
    <n v="5"/>
    <n v="35.1"/>
    <n v="175.5"/>
    <d v="2025-02-06T00:00:00"/>
    <d v="2025-02-07T00:00:00"/>
    <s v="F"/>
    <x v="0"/>
    <n v="4"/>
    <s v="California"/>
    <s v="Los Angeles County"/>
    <n v="1"/>
    <n v="6"/>
    <x v="2"/>
  </r>
  <r>
    <s v="TX500883"/>
    <s v="Sunglasses"/>
    <n v="8"/>
    <n v="74"/>
    <n v="592"/>
    <d v="2025-02-06T00:00:00"/>
    <d v="2025-02-07T00:00:00"/>
    <s v="F"/>
    <x v="4"/>
    <n v="4"/>
    <s v="California"/>
    <s v="Madera County"/>
    <n v="1"/>
    <n v="6"/>
    <x v="2"/>
  </r>
  <r>
    <s v="TX500884"/>
    <s v="Jeans"/>
    <n v="24"/>
    <n v="55.5"/>
    <n v="1332"/>
    <d v="2025-02-06T00:00:00"/>
    <d v="2025-02-09T00:00:00"/>
    <s v="M"/>
    <x v="3"/>
    <n v="4"/>
    <s v="California"/>
    <s v="Monterey County"/>
    <n v="3"/>
    <n v="6"/>
    <x v="1"/>
  </r>
  <r>
    <s v="TX500885"/>
    <s v="Maxi Dresses"/>
    <n v="2"/>
    <n v="38.9"/>
    <n v="77.8"/>
    <d v="2025-02-06T00:00:00"/>
    <d v="2025-02-08T00:00:00"/>
    <s v="F"/>
    <x v="1"/>
    <n v="5"/>
    <s v="California"/>
    <s v="Orange County"/>
    <n v="2"/>
    <n v="6"/>
    <x v="2"/>
  </r>
  <r>
    <s v="TX500886"/>
    <s v="Sunglasses"/>
    <n v="2"/>
    <n v="64.599999999999994"/>
    <n v="129.19999999999999"/>
    <d v="2025-02-06T00:00:00"/>
    <d v="2025-02-13T00:00:00"/>
    <s v="M"/>
    <x v="2"/>
    <n v="3"/>
    <s v="California"/>
    <s v="Orange County"/>
    <n v="7"/>
    <n v="6"/>
    <x v="1"/>
  </r>
  <r>
    <s v="TX500887"/>
    <s v="Sneakers"/>
    <n v="3"/>
    <n v="95.3"/>
    <n v="285.89999999999998"/>
    <d v="2025-02-06T00:00:00"/>
    <d v="2025-02-07T00:00:00"/>
    <s v="M"/>
    <x v="0"/>
    <n v="4"/>
    <s v="California"/>
    <s v="Placer County"/>
    <n v="1"/>
    <n v="6"/>
    <x v="1"/>
  </r>
  <r>
    <s v="TX500888"/>
    <s v="Tote Bags"/>
    <n v="3"/>
    <n v="25.8"/>
    <n v="77.400000000000006"/>
    <d v="2025-02-06T00:00:00"/>
    <d v="2025-02-07T00:00:00"/>
    <s v="F"/>
    <x v="1"/>
    <n v="3"/>
    <s v="California"/>
    <s v="Sacramento County"/>
    <n v="1"/>
    <n v="6"/>
    <x v="2"/>
  </r>
  <r>
    <s v="TX500889"/>
    <s v="Shorts"/>
    <n v="2"/>
    <n v="11.6"/>
    <n v="23.2"/>
    <d v="2025-02-06T00:00:00"/>
    <d v="2025-02-10T00:00:00"/>
    <s v="F"/>
    <x v="1"/>
    <n v="3"/>
    <s v="California"/>
    <s v="Sacramento County"/>
    <n v="4"/>
    <n v="6"/>
    <x v="2"/>
  </r>
  <r>
    <s v="TX500890"/>
    <s v="Hoodies &amp; Sweatshirts"/>
    <n v="1"/>
    <n v="52.3"/>
    <n v="52.3"/>
    <d v="2025-02-06T00:00:00"/>
    <d v="2025-02-07T00:00:00"/>
    <s v="F"/>
    <x v="1"/>
    <n v="4"/>
    <s v="California"/>
    <s v="San Diego County"/>
    <n v="1"/>
    <n v="6"/>
    <x v="2"/>
  </r>
  <r>
    <s v="TX500891"/>
    <s v="Sneakers"/>
    <n v="10"/>
    <n v="112.2"/>
    <n v="1122"/>
    <d v="2025-02-06T00:00:00"/>
    <d v="2025-02-07T00:00:00"/>
    <s v="F"/>
    <x v="1"/>
    <n v="3"/>
    <s v="California"/>
    <s v="San Diego County"/>
    <n v="1"/>
    <n v="6"/>
    <x v="2"/>
  </r>
  <r>
    <s v="TX500892"/>
    <s v="Graphic Tees"/>
    <n v="5"/>
    <n v="34.6"/>
    <n v="173"/>
    <d v="2025-02-06T00:00:00"/>
    <d v="2025-02-08T00:00:00"/>
    <s v="M"/>
    <x v="2"/>
    <n v="4"/>
    <s v="California"/>
    <s v="San Diego County"/>
    <n v="2"/>
    <n v="6"/>
    <x v="1"/>
  </r>
  <r>
    <s v="TX500893"/>
    <s v="Baseball Caps"/>
    <n v="4"/>
    <n v="20.100000000000001"/>
    <n v="80.400000000000006"/>
    <d v="2025-02-06T00:00:00"/>
    <d v="2025-02-12T00:00:00"/>
    <s v="M"/>
    <x v="1"/>
    <n v="5"/>
    <s v="California"/>
    <s v="San Diego County"/>
    <n v="6"/>
    <n v="6"/>
    <x v="1"/>
  </r>
  <r>
    <s v="TX500894"/>
    <s v="Sneakers"/>
    <n v="4"/>
    <n v="56.4"/>
    <n v="225.6"/>
    <d v="2025-02-06T00:00:00"/>
    <d v="2025-02-08T00:00:00"/>
    <s v="F"/>
    <x v="2"/>
    <n v="4"/>
    <s v="California"/>
    <s v="Santa Barbara County"/>
    <n v="2"/>
    <n v="6"/>
    <x v="2"/>
  </r>
  <r>
    <s v="TX500895"/>
    <s v="Tote Bags"/>
    <n v="9"/>
    <n v="55.3"/>
    <n v="497.7"/>
    <d v="2025-02-06T00:00:00"/>
    <d v="2025-02-08T00:00:00"/>
    <s v="F"/>
    <x v="1"/>
    <n v="2"/>
    <s v="California"/>
    <s v="Santa Clara County"/>
    <n v="2"/>
    <n v="6"/>
    <x v="2"/>
  </r>
  <r>
    <s v="TX500896"/>
    <s v="Sneakers"/>
    <n v="28"/>
    <n v="75.5"/>
    <n v="2114"/>
    <d v="2025-02-06T00:00:00"/>
    <d v="2025-02-07T00:00:00"/>
    <s v="F"/>
    <x v="0"/>
    <n v="4"/>
    <s v="California"/>
    <s v="Santa Clara County"/>
    <n v="1"/>
    <n v="6"/>
    <x v="2"/>
  </r>
  <r>
    <s v="TX500897"/>
    <s v="T-Shirts"/>
    <n v="1"/>
    <n v="23.6"/>
    <n v="23.6"/>
    <d v="2025-02-06T00:00:00"/>
    <d v="2025-02-11T00:00:00"/>
    <s v="F"/>
    <x v="0"/>
    <n v="4"/>
    <s v="California"/>
    <s v="Stanislaus County"/>
    <n v="5"/>
    <n v="6"/>
    <x v="2"/>
  </r>
  <r>
    <s v="TX500898"/>
    <s v="Sundresses"/>
    <n v="2"/>
    <n v="70.7"/>
    <n v="141.4"/>
    <d v="2025-02-06T00:00:00"/>
    <d v="2025-02-08T00:00:00"/>
    <s v="F"/>
    <x v="2"/>
    <n v="4"/>
    <s v="California"/>
    <s v="Stanislaus County"/>
    <n v="2"/>
    <n v="6"/>
    <x v="2"/>
  </r>
  <r>
    <s v="TX500899"/>
    <s v="Casual Dresses"/>
    <n v="2"/>
    <n v="43.2"/>
    <n v="86.4"/>
    <d v="2025-02-06T00:00:00"/>
    <d v="2025-02-07T00:00:00"/>
    <s v="F"/>
    <x v="2"/>
    <n v="4"/>
    <s v="California"/>
    <s v="Sutter County"/>
    <n v="1"/>
    <n v="6"/>
    <x v="2"/>
  </r>
  <r>
    <s v="TX500900"/>
    <s v="Sundresses"/>
    <n v="9"/>
    <n v="70"/>
    <n v="630"/>
    <d v="2025-02-06T00:00:00"/>
    <d v="2025-02-07T00:00:00"/>
    <s v=""/>
    <x v="1"/>
    <n v="4"/>
    <s v="California"/>
    <s v="Tuolumne County"/>
    <n v="1"/>
    <n v="6"/>
    <x v="0"/>
  </r>
  <r>
    <s v="TX500901"/>
    <s v="Shorts"/>
    <n v="2"/>
    <n v="20.5"/>
    <n v="41"/>
    <d v="2025-02-06T00:00:00"/>
    <d v="2025-02-08T00:00:00"/>
    <s v="F"/>
    <x v="2"/>
    <n v="2"/>
    <s v="California"/>
    <s v="Ventura County"/>
    <n v="2"/>
    <n v="6"/>
    <x v="2"/>
  </r>
  <r>
    <s v="TX500902"/>
    <s v="Shorts"/>
    <n v="4"/>
    <n v="29.1"/>
    <n v="116.4"/>
    <d v="2025-02-06T00:00:00"/>
    <d v="2025-02-07T00:00:00"/>
    <s v="F"/>
    <x v="3"/>
    <n v="4"/>
    <s v="California"/>
    <s v="Yolo County"/>
    <n v="1"/>
    <n v="6"/>
    <x v="2"/>
  </r>
  <r>
    <s v="TX500903"/>
    <s v="Jeans"/>
    <n v="9"/>
    <n v="53.6"/>
    <n v="482.40000000000003"/>
    <d v="2025-02-06T00:00:00"/>
    <d v="2025-02-07T00:00:00"/>
    <s v="M"/>
    <x v="2"/>
    <n v="3"/>
    <s v="California"/>
    <s v="Los Angeles County"/>
    <n v="1"/>
    <n v="6"/>
    <x v="1"/>
  </r>
  <r>
    <s v="TX500904"/>
    <s v="Jeans"/>
    <n v="5"/>
    <n v="72.3"/>
    <n v="361.5"/>
    <d v="2025-02-06T00:00:00"/>
    <d v="2025-02-08T00:00:00"/>
    <s v="F"/>
    <x v="1"/>
    <n v="4"/>
    <s v="California"/>
    <s v="Los Angeles County"/>
    <n v="2"/>
    <n v="6"/>
    <x v="2"/>
  </r>
  <r>
    <s v="TX500905"/>
    <s v="Tote Bags"/>
    <n v="4"/>
    <n v="22.6"/>
    <n v="90.4"/>
    <d v="2025-02-06T00:00:00"/>
    <d v="2025-02-09T00:00:00"/>
    <s v="O"/>
    <x v="0"/>
    <n v="3"/>
    <s v="California"/>
    <s v="Los Angeles County"/>
    <n v="3"/>
    <n v="6"/>
    <x v="3"/>
  </r>
  <r>
    <s v="TX500906"/>
    <s v="Sundresses"/>
    <n v="2"/>
    <n v="44.2"/>
    <n v="88.4"/>
    <d v="2025-02-06T00:00:00"/>
    <d v="2025-02-10T00:00:00"/>
    <s v=""/>
    <x v="2"/>
    <n v="2"/>
    <s v="California"/>
    <s v="Los Angeles County"/>
    <n v="4"/>
    <n v="6"/>
    <x v="0"/>
  </r>
  <r>
    <s v="TX500907"/>
    <s v="Sundresses"/>
    <n v="3"/>
    <n v="94.1"/>
    <n v="282.29999999999995"/>
    <d v="2025-02-06T00:00:00"/>
    <d v="2025-02-19T00:00:00"/>
    <s v="F"/>
    <x v="2"/>
    <n v="5"/>
    <s v="California"/>
    <s v="Los Angeles County"/>
    <n v="13"/>
    <n v="6"/>
    <x v="2"/>
  </r>
  <r>
    <s v="TX500908"/>
    <s v="T-Shirts"/>
    <n v="3"/>
    <n v="17.899999999999999"/>
    <n v="53.699999999999996"/>
    <d v="2025-02-06T00:00:00"/>
    <d v="2025-02-08T00:00:00"/>
    <s v="M"/>
    <x v="1"/>
    <n v="3"/>
    <s v="California"/>
    <s v="Los Angeles County"/>
    <n v="2"/>
    <n v="6"/>
    <x v="1"/>
  </r>
  <r>
    <s v="TX500909"/>
    <s v="Casual Dresses"/>
    <n v="7"/>
    <n v="52.7"/>
    <n v="368.90000000000003"/>
    <d v="2025-02-06T00:00:00"/>
    <d v="2025-02-07T00:00:00"/>
    <s v="M"/>
    <x v="1"/>
    <n v="3"/>
    <s v="California"/>
    <s v="Los Angeles County"/>
    <n v="1"/>
    <n v="6"/>
    <x v="1"/>
  </r>
  <r>
    <s v="TX500910"/>
    <s v="T-Shirts"/>
    <n v="1"/>
    <n v="36.799999999999997"/>
    <n v="36.799999999999997"/>
    <d v="2025-02-06T00:00:00"/>
    <d v="2025-02-06T00:00:00"/>
    <s v=""/>
    <x v="0"/>
    <n v="5"/>
    <s v="California"/>
    <s v="Los Angeles County"/>
    <n v="0"/>
    <n v="6"/>
    <x v="0"/>
  </r>
  <r>
    <s v="TX500911"/>
    <s v="Graphic Tees"/>
    <n v="1"/>
    <n v="52.5"/>
    <n v="52.5"/>
    <d v="2025-02-06T00:00:00"/>
    <d v="2025-02-07T00:00:00"/>
    <s v="M"/>
    <x v="0"/>
    <n v="3"/>
    <s v="California"/>
    <s v="Sacramento County"/>
    <n v="1"/>
    <n v="6"/>
    <x v="1"/>
  </r>
  <r>
    <s v="TX500912"/>
    <s v="Sneakers"/>
    <n v="2"/>
    <n v="133.80000000000001"/>
    <n v="267.60000000000002"/>
    <d v="2025-02-06T00:00:00"/>
    <d v="2025-02-08T00:00:00"/>
    <s v="M"/>
    <x v="0"/>
    <n v="3"/>
    <s v="California"/>
    <s v="San Bernardino County"/>
    <n v="2"/>
    <n v="6"/>
    <x v="1"/>
  </r>
  <r>
    <s v="TX500913"/>
    <s v="Jeans"/>
    <n v="2"/>
    <n v="53.2"/>
    <n v="106.4"/>
    <d v="2025-02-06T00:00:00"/>
    <d v="2025-02-08T00:00:00"/>
    <s v="M"/>
    <x v="0"/>
    <n v="4"/>
    <s v="California"/>
    <s v="San Francisco"/>
    <n v="2"/>
    <n v="6"/>
    <x v="1"/>
  </r>
  <r>
    <s v="TX500914"/>
    <s v="Baseball Caps"/>
    <n v="6"/>
    <n v="18.7"/>
    <n v="112.19999999999999"/>
    <d v="2025-02-06T00:00:00"/>
    <d v="2025-02-08T00:00:00"/>
    <s v=""/>
    <x v="0"/>
    <n v="3"/>
    <s v="California"/>
    <s v="Santa Barbara County"/>
    <n v="2"/>
    <n v="6"/>
    <x v="0"/>
  </r>
  <r>
    <s v="TX500915"/>
    <s v="Jeans"/>
    <n v="4"/>
    <n v="108.8"/>
    <n v="435.2"/>
    <d v="2025-02-06T00:00:00"/>
    <d v="2025-02-07T00:00:00"/>
    <s v="F"/>
    <x v="3"/>
    <n v="5"/>
    <s v="California"/>
    <s v="Santa Clara County"/>
    <n v="1"/>
    <n v="6"/>
    <x v="2"/>
  </r>
  <r>
    <s v="TX500916"/>
    <s v="Crop Tops"/>
    <n v="5"/>
    <n v="38.5"/>
    <n v="192.5"/>
    <d v="2025-02-06T00:00:00"/>
    <d v="2025-02-10T00:00:00"/>
    <s v="F"/>
    <x v="0"/>
    <n v="3"/>
    <s v="California"/>
    <s v="Calaveras County"/>
    <n v="4"/>
    <n v="6"/>
    <x v="2"/>
  </r>
  <r>
    <s v="TX500917"/>
    <s v="Bikinis"/>
    <n v="10"/>
    <n v="46.5"/>
    <n v="465"/>
    <d v="2025-02-06T00:00:00"/>
    <d v="2025-02-08T00:00:00"/>
    <s v="M"/>
    <x v="2"/>
    <n v="3"/>
    <s v="California"/>
    <s v="Fresno County"/>
    <n v="2"/>
    <n v="6"/>
    <x v="1"/>
  </r>
  <r>
    <s v="TX500918"/>
    <s v="Sneakers"/>
    <n v="3"/>
    <n v="75.8"/>
    <n v="227.39999999999998"/>
    <d v="2025-02-06T00:00:00"/>
    <d v="2025-02-10T00:00:00"/>
    <s v="F"/>
    <x v="1"/>
    <n v="2"/>
    <s v="California"/>
    <s v="Humboldt County"/>
    <n v="4"/>
    <n v="6"/>
    <x v="2"/>
  </r>
  <r>
    <s v="TX500919"/>
    <s v="T-Shirts"/>
    <n v="1"/>
    <n v="20.9"/>
    <n v="20.9"/>
    <d v="2025-02-06T00:00:00"/>
    <d v="2025-02-10T00:00:00"/>
    <s v="M"/>
    <x v="0"/>
    <n v="4"/>
    <s v="California"/>
    <s v="Kern County"/>
    <n v="4"/>
    <n v="6"/>
    <x v="1"/>
  </r>
  <r>
    <s v="TX500920"/>
    <s v="Leggings"/>
    <n v="3"/>
    <n v="47.4"/>
    <n v="142.19999999999999"/>
    <d v="2025-02-06T00:00:00"/>
    <d v="2025-02-09T00:00:00"/>
    <s v="F"/>
    <x v="0"/>
    <n v="4"/>
    <s v="California"/>
    <s v="Los Angeles County"/>
    <n v="3"/>
    <n v="6"/>
    <x v="2"/>
  </r>
  <r>
    <s v="TX500921"/>
    <s v="Sundresses"/>
    <n v="2"/>
    <n v="53.8"/>
    <n v="107.6"/>
    <d v="2025-02-06T00:00:00"/>
    <d v="2025-02-07T00:00:00"/>
    <s v=""/>
    <x v="0"/>
    <n v="3"/>
    <s v="California"/>
    <s v="Los Angeles County"/>
    <n v="1"/>
    <n v="6"/>
    <x v="0"/>
  </r>
  <r>
    <s v="TX500922"/>
    <s v="T-Shirts"/>
    <n v="3"/>
    <n v="24.6"/>
    <n v="73.800000000000011"/>
    <d v="2025-02-06T00:00:00"/>
    <d v="2025-02-08T00:00:00"/>
    <s v="O"/>
    <x v="1"/>
    <n v="5"/>
    <s v="California"/>
    <s v="Los Angeles County"/>
    <n v="2"/>
    <n v="6"/>
    <x v="3"/>
  </r>
  <r>
    <s v="TX500923"/>
    <s v="Sundresses"/>
    <n v="3"/>
    <n v="70.900000000000006"/>
    <n v="212.70000000000002"/>
    <d v="2025-02-06T00:00:00"/>
    <d v="2025-02-11T00:00:00"/>
    <s v="F"/>
    <x v="2"/>
    <n v="5"/>
    <s v="California"/>
    <s v="Los Angeles County"/>
    <n v="5"/>
    <n v="6"/>
    <x v="2"/>
  </r>
  <r>
    <s v="TX500924"/>
    <s v="Pajama Sets"/>
    <n v="3"/>
    <n v="31.9"/>
    <n v="95.699999999999989"/>
    <d v="2025-02-06T00:00:00"/>
    <d v="2025-02-08T00:00:00"/>
    <s v="F"/>
    <x v="2"/>
    <n v="5"/>
    <s v="California"/>
    <s v="Los Angeles County"/>
    <n v="2"/>
    <n v="6"/>
    <x v="2"/>
  </r>
  <r>
    <s v="TX500925"/>
    <s v="Shorts"/>
    <n v="2"/>
    <n v="20.399999999999999"/>
    <n v="40.799999999999997"/>
    <d v="2025-02-06T00:00:00"/>
    <d v="2025-02-10T00:00:00"/>
    <s v="M"/>
    <x v="3"/>
    <n v="5"/>
    <s v="California"/>
    <s v="Los Angeles County"/>
    <n v="4"/>
    <n v="6"/>
    <x v="1"/>
  </r>
  <r>
    <s v="TX500926"/>
    <s v="T-Shirts"/>
    <n v="2"/>
    <n v="18.600000000000001"/>
    <n v="37.200000000000003"/>
    <d v="2025-02-06T00:00:00"/>
    <d v="2025-02-08T00:00:00"/>
    <s v=""/>
    <x v="0"/>
    <n v="3"/>
    <s v="California"/>
    <s v="Los Angeles County"/>
    <n v="2"/>
    <n v="6"/>
    <x v="0"/>
  </r>
  <r>
    <s v="TX500927"/>
    <s v="Graphic Tees"/>
    <n v="5"/>
    <n v="48.3"/>
    <n v="241.5"/>
    <d v="2025-02-06T00:00:00"/>
    <d v="2025-02-08T00:00:00"/>
    <s v="F"/>
    <x v="1"/>
    <n v="4"/>
    <s v="California"/>
    <s v="Los Angeles County"/>
    <n v="2"/>
    <n v="6"/>
    <x v="2"/>
  </r>
  <r>
    <s v="TX500928"/>
    <s v="Shorts"/>
    <n v="4"/>
    <n v="27.7"/>
    <n v="110.8"/>
    <d v="2025-02-06T00:00:00"/>
    <d v="2025-02-08T00:00:00"/>
    <s v="F"/>
    <x v="0"/>
    <n v="4"/>
    <s v="California"/>
    <s v="Los Angeles County"/>
    <n v="2"/>
    <n v="6"/>
    <x v="2"/>
  </r>
  <r>
    <s v="TX500929"/>
    <s v="Graphic Tees"/>
    <n v="5"/>
    <n v="22.5"/>
    <n v="112.5"/>
    <d v="2025-02-06T00:00:00"/>
    <d v="2025-02-08T00:00:00"/>
    <s v="F"/>
    <x v="4"/>
    <n v="5"/>
    <s v="California"/>
    <s v="Los Angeles County"/>
    <n v="2"/>
    <n v="6"/>
    <x v="2"/>
  </r>
  <r>
    <s v="TX500930"/>
    <s v="Pajama Sets"/>
    <n v="5"/>
    <n v="21.6"/>
    <n v="108"/>
    <d v="2025-02-06T00:00:00"/>
    <d v="2025-02-14T00:00:00"/>
    <s v="F"/>
    <x v="0"/>
    <n v="3"/>
    <s v="California"/>
    <s v="Los Angeles County"/>
    <n v="8"/>
    <n v="6"/>
    <x v="2"/>
  </r>
  <r>
    <s v="TX500931"/>
    <s v="Bikinis"/>
    <n v="7"/>
    <n v="26.3"/>
    <n v="184.1"/>
    <d v="2025-02-06T00:00:00"/>
    <d v="2025-02-06T00:00:00"/>
    <s v="F"/>
    <x v="2"/>
    <n v="3"/>
    <s v="California"/>
    <s v="Los Angeles County"/>
    <n v="0"/>
    <n v="6"/>
    <x v="2"/>
  </r>
  <r>
    <s v="TX500932"/>
    <s v="Jeans"/>
    <n v="7"/>
    <n v="103"/>
    <n v="721"/>
    <d v="2025-02-07T00:00:00"/>
    <d v="2025-02-08T00:00:00"/>
    <s v="M"/>
    <x v="0"/>
    <n v="5"/>
    <s v="California"/>
    <s v="Sacramento County"/>
    <n v="1"/>
    <n v="6"/>
    <x v="1"/>
  </r>
  <r>
    <s v="TX500933"/>
    <s v="Sandals"/>
    <n v="15"/>
    <n v="46.6"/>
    <n v="699"/>
    <d v="2025-02-07T00:00:00"/>
    <d v="2025-02-08T00:00:00"/>
    <s v="F"/>
    <x v="0"/>
    <n v="3"/>
    <s v="California"/>
    <s v="Sacramento County"/>
    <n v="1"/>
    <n v="6"/>
    <x v="2"/>
  </r>
  <r>
    <s v="TX500934"/>
    <s v="Shorts"/>
    <n v="5"/>
    <n v="32.200000000000003"/>
    <n v="161"/>
    <d v="2025-02-07T00:00:00"/>
    <d v="2025-02-10T00:00:00"/>
    <s v="F"/>
    <x v="0"/>
    <n v="5"/>
    <s v="California"/>
    <s v="San Benito County"/>
    <n v="3"/>
    <n v="6"/>
    <x v="2"/>
  </r>
  <r>
    <s v="TX500935"/>
    <s v="T-Shirts"/>
    <n v="3"/>
    <n v="22"/>
    <n v="66"/>
    <d v="2025-02-07T00:00:00"/>
    <d v="2025-02-14T00:00:00"/>
    <s v="M"/>
    <x v="1"/>
    <n v="4"/>
    <s v="California"/>
    <s v="San Bernardino County"/>
    <n v="7"/>
    <n v="6"/>
    <x v="1"/>
  </r>
  <r>
    <s v="TX500936"/>
    <s v="Shorts"/>
    <n v="2"/>
    <n v="25.2"/>
    <n v="50.4"/>
    <d v="2025-02-07T00:00:00"/>
    <d v="2025-02-11T00:00:00"/>
    <s v="F"/>
    <x v="0"/>
    <n v="4"/>
    <s v="California"/>
    <s v="San Bernardino County"/>
    <n v="4"/>
    <n v="6"/>
    <x v="2"/>
  </r>
  <r>
    <s v="TX500937"/>
    <s v="Tank Tops"/>
    <n v="6"/>
    <n v="68.7"/>
    <n v="412.20000000000005"/>
    <d v="2025-02-07T00:00:00"/>
    <d v="2025-02-09T00:00:00"/>
    <s v="M"/>
    <x v="4"/>
    <n v="4"/>
    <s v="California"/>
    <s v="San Diego County"/>
    <n v="2"/>
    <n v="6"/>
    <x v="1"/>
  </r>
  <r>
    <s v="TX500938"/>
    <s v="Shorts"/>
    <n v="3"/>
    <n v="22.2"/>
    <n v="66.599999999999994"/>
    <d v="2025-02-07T00:00:00"/>
    <d v="2025-02-10T00:00:00"/>
    <s v="M"/>
    <x v="2"/>
    <n v="5"/>
    <s v="California"/>
    <s v="San Diego County"/>
    <n v="3"/>
    <n v="6"/>
    <x v="1"/>
  </r>
  <r>
    <s v="TX500939"/>
    <s v="Tank Tops"/>
    <n v="7"/>
    <n v="36"/>
    <n v="252"/>
    <d v="2025-02-07T00:00:00"/>
    <d v="2025-02-08T00:00:00"/>
    <s v="F"/>
    <x v="1"/>
    <n v="4"/>
    <s v="California"/>
    <s v="San Diego County"/>
    <n v="1"/>
    <n v="6"/>
    <x v="2"/>
  </r>
  <r>
    <s v="TX500940"/>
    <s v="Leggings"/>
    <n v="1"/>
    <n v="50.6"/>
    <n v="50.6"/>
    <d v="2025-02-07T00:00:00"/>
    <d v="2025-02-09T00:00:00"/>
    <s v="F"/>
    <x v="0"/>
    <n v="3"/>
    <s v="California"/>
    <s v="San Diego County"/>
    <n v="2"/>
    <n v="6"/>
    <x v="2"/>
  </r>
  <r>
    <s v="TX500941"/>
    <s v="Crop Tops"/>
    <n v="2"/>
    <n v="44.9"/>
    <n v="89.8"/>
    <d v="2025-02-07T00:00:00"/>
    <d v="2025-02-09T00:00:00"/>
    <s v="M"/>
    <x v="0"/>
    <n v="3"/>
    <s v="California"/>
    <s v="San Diego County"/>
    <n v="2"/>
    <n v="6"/>
    <x v="1"/>
  </r>
  <r>
    <s v="TX500942"/>
    <s v="Jeans"/>
    <n v="3"/>
    <n v="71.599999999999994"/>
    <n v="214.79999999999998"/>
    <d v="2025-02-07T00:00:00"/>
    <d v="2025-02-11T00:00:00"/>
    <s v="M"/>
    <x v="1"/>
    <n v="5"/>
    <s v="California"/>
    <s v="Santa Barbara County"/>
    <n v="4"/>
    <n v="6"/>
    <x v="1"/>
  </r>
  <r>
    <s v="TX500943"/>
    <s v="Jeans"/>
    <n v="6"/>
    <n v="51.5"/>
    <n v="309"/>
    <d v="2025-02-07T00:00:00"/>
    <d v="2025-02-09T00:00:00"/>
    <s v=""/>
    <x v="4"/>
    <n v="4"/>
    <s v="California"/>
    <s v="Santa Clara County"/>
    <n v="2"/>
    <n v="6"/>
    <x v="0"/>
  </r>
  <r>
    <s v="TX500944"/>
    <s v="Hoodies &amp; Sweatshirts"/>
    <n v="5"/>
    <n v="55.5"/>
    <n v="277.5"/>
    <d v="2025-02-07T00:00:00"/>
    <d v="2025-02-08T00:00:00"/>
    <s v="M"/>
    <x v="1"/>
    <n v="3"/>
    <s v="California"/>
    <s v="Santa Clara County"/>
    <n v="1"/>
    <n v="6"/>
    <x v="1"/>
  </r>
  <r>
    <s v="TX500945"/>
    <s v="Jeans"/>
    <n v="1"/>
    <n v="51.7"/>
    <n v="51.7"/>
    <d v="2025-02-07T00:00:00"/>
    <d v="2025-02-21T00:00:00"/>
    <s v="M"/>
    <x v="2"/>
    <n v="4"/>
    <s v="California"/>
    <s v="Stanislaus County"/>
    <n v="14"/>
    <n v="6"/>
    <x v="1"/>
  </r>
  <r>
    <s v="TX500946"/>
    <s v="T-Shirts"/>
    <n v="21"/>
    <n v="45.5"/>
    <n v="955.5"/>
    <d v="2025-02-07T00:00:00"/>
    <d v="2025-02-08T00:00:00"/>
    <s v="F"/>
    <x v="3"/>
    <n v="5"/>
    <s v="California"/>
    <s v="Stanislaus County"/>
    <n v="1"/>
    <n v="6"/>
    <x v="2"/>
  </r>
  <r>
    <s v="TX500947"/>
    <s v="T-Shirts"/>
    <n v="2"/>
    <n v="33.799999999999997"/>
    <n v="67.599999999999994"/>
    <d v="2025-02-07T00:00:00"/>
    <d v="2025-02-13T00:00:00"/>
    <s v="F"/>
    <x v="3"/>
    <n v="4"/>
    <s v="California"/>
    <s v="Tulare County"/>
    <n v="6"/>
    <n v="6"/>
    <x v="2"/>
  </r>
  <r>
    <s v="TX500948"/>
    <s v="Workout Tops"/>
    <n v="3"/>
    <n v="76.5"/>
    <n v="229.5"/>
    <d v="2025-02-07T00:00:00"/>
    <d v="2025-02-08T00:00:00"/>
    <s v="F"/>
    <x v="0"/>
    <n v="3"/>
    <s v="California"/>
    <s v="Alameda County"/>
    <n v="1"/>
    <n v="6"/>
    <x v="2"/>
  </r>
  <r>
    <s v="TX500949"/>
    <s v="Sundresses"/>
    <n v="3"/>
    <n v="42.6"/>
    <n v="127.80000000000001"/>
    <d v="2025-02-07T00:00:00"/>
    <d v="2025-02-13T00:00:00"/>
    <s v="F"/>
    <x v="2"/>
    <n v="5"/>
    <s v="California"/>
    <s v="Fresno County"/>
    <n v="6"/>
    <n v="6"/>
    <x v="2"/>
  </r>
  <r>
    <s v="TX500950"/>
    <s v="Jeans"/>
    <n v="3"/>
    <n v="44.1"/>
    <n v="132.30000000000001"/>
    <d v="2025-02-07T00:00:00"/>
    <d v="2025-02-09T00:00:00"/>
    <s v="F"/>
    <x v="1"/>
    <n v="3"/>
    <s v="California"/>
    <s v="Kern County"/>
    <n v="2"/>
    <n v="6"/>
    <x v="2"/>
  </r>
  <r>
    <s v="TX500951"/>
    <s v="T-Shirts"/>
    <n v="2"/>
    <n v="40.9"/>
    <n v="81.8"/>
    <d v="2025-02-07T00:00:00"/>
    <d v="2025-02-11T00:00:00"/>
    <s v="M"/>
    <x v="0"/>
    <n v="4"/>
    <s v="California"/>
    <s v="Los Angeles County"/>
    <n v="4"/>
    <n v="6"/>
    <x v="1"/>
  </r>
  <r>
    <s v="TX500952"/>
    <s v="Sundresses"/>
    <n v="3"/>
    <n v="49.1"/>
    <n v="147.30000000000001"/>
    <d v="2025-02-07T00:00:00"/>
    <d v="2025-02-11T00:00:00"/>
    <s v="F"/>
    <x v="3"/>
    <n v="3"/>
    <s v="California"/>
    <s v="Los Angeles County"/>
    <n v="4"/>
    <n v="6"/>
    <x v="2"/>
  </r>
  <r>
    <s v="TX500953"/>
    <s v="Leggings"/>
    <n v="1"/>
    <n v="85.3"/>
    <n v="85.3"/>
    <d v="2025-02-07T00:00:00"/>
    <d v="2025-02-11T00:00:00"/>
    <s v="M"/>
    <x v="1"/>
    <n v="3"/>
    <s v="California"/>
    <s v="Los Angeles County"/>
    <n v="4"/>
    <n v="6"/>
    <x v="1"/>
  </r>
  <r>
    <s v="TX500954"/>
    <s v="Jeans"/>
    <n v="4"/>
    <n v="43.1"/>
    <n v="172.4"/>
    <d v="2025-02-08T00:00:00"/>
    <d v="2025-02-11T00:00:00"/>
    <s v="M"/>
    <x v="0"/>
    <n v="4"/>
    <s v="California"/>
    <s v="Los Angeles County"/>
    <n v="3"/>
    <n v="6"/>
    <x v="1"/>
  </r>
  <r>
    <s v="TX500955"/>
    <s v="Graphic Tees"/>
    <n v="4"/>
    <n v="46.2"/>
    <n v="184.8"/>
    <d v="2025-02-08T00:00:00"/>
    <d v="2025-02-09T00:00:00"/>
    <s v="M"/>
    <x v="2"/>
    <n v="4"/>
    <s v="California"/>
    <s v="Los Angeles County"/>
    <n v="1"/>
    <n v="6"/>
    <x v="1"/>
  </r>
  <r>
    <s v="TX500956"/>
    <s v="Tank Tops"/>
    <n v="1"/>
    <n v="74.400000000000006"/>
    <n v="74.400000000000006"/>
    <d v="2025-02-08T00:00:00"/>
    <d v="2025-02-10T00:00:00"/>
    <s v="M"/>
    <x v="4"/>
    <n v="5"/>
    <s v="California"/>
    <s v="Los Angeles County"/>
    <n v="2"/>
    <n v="6"/>
    <x v="1"/>
  </r>
  <r>
    <s v="TX500957"/>
    <s v="Pajama Sets"/>
    <n v="2"/>
    <n v="51.2"/>
    <n v="102.4"/>
    <d v="2025-02-08T00:00:00"/>
    <d v="2025-02-09T00:00:00"/>
    <s v="M"/>
    <x v="1"/>
    <n v="4"/>
    <s v="California"/>
    <s v="Los Angeles County"/>
    <n v="1"/>
    <n v="6"/>
    <x v="1"/>
  </r>
  <r>
    <s v="TX500958"/>
    <s v="Baseball Caps"/>
    <n v="4"/>
    <n v="11.8"/>
    <n v="47.2"/>
    <d v="2025-02-08T00:00:00"/>
    <d v="2025-02-08T00:00:00"/>
    <s v="M"/>
    <x v="2"/>
    <n v="4"/>
    <s v="California"/>
    <s v="Los Angeles County"/>
    <n v="0"/>
    <n v="6"/>
    <x v="1"/>
  </r>
  <r>
    <s v="TX500959"/>
    <s v="Bikinis"/>
    <n v="27"/>
    <n v="40.799999999999997"/>
    <n v="1101.5999999999999"/>
    <d v="2025-02-08T00:00:00"/>
    <d v="2025-02-09T00:00:00"/>
    <s v="F"/>
    <x v="3"/>
    <n v="5"/>
    <s v="California"/>
    <s v="Los Angeles County"/>
    <n v="1"/>
    <n v="6"/>
    <x v="2"/>
  </r>
  <r>
    <s v="TX500960"/>
    <s v="T-Shirts"/>
    <n v="1"/>
    <n v="24.7"/>
    <n v="24.7"/>
    <d v="2025-02-08T00:00:00"/>
    <d v="2025-02-10T00:00:00"/>
    <s v="F"/>
    <x v="2"/>
    <n v="3"/>
    <s v="California"/>
    <s v="Los Angeles County"/>
    <n v="2"/>
    <n v="6"/>
    <x v="2"/>
  </r>
  <r>
    <s v="TX500961"/>
    <s v="T-Shirts"/>
    <n v="7"/>
    <n v="22.1"/>
    <n v="154.70000000000002"/>
    <d v="2025-02-08T00:00:00"/>
    <d v="2025-02-08T00:00:00"/>
    <s v="F"/>
    <x v="2"/>
    <n v="2"/>
    <s v="California"/>
    <s v="Los Angeles County"/>
    <n v="0"/>
    <n v="6"/>
    <x v="2"/>
  </r>
  <r>
    <s v="TX500962"/>
    <s v="T-Shirts"/>
    <n v="1"/>
    <n v="18.100000000000001"/>
    <n v="18.100000000000001"/>
    <d v="2025-02-08T00:00:00"/>
    <d v="2025-02-12T00:00:00"/>
    <s v="M"/>
    <x v="3"/>
    <n v="5"/>
    <s v="California"/>
    <s v="Los Angeles County"/>
    <n v="4"/>
    <n v="6"/>
    <x v="1"/>
  </r>
  <r>
    <s v="TX500963"/>
    <s v="Pajama Sets"/>
    <n v="2"/>
    <n v="58.8"/>
    <n v="117.6"/>
    <d v="2025-02-08T00:00:00"/>
    <d v="2025-02-11T00:00:00"/>
    <s v="F"/>
    <x v="0"/>
    <n v="4"/>
    <s v="California"/>
    <s v="Orange County"/>
    <n v="3"/>
    <n v="6"/>
    <x v="2"/>
  </r>
  <r>
    <s v="TX500964"/>
    <s v="Leggings"/>
    <n v="2"/>
    <n v="30.8"/>
    <n v="61.6"/>
    <d v="2025-02-08T00:00:00"/>
    <d v="2025-02-09T00:00:00"/>
    <s v="F"/>
    <x v="0"/>
    <n v="4"/>
    <s v="California"/>
    <s v="Sacramento County"/>
    <n v="1"/>
    <n v="6"/>
    <x v="2"/>
  </r>
  <r>
    <s v="TX500965"/>
    <s v="Shorts"/>
    <n v="2"/>
    <n v="12"/>
    <n v="24"/>
    <d v="2025-02-08T00:00:00"/>
    <d v="2025-02-12T00:00:00"/>
    <s v="F"/>
    <x v="0"/>
    <n v="4"/>
    <s v="California"/>
    <s v="Sacramento County"/>
    <n v="4"/>
    <n v="6"/>
    <x v="2"/>
  </r>
  <r>
    <s v="TX500966"/>
    <s v="Shorts"/>
    <n v="4"/>
    <n v="13.6"/>
    <n v="54.4"/>
    <d v="2025-02-08T00:00:00"/>
    <d v="2025-02-11T00:00:00"/>
    <s v="M"/>
    <x v="2"/>
    <n v="4"/>
    <s v="California"/>
    <s v="Sacramento County"/>
    <n v="3"/>
    <n v="6"/>
    <x v="1"/>
  </r>
  <r>
    <s v="TX500967"/>
    <s v="Shorts"/>
    <n v="1"/>
    <n v="17.899999999999999"/>
    <n v="17.899999999999999"/>
    <d v="2025-02-08T00:00:00"/>
    <d v="2025-02-09T00:00:00"/>
    <s v="M"/>
    <x v="3"/>
    <n v="4"/>
    <s v="California"/>
    <s v="Sacramento County"/>
    <n v="1"/>
    <n v="6"/>
    <x v="1"/>
  </r>
  <r>
    <s v="TX500968"/>
    <s v="Sundresses"/>
    <n v="2"/>
    <n v="38.6"/>
    <n v="77.2"/>
    <d v="2025-02-08T00:00:00"/>
    <d v="2025-02-12T00:00:00"/>
    <s v="F"/>
    <x v="4"/>
    <n v="4"/>
    <s v="California"/>
    <s v="San Bernardino County"/>
    <n v="4"/>
    <n v="6"/>
    <x v="2"/>
  </r>
  <r>
    <s v="TX500969"/>
    <s v="Sandals"/>
    <n v="5"/>
    <n v="32.700000000000003"/>
    <n v="163.5"/>
    <d v="2025-02-08T00:00:00"/>
    <d v="2025-02-09T00:00:00"/>
    <s v="M"/>
    <x v="2"/>
    <n v="5"/>
    <s v="California"/>
    <s v="San Diego County"/>
    <n v="1"/>
    <n v="6"/>
    <x v="1"/>
  </r>
  <r>
    <s v="TX500970"/>
    <s v="Workout Tops"/>
    <n v="2"/>
    <n v="111.4"/>
    <n v="222.8"/>
    <d v="2025-02-08T00:00:00"/>
    <d v="2025-02-09T00:00:00"/>
    <s v="F"/>
    <x v="1"/>
    <n v="4"/>
    <s v="California"/>
    <s v="San Diego County"/>
    <n v="1"/>
    <n v="6"/>
    <x v="2"/>
  </r>
  <r>
    <s v="TX500971"/>
    <s v="Sneakers"/>
    <n v="6"/>
    <n v="80.3"/>
    <n v="481.79999999999995"/>
    <d v="2025-02-08T00:00:00"/>
    <d v="2025-02-10T00:00:00"/>
    <s v="F"/>
    <x v="1"/>
    <n v="4"/>
    <s v="California"/>
    <s v="San Diego County"/>
    <n v="2"/>
    <n v="6"/>
    <x v="2"/>
  </r>
  <r>
    <s v="TX500972"/>
    <s v="Jeans"/>
    <n v="2"/>
    <n v="58.9"/>
    <n v="117.8"/>
    <d v="2025-02-08T00:00:00"/>
    <d v="2025-02-09T00:00:00"/>
    <s v="M"/>
    <x v="1"/>
    <n v="4"/>
    <s v="California"/>
    <s v="San Diego County"/>
    <n v="1"/>
    <n v="6"/>
    <x v="1"/>
  </r>
  <r>
    <s v="TX500973"/>
    <s v="Jeans"/>
    <n v="3"/>
    <n v="51.9"/>
    <n v="155.69999999999999"/>
    <d v="2025-02-08T00:00:00"/>
    <d v="2025-02-10T00:00:00"/>
    <s v="F"/>
    <x v="1"/>
    <n v="2"/>
    <s v="California"/>
    <s v="San Diego County"/>
    <n v="2"/>
    <n v="6"/>
    <x v="2"/>
  </r>
  <r>
    <s v="TX500974"/>
    <s v="Sneakers"/>
    <n v="3"/>
    <n v="50.3"/>
    <n v="150.89999999999998"/>
    <d v="2025-02-08T00:00:00"/>
    <d v="2025-02-09T00:00:00"/>
    <s v="M"/>
    <x v="2"/>
    <n v="4"/>
    <s v="California"/>
    <s v="San Francisco"/>
    <n v="1"/>
    <n v="6"/>
    <x v="1"/>
  </r>
  <r>
    <s v="TX500975"/>
    <s v="Maxi Dresses"/>
    <n v="6"/>
    <n v="45"/>
    <n v="270"/>
    <d v="2025-02-08T00:00:00"/>
    <d v="2025-02-14T00:00:00"/>
    <s v="F"/>
    <x v="3"/>
    <n v="4"/>
    <s v="California"/>
    <s v="San Mateo County"/>
    <n v="6"/>
    <n v="6"/>
    <x v="2"/>
  </r>
  <r>
    <s v="TX500976"/>
    <s v="Bikinis"/>
    <n v="6"/>
    <n v="44.7"/>
    <n v="268.20000000000005"/>
    <d v="2025-02-08T00:00:00"/>
    <d v="2025-02-10T00:00:00"/>
    <s v="F"/>
    <x v="2"/>
    <n v="4"/>
    <s v="California"/>
    <s v="Santa Clara County"/>
    <n v="2"/>
    <n v="6"/>
    <x v="2"/>
  </r>
  <r>
    <s v="TX500977"/>
    <s v="Leggings"/>
    <n v="15"/>
    <n v="33"/>
    <n v="495"/>
    <d v="2025-02-08T00:00:00"/>
    <d v="2025-02-09T00:00:00"/>
    <s v="F"/>
    <x v="2"/>
    <n v="4"/>
    <s v="California"/>
    <s v="Santa Clara County"/>
    <n v="1"/>
    <n v="6"/>
    <x v="2"/>
  </r>
  <r>
    <s v="TX500978"/>
    <s v="Tank Tops"/>
    <n v="5"/>
    <n v="44.9"/>
    <n v="224.5"/>
    <d v="2025-02-08T00:00:00"/>
    <d v="2025-02-11T00:00:00"/>
    <s v="F"/>
    <x v="2"/>
    <n v="5"/>
    <s v="California"/>
    <s v="Sonoma County"/>
    <n v="3"/>
    <n v="6"/>
    <x v="2"/>
  </r>
  <r>
    <s v="TX500979"/>
    <s v="Bikinis"/>
    <n v="2"/>
    <n v="34.6"/>
    <n v="69.2"/>
    <d v="2025-02-08T00:00:00"/>
    <d v="2025-02-12T00:00:00"/>
    <s v="F"/>
    <x v="0"/>
    <n v="3"/>
    <s v="California"/>
    <s v="Stanislaus County"/>
    <n v="4"/>
    <n v="6"/>
    <x v="2"/>
  </r>
  <r>
    <s v="TX500980"/>
    <s v="Hoodies &amp; Sweatshirts"/>
    <n v="7"/>
    <n v="47.1"/>
    <n v="329.7"/>
    <d v="2025-02-08T00:00:00"/>
    <d v="2025-02-13T00:00:00"/>
    <s v="F"/>
    <x v="0"/>
    <n v="4"/>
    <s v="California"/>
    <s v="Ventura County"/>
    <n v="5"/>
    <n v="6"/>
    <x v="2"/>
  </r>
  <r>
    <s v="TX500981"/>
    <s v="Graphic Tees"/>
    <n v="5"/>
    <n v="26.1"/>
    <n v="130.5"/>
    <d v="2025-02-08T00:00:00"/>
    <d v="2025-02-13T00:00:00"/>
    <s v="M"/>
    <x v="0"/>
    <n v="5"/>
    <s v="California"/>
    <s v="Alameda County"/>
    <n v="5"/>
    <n v="6"/>
    <x v="1"/>
  </r>
  <r>
    <s v="TX500982"/>
    <s v="Casual Dresses"/>
    <n v="5"/>
    <n v="66.8"/>
    <n v="334"/>
    <d v="2025-02-08T00:00:00"/>
    <d v="2025-02-11T00:00:00"/>
    <s v="F"/>
    <x v="0"/>
    <n v="4"/>
    <s v="California"/>
    <s v="Alameda County"/>
    <n v="3"/>
    <n v="6"/>
    <x v="2"/>
  </r>
  <r>
    <s v="TX500983"/>
    <s v="Sneakers"/>
    <n v="2"/>
    <n v="167.9"/>
    <n v="335.8"/>
    <d v="2025-02-08T00:00:00"/>
    <d v="2025-02-09T00:00:00"/>
    <s v="F"/>
    <x v="3"/>
    <n v="5"/>
    <s v="California"/>
    <s v="Alameda County"/>
    <n v="1"/>
    <n v="6"/>
    <x v="2"/>
  </r>
  <r>
    <s v="TX500984"/>
    <s v="Bikinis"/>
    <n v="9"/>
    <n v="34.6"/>
    <n v="311.40000000000003"/>
    <d v="2025-02-08T00:00:00"/>
    <d v="2025-02-09T00:00:00"/>
    <s v="F"/>
    <x v="2"/>
    <n v="3"/>
    <s v="California"/>
    <s v="Alameda County"/>
    <n v="1"/>
    <n v="6"/>
    <x v="2"/>
  </r>
  <r>
    <s v="TX500985"/>
    <s v="T-Shirts"/>
    <n v="3"/>
    <n v="35.1"/>
    <n v="105.30000000000001"/>
    <d v="2025-02-09T00:00:00"/>
    <d v="2025-02-13T00:00:00"/>
    <s v="M"/>
    <x v="4"/>
    <n v="5"/>
    <s v="California"/>
    <s v="Contra Costa County"/>
    <n v="4"/>
    <n v="7"/>
    <x v="1"/>
  </r>
  <r>
    <s v="TX500986"/>
    <s v="Jeans"/>
    <n v="4"/>
    <n v="104.5"/>
    <n v="418"/>
    <d v="2025-02-09T00:00:00"/>
    <d v="2025-02-10T00:00:00"/>
    <s v="M"/>
    <x v="1"/>
    <n v="3"/>
    <s v="California"/>
    <s v="Contra Costa County"/>
    <n v="1"/>
    <n v="7"/>
    <x v="1"/>
  </r>
  <r>
    <s v="TX500987"/>
    <s v="T-Shirts"/>
    <n v="1"/>
    <n v="37.9"/>
    <n v="37.9"/>
    <d v="2025-02-09T00:00:00"/>
    <d v="2025-02-11T00:00:00"/>
    <s v=""/>
    <x v="1"/>
    <n v="5"/>
    <s v="California"/>
    <s v="Fresno County"/>
    <n v="2"/>
    <n v="7"/>
    <x v="0"/>
  </r>
  <r>
    <s v="TX500988"/>
    <s v="Graphic Tees"/>
    <n v="3"/>
    <n v="25.5"/>
    <n v="76.5"/>
    <d v="2025-02-09T00:00:00"/>
    <d v="2025-02-12T00:00:00"/>
    <s v="M"/>
    <x v="3"/>
    <n v="4"/>
    <s v="California"/>
    <s v="Fresno County"/>
    <n v="3"/>
    <n v="7"/>
    <x v="1"/>
  </r>
  <r>
    <s v="TX500989"/>
    <s v="Shorts"/>
    <n v="3"/>
    <n v="32"/>
    <n v="96"/>
    <d v="2025-02-09T00:00:00"/>
    <d v="2025-02-13T00:00:00"/>
    <s v="F"/>
    <x v="1"/>
    <n v="4"/>
    <s v="California"/>
    <s v="Kern County"/>
    <n v="4"/>
    <n v="7"/>
    <x v="2"/>
  </r>
  <r>
    <s v="TX500990"/>
    <s v="Tank Tops"/>
    <n v="1"/>
    <n v="47.1"/>
    <n v="47.1"/>
    <d v="2025-02-09T00:00:00"/>
    <d v="2025-02-10T00:00:00"/>
    <s v="F"/>
    <x v="0"/>
    <n v="4"/>
    <s v="California"/>
    <s v="Kings County"/>
    <n v="1"/>
    <n v="7"/>
    <x v="2"/>
  </r>
  <r>
    <s v="TX500991"/>
    <s v="Jeans"/>
    <n v="2"/>
    <n v="50.6"/>
    <n v="101.2"/>
    <d v="2025-02-09T00:00:00"/>
    <d v="2025-02-15T00:00:00"/>
    <s v=""/>
    <x v="0"/>
    <n v="4"/>
    <s v="California"/>
    <s v="Los Angeles County"/>
    <n v="6"/>
    <n v="7"/>
    <x v="0"/>
  </r>
  <r>
    <s v="TX500992"/>
    <s v="Jeans"/>
    <n v="5"/>
    <n v="81.7"/>
    <n v="408.5"/>
    <d v="2025-02-09T00:00:00"/>
    <d v="2025-02-10T00:00:00"/>
    <s v="F"/>
    <x v="1"/>
    <n v="5"/>
    <s v="California"/>
    <s v="Los Angeles County"/>
    <n v="1"/>
    <n v="7"/>
    <x v="2"/>
  </r>
  <r>
    <s v="TX500993"/>
    <s v="Sandals"/>
    <n v="2"/>
    <n v="50.7"/>
    <n v="101.4"/>
    <d v="2025-02-09T00:00:00"/>
    <d v="2025-02-10T00:00:00"/>
    <s v="O"/>
    <x v="2"/>
    <n v="5"/>
    <s v="California"/>
    <s v="Los Angeles County"/>
    <n v="1"/>
    <n v="7"/>
    <x v="3"/>
  </r>
  <r>
    <s v="TX500994"/>
    <s v="Sneakers"/>
    <n v="19"/>
    <n v="67.3"/>
    <n v="1278.7"/>
    <d v="2025-02-09T00:00:00"/>
    <d v="2025-02-13T00:00:00"/>
    <s v="F"/>
    <x v="2"/>
    <n v="4"/>
    <s v="California"/>
    <s v="Los Angeles County"/>
    <n v="4"/>
    <n v="7"/>
    <x v="2"/>
  </r>
  <r>
    <s v="TX500995"/>
    <s v="Sneakers"/>
    <n v="4"/>
    <n v="64.8"/>
    <n v="259.2"/>
    <d v="2025-02-09T00:00:00"/>
    <d v="2025-02-12T00:00:00"/>
    <s v="F"/>
    <x v="3"/>
    <n v="4"/>
    <s v="California"/>
    <s v="Los Angeles County"/>
    <n v="3"/>
    <n v="7"/>
    <x v="2"/>
  </r>
  <r>
    <s v="TX500996"/>
    <s v="Sandals"/>
    <n v="22"/>
    <n v="61.3"/>
    <n v="1348.6"/>
    <d v="2025-02-09T00:00:00"/>
    <d v="2025-02-10T00:00:00"/>
    <s v="F"/>
    <x v="0"/>
    <n v="5"/>
    <s v="California"/>
    <s v="Los Angeles County"/>
    <n v="1"/>
    <n v="7"/>
    <x v="2"/>
  </r>
  <r>
    <s v="TX500997"/>
    <s v="Baseball Caps"/>
    <n v="1"/>
    <n v="32.9"/>
    <n v="32.9"/>
    <d v="2025-02-09T00:00:00"/>
    <d v="2025-02-12T00:00:00"/>
    <s v="F"/>
    <x v="4"/>
    <n v="4"/>
    <s v="California"/>
    <s v="Los Angeles County"/>
    <n v="3"/>
    <n v="7"/>
    <x v="2"/>
  </r>
  <r>
    <s v="TX500998"/>
    <s v="Jeans"/>
    <n v="2"/>
    <n v="100.8"/>
    <n v="201.6"/>
    <d v="2025-02-09T00:00:00"/>
    <d v="2025-02-12T00:00:00"/>
    <s v="F"/>
    <x v="0"/>
    <n v="4"/>
    <s v="California"/>
    <s v="Los Angeles County"/>
    <n v="3"/>
    <n v="7"/>
    <x v="2"/>
  </r>
  <r>
    <s v="TX500999"/>
    <s v="T-Shirts"/>
    <n v="4"/>
    <n v="25.1"/>
    <n v="100.4"/>
    <d v="2025-02-09T00:00:00"/>
    <d v="2025-02-11T00:00:00"/>
    <s v="F"/>
    <x v="1"/>
    <n v="4"/>
    <s v="California"/>
    <s v="Los Angeles County"/>
    <n v="2"/>
    <n v="7"/>
    <x v="2"/>
  </r>
  <r>
    <s v="TX501000"/>
    <s v="Pajama Sets"/>
    <n v="1"/>
    <n v="48.5"/>
    <n v="48.5"/>
    <d v="2025-02-09T00:00:00"/>
    <d v="2025-02-10T00:00:00"/>
    <s v="F"/>
    <x v="0"/>
    <n v="3"/>
    <s v="California"/>
    <s v="Los Angeles County"/>
    <n v="1"/>
    <n v="7"/>
    <x v="2"/>
  </r>
  <r>
    <s v="TX501001"/>
    <s v="Hoodies &amp; Sweatshirts"/>
    <n v="2"/>
    <n v="33.6"/>
    <n v="67.2"/>
    <d v="2025-02-09T00:00:00"/>
    <d v="2025-02-13T00:00:00"/>
    <s v="F"/>
    <x v="2"/>
    <n v="5"/>
    <s v="California"/>
    <s v="Los Angeles County"/>
    <n v="4"/>
    <n v="7"/>
    <x v="2"/>
  </r>
  <r>
    <s v="TX501002"/>
    <s v="T-Shirts"/>
    <n v="1"/>
    <n v="39.299999999999997"/>
    <n v="39.299999999999997"/>
    <d v="2025-02-09T00:00:00"/>
    <d v="2025-02-20T00:00:00"/>
    <s v="F"/>
    <x v="1"/>
    <n v="3"/>
    <s v="California"/>
    <s v="Monterey County"/>
    <n v="11"/>
    <n v="7"/>
    <x v="2"/>
  </r>
  <r>
    <s v="TX501003"/>
    <s v="Graphic Tees"/>
    <n v="10"/>
    <n v="48.8"/>
    <n v="488"/>
    <d v="2025-02-09T00:00:00"/>
    <d v="2025-02-11T00:00:00"/>
    <s v="F"/>
    <x v="3"/>
    <n v="3"/>
    <s v="California"/>
    <s v="Orange County"/>
    <n v="2"/>
    <n v="7"/>
    <x v="2"/>
  </r>
  <r>
    <s v="TX501004"/>
    <s v="Jeans"/>
    <n v="8"/>
    <n v="72.8"/>
    <n v="582.4"/>
    <d v="2025-02-09T00:00:00"/>
    <d v="2025-02-11T00:00:00"/>
    <s v="M"/>
    <x v="1"/>
    <n v="5"/>
    <s v="California"/>
    <s v="Placer County"/>
    <n v="2"/>
    <n v="7"/>
    <x v="1"/>
  </r>
  <r>
    <s v="TX501005"/>
    <s v="Bikinis"/>
    <n v="8"/>
    <n v="46.2"/>
    <n v="369.6"/>
    <d v="2025-02-09T00:00:00"/>
    <d v="2025-02-10T00:00:00"/>
    <s v="M"/>
    <x v="3"/>
    <n v="2"/>
    <s v="California"/>
    <s v="Placer County"/>
    <n v="1"/>
    <n v="7"/>
    <x v="1"/>
  </r>
  <r>
    <s v="TX501006"/>
    <s v="Graphic Tees"/>
    <n v="2"/>
    <n v="20.7"/>
    <n v="41.4"/>
    <d v="2025-02-09T00:00:00"/>
    <d v="2025-02-10T00:00:00"/>
    <s v="F"/>
    <x v="2"/>
    <n v="1"/>
    <s v="California"/>
    <s v="Sacramento County"/>
    <n v="1"/>
    <n v="7"/>
    <x v="2"/>
  </r>
  <r>
    <s v="TX501007"/>
    <s v="Shorts"/>
    <n v="1"/>
    <n v="35.700000000000003"/>
    <n v="35.700000000000003"/>
    <d v="2025-02-09T00:00:00"/>
    <d v="2025-02-11T00:00:00"/>
    <s v="F"/>
    <x v="3"/>
    <n v="4"/>
    <s v="California"/>
    <s v="Sacramento County"/>
    <n v="2"/>
    <n v="7"/>
    <x v="2"/>
  </r>
  <r>
    <s v="TX501008"/>
    <s v="Sneakers"/>
    <n v="16"/>
    <n v="166.2"/>
    <n v="2659.2"/>
    <d v="2025-02-09T00:00:00"/>
    <d v="2025-02-11T00:00:00"/>
    <s v=""/>
    <x v="2"/>
    <n v="4"/>
    <s v="California"/>
    <s v="San Bernardino County"/>
    <n v="2"/>
    <n v="7"/>
    <x v="0"/>
  </r>
  <r>
    <s v="TX501009"/>
    <s v="Jeans"/>
    <n v="4"/>
    <n v="85.8"/>
    <n v="343.2"/>
    <d v="2025-02-09T00:00:00"/>
    <d v="2025-02-10T00:00:00"/>
    <s v="F"/>
    <x v="1"/>
    <n v="3"/>
    <s v="California"/>
    <s v="San Bernardino County"/>
    <n v="1"/>
    <n v="7"/>
    <x v="2"/>
  </r>
  <r>
    <s v="TX501010"/>
    <s v="T-Shirts"/>
    <n v="3"/>
    <n v="26"/>
    <n v="78"/>
    <d v="2025-02-09T00:00:00"/>
    <d v="2025-02-11T00:00:00"/>
    <s v="O"/>
    <x v="1"/>
    <n v="4"/>
    <s v="California"/>
    <s v="San Bernardino County"/>
    <n v="2"/>
    <n v="7"/>
    <x v="3"/>
  </r>
  <r>
    <s v="TX501011"/>
    <s v="Sneakers"/>
    <n v="13"/>
    <n v="116.6"/>
    <n v="1515.8"/>
    <d v="2025-02-09T00:00:00"/>
    <d v="2025-02-12T00:00:00"/>
    <s v="F"/>
    <x v="0"/>
    <n v="4"/>
    <s v="California"/>
    <s v="San Diego County"/>
    <n v="3"/>
    <n v="7"/>
    <x v="2"/>
  </r>
  <r>
    <s v="TX501012"/>
    <s v="Sundresses"/>
    <n v="7"/>
    <n v="53.9"/>
    <n v="377.3"/>
    <d v="2025-02-09T00:00:00"/>
    <d v="2025-02-12T00:00:00"/>
    <s v="O"/>
    <x v="0"/>
    <n v="5"/>
    <s v="California"/>
    <s v="San Diego County"/>
    <n v="3"/>
    <n v="7"/>
    <x v="3"/>
  </r>
  <r>
    <s v="TX501013"/>
    <s v="Casual Dresses"/>
    <n v="5"/>
    <n v="72.3"/>
    <n v="361.5"/>
    <d v="2025-02-09T00:00:00"/>
    <d v="2025-02-11T00:00:00"/>
    <s v=""/>
    <x v="2"/>
    <n v="5"/>
    <s v="California"/>
    <s v="San Diego County"/>
    <n v="2"/>
    <n v="7"/>
    <x v="0"/>
  </r>
  <r>
    <s v="TX501014"/>
    <s v="Sandals"/>
    <n v="2"/>
    <n v="31.4"/>
    <n v="62.8"/>
    <d v="2025-02-09T00:00:00"/>
    <d v="2025-02-11T00:00:00"/>
    <s v="F"/>
    <x v="0"/>
    <n v="4"/>
    <s v="California"/>
    <s v="San Diego County"/>
    <n v="2"/>
    <n v="7"/>
    <x v="2"/>
  </r>
  <r>
    <s v="TX501015"/>
    <s v="Tote Bags"/>
    <n v="2"/>
    <n v="53.1"/>
    <n v="106.2"/>
    <d v="2025-02-09T00:00:00"/>
    <d v="2025-02-12T00:00:00"/>
    <s v="M"/>
    <x v="1"/>
    <n v="4"/>
    <s v="California"/>
    <s v="San Diego County"/>
    <n v="3"/>
    <n v="7"/>
    <x v="1"/>
  </r>
  <r>
    <s v="TX501016"/>
    <s v="Sneakers"/>
    <n v="4"/>
    <n v="56.2"/>
    <n v="224.8"/>
    <d v="2025-02-09T00:00:00"/>
    <d v="2025-02-10T00:00:00"/>
    <s v="F"/>
    <x v="0"/>
    <n v="4"/>
    <s v="California"/>
    <s v="San Diego County"/>
    <n v="1"/>
    <n v="7"/>
    <x v="2"/>
  </r>
  <r>
    <s v="TX501017"/>
    <s v="Tank Tops"/>
    <n v="10"/>
    <n v="77.3"/>
    <n v="773"/>
    <d v="2025-02-09T00:00:00"/>
    <d v="2025-02-10T00:00:00"/>
    <s v="F"/>
    <x v="2"/>
    <n v="4"/>
    <s v="California"/>
    <s v="Santa Clara County"/>
    <n v="1"/>
    <n v="7"/>
    <x v="2"/>
  </r>
  <r>
    <s v="TX501018"/>
    <s v="Jeans"/>
    <n v="13"/>
    <n v="57.8"/>
    <n v="751.4"/>
    <d v="2025-02-09T00:00:00"/>
    <d v="2025-02-10T00:00:00"/>
    <s v=""/>
    <x v="0"/>
    <n v="4"/>
    <s v="California"/>
    <s v="Shasta County"/>
    <n v="1"/>
    <n v="7"/>
    <x v="0"/>
  </r>
  <r>
    <s v="TX501019"/>
    <s v="Casual Dresses"/>
    <n v="15"/>
    <n v="42.1"/>
    <n v="631.5"/>
    <d v="2025-02-09T00:00:00"/>
    <d v="2025-02-11T00:00:00"/>
    <s v="F"/>
    <x v="1"/>
    <n v="3"/>
    <s v="California"/>
    <s v="Shasta County"/>
    <n v="2"/>
    <n v="7"/>
    <x v="2"/>
  </r>
  <r>
    <s v="TX501020"/>
    <s v="T-Shirts"/>
    <n v="9"/>
    <n v="22.8"/>
    <n v="205.20000000000002"/>
    <d v="2025-02-09T00:00:00"/>
    <d v="2025-02-13T00:00:00"/>
    <s v="M"/>
    <x v="2"/>
    <n v="5"/>
    <s v="California"/>
    <s v="Stanislaus County"/>
    <n v="4"/>
    <n v="7"/>
    <x v="1"/>
  </r>
  <r>
    <s v="TX501021"/>
    <s v="Sneakers"/>
    <n v="3"/>
    <n v="171.1"/>
    <n v="513.29999999999995"/>
    <d v="2025-02-10T00:00:00"/>
    <d v="2025-02-17T00:00:00"/>
    <s v="F"/>
    <x v="2"/>
    <n v="3"/>
    <s v="California"/>
    <s v="Stanislaus County"/>
    <n v="7"/>
    <n v="7"/>
    <x v="2"/>
  </r>
  <r>
    <s v="TX501022"/>
    <s v="T-Shirts"/>
    <n v="1"/>
    <n v="28"/>
    <n v="28"/>
    <d v="2025-02-10T00:00:00"/>
    <d v="2025-02-12T00:00:00"/>
    <s v="M"/>
    <x v="2"/>
    <n v="5"/>
    <s v="California"/>
    <s v="Alameda County"/>
    <n v="2"/>
    <n v="7"/>
    <x v="1"/>
  </r>
  <r>
    <s v="TX501023"/>
    <s v="Jeans"/>
    <n v="7"/>
    <n v="50.2"/>
    <n v="351.40000000000003"/>
    <d v="2025-02-10T00:00:00"/>
    <d v="2025-02-12T00:00:00"/>
    <s v="M"/>
    <x v="2"/>
    <n v="4"/>
    <s v="California"/>
    <s v="Alameda County"/>
    <n v="2"/>
    <n v="7"/>
    <x v="1"/>
  </r>
  <r>
    <s v="TX501024"/>
    <s v="Jeans"/>
    <n v="2"/>
    <n v="56"/>
    <n v="112"/>
    <d v="2025-02-10T00:00:00"/>
    <d v="2025-02-10T00:00:00"/>
    <s v="M"/>
    <x v="0"/>
    <n v="5"/>
    <s v="California"/>
    <s v="Kern County"/>
    <n v="0"/>
    <n v="7"/>
    <x v="1"/>
  </r>
  <r>
    <s v="TX501025"/>
    <s v="Tank Tops"/>
    <n v="2"/>
    <n v="38.299999999999997"/>
    <n v="76.599999999999994"/>
    <d v="2025-02-10T00:00:00"/>
    <d v="2025-02-11T00:00:00"/>
    <s v="F"/>
    <x v="1"/>
    <n v="4"/>
    <s v="California"/>
    <s v="Los Angeles County"/>
    <n v="1"/>
    <n v="7"/>
    <x v="2"/>
  </r>
  <r>
    <s v="TX501026"/>
    <s v="Shorts"/>
    <n v="5"/>
    <n v="22.3"/>
    <n v="111.5"/>
    <d v="2025-02-10T00:00:00"/>
    <d v="2025-02-14T00:00:00"/>
    <s v="F"/>
    <x v="2"/>
    <n v="3"/>
    <s v="California"/>
    <s v="Los Angeles County"/>
    <n v="4"/>
    <n v="7"/>
    <x v="2"/>
  </r>
  <r>
    <s v="TX501027"/>
    <s v="Shorts"/>
    <n v="3"/>
    <n v="22.3"/>
    <n v="66.900000000000006"/>
    <d v="2025-02-10T00:00:00"/>
    <d v="2025-02-13T00:00:00"/>
    <s v="F"/>
    <x v="2"/>
    <n v="4"/>
    <s v="California"/>
    <s v="Los Angeles County"/>
    <n v="3"/>
    <n v="7"/>
    <x v="2"/>
  </r>
  <r>
    <s v="TX501028"/>
    <s v="Tank Tops"/>
    <n v="1"/>
    <n v="32.9"/>
    <n v="32.9"/>
    <d v="2025-02-10T00:00:00"/>
    <d v="2025-02-15T00:00:00"/>
    <s v="F"/>
    <x v="0"/>
    <n v="4"/>
    <s v="California"/>
    <s v="Los Angeles County"/>
    <n v="5"/>
    <n v="7"/>
    <x v="2"/>
  </r>
  <r>
    <s v="TX501029"/>
    <s v="Bikinis"/>
    <n v="3"/>
    <n v="31.9"/>
    <n v="95.699999999999989"/>
    <d v="2025-02-10T00:00:00"/>
    <d v="2025-02-15T00:00:00"/>
    <s v="F"/>
    <x v="0"/>
    <n v="4"/>
    <s v="California"/>
    <s v="Los Angeles County"/>
    <n v="5"/>
    <n v="7"/>
    <x v="2"/>
  </r>
  <r>
    <s v="TX501030"/>
    <s v="Jeans"/>
    <n v="2"/>
    <n v="94"/>
    <n v="188"/>
    <d v="2025-02-10T00:00:00"/>
    <d v="2025-02-11T00:00:00"/>
    <s v="M"/>
    <x v="2"/>
    <n v="5"/>
    <s v="California"/>
    <s v="Los Angeles County"/>
    <n v="1"/>
    <n v="7"/>
    <x v="1"/>
  </r>
  <r>
    <s v="TX501031"/>
    <s v="Bikinis"/>
    <n v="2"/>
    <n v="30.7"/>
    <n v="61.4"/>
    <d v="2025-02-10T00:00:00"/>
    <d v="2025-02-11T00:00:00"/>
    <s v="F"/>
    <x v="0"/>
    <n v="3"/>
    <s v="California"/>
    <s v="Los Angeles County"/>
    <n v="1"/>
    <n v="7"/>
    <x v="2"/>
  </r>
  <r>
    <s v="TX501032"/>
    <s v="Sandals"/>
    <n v="5"/>
    <n v="90.5"/>
    <n v="452.5"/>
    <d v="2025-02-10T00:00:00"/>
    <d v="2025-02-17T00:00:00"/>
    <s v="M"/>
    <x v="0"/>
    <n v="5"/>
    <s v="California"/>
    <s v="Los Angeles County"/>
    <n v="7"/>
    <n v="7"/>
    <x v="1"/>
  </r>
  <r>
    <s v="TX501033"/>
    <s v="T-Shirts"/>
    <n v="5"/>
    <n v="25.3"/>
    <n v="126.5"/>
    <d v="2025-02-10T00:00:00"/>
    <d v="2025-02-14T00:00:00"/>
    <s v="F"/>
    <x v="0"/>
    <n v="5"/>
    <s v="California"/>
    <s v="Los Angeles County"/>
    <n v="4"/>
    <n v="7"/>
    <x v="2"/>
  </r>
  <r>
    <s v="TX501034"/>
    <s v="Jeans"/>
    <n v="3"/>
    <n v="58.1"/>
    <n v="174.3"/>
    <d v="2025-02-10T00:00:00"/>
    <d v="2025-02-14T00:00:00"/>
    <s v=""/>
    <x v="0"/>
    <n v="5"/>
    <s v="California"/>
    <s v="Los Angeles County"/>
    <n v="4"/>
    <n v="7"/>
    <x v="0"/>
  </r>
  <r>
    <s v="TX501035"/>
    <s v="Sneakers"/>
    <n v="3"/>
    <n v="74.900000000000006"/>
    <n v="224.70000000000002"/>
    <d v="2025-02-10T00:00:00"/>
    <d v="2025-02-11T00:00:00"/>
    <s v="F"/>
    <x v="4"/>
    <n v="4"/>
    <s v="California"/>
    <s v="Los Angeles County"/>
    <n v="1"/>
    <n v="7"/>
    <x v="2"/>
  </r>
  <r>
    <s v="TX501036"/>
    <s v="Graphic Tees"/>
    <n v="2"/>
    <n v="32.5"/>
    <n v="65"/>
    <d v="2025-02-10T00:00:00"/>
    <d v="2025-02-11T00:00:00"/>
    <s v="M"/>
    <x v="2"/>
    <n v="5"/>
    <s v="California"/>
    <s v="Marin County"/>
    <n v="1"/>
    <n v="7"/>
    <x v="1"/>
  </r>
  <r>
    <s v="TX501037"/>
    <s v="Graphic Tees"/>
    <n v="5"/>
    <n v="62"/>
    <n v="310"/>
    <d v="2025-02-10T00:00:00"/>
    <d v="2025-02-11T00:00:00"/>
    <s v="M"/>
    <x v="4"/>
    <n v="5"/>
    <s v="California"/>
    <s v="Orange County"/>
    <n v="1"/>
    <n v="7"/>
    <x v="1"/>
  </r>
  <r>
    <s v="TX501038"/>
    <s v="Tote Bags"/>
    <n v="6"/>
    <n v="28.9"/>
    <n v="173.39999999999998"/>
    <d v="2025-02-10T00:00:00"/>
    <d v="2025-02-13T00:00:00"/>
    <s v="F"/>
    <x v="0"/>
    <n v="3"/>
    <s v="California"/>
    <s v="Sacramento County"/>
    <n v="3"/>
    <n v="7"/>
    <x v="2"/>
  </r>
  <r>
    <s v="TX501039"/>
    <s v="Jeans"/>
    <n v="8"/>
    <n v="42.8"/>
    <n v="342.4"/>
    <d v="2025-02-10T00:00:00"/>
    <d v="2025-02-12T00:00:00"/>
    <s v="F"/>
    <x v="0"/>
    <n v="5"/>
    <s v="California"/>
    <s v="Sacramento County"/>
    <n v="2"/>
    <n v="7"/>
    <x v="2"/>
  </r>
  <r>
    <s v="TX501040"/>
    <s v="T-Shirts"/>
    <n v="8"/>
    <n v="39.4"/>
    <n v="315.2"/>
    <d v="2025-02-10T00:00:00"/>
    <d v="2025-02-12T00:00:00"/>
    <s v="M"/>
    <x v="0"/>
    <n v="4"/>
    <s v="California"/>
    <s v="San Benito County"/>
    <n v="2"/>
    <n v="7"/>
    <x v="1"/>
  </r>
  <r>
    <s v="TX501041"/>
    <s v="Leggings"/>
    <n v="3"/>
    <n v="66.400000000000006"/>
    <n v="199.20000000000002"/>
    <d v="2025-02-10T00:00:00"/>
    <d v="2025-02-11T00:00:00"/>
    <s v=""/>
    <x v="2"/>
    <n v="3"/>
    <s v="California"/>
    <s v="San Bernardino County"/>
    <n v="1"/>
    <n v="7"/>
    <x v="0"/>
  </r>
  <r>
    <s v="TX501042"/>
    <s v="Pajama Sets"/>
    <n v="4"/>
    <n v="35.9"/>
    <n v="143.6"/>
    <d v="2025-02-10T00:00:00"/>
    <d v="2025-02-17T00:00:00"/>
    <s v="F"/>
    <x v="1"/>
    <n v="4"/>
    <s v="California"/>
    <s v="San Bernardino County"/>
    <n v="7"/>
    <n v="7"/>
    <x v="2"/>
  </r>
  <r>
    <s v="TX501043"/>
    <s v="Shorts"/>
    <n v="4"/>
    <n v="26.9"/>
    <n v="107.6"/>
    <d v="2025-02-10T00:00:00"/>
    <d v="2025-02-11T00:00:00"/>
    <s v="M"/>
    <x v="1"/>
    <n v="4"/>
    <s v="California"/>
    <s v="San Bernardino County"/>
    <n v="1"/>
    <n v="7"/>
    <x v="1"/>
  </r>
  <r>
    <s v="TX501044"/>
    <s v="Sneakers"/>
    <n v="1"/>
    <n v="55.1"/>
    <n v="55.1"/>
    <d v="2025-02-10T00:00:00"/>
    <d v="2025-02-11T00:00:00"/>
    <s v="F"/>
    <x v="0"/>
    <n v="4"/>
    <s v="California"/>
    <s v="San Bernardino County"/>
    <n v="1"/>
    <n v="7"/>
    <x v="2"/>
  </r>
  <r>
    <s v="TX501045"/>
    <s v="Graphic Tees"/>
    <n v="2"/>
    <n v="23.9"/>
    <n v="47.8"/>
    <d v="2025-02-10T00:00:00"/>
    <d v="2025-02-11T00:00:00"/>
    <s v="M"/>
    <x v="0"/>
    <n v="5"/>
    <s v="California"/>
    <s v="San Diego County"/>
    <n v="1"/>
    <n v="7"/>
    <x v="1"/>
  </r>
  <r>
    <s v="TX501046"/>
    <s v="Sundresses"/>
    <n v="13"/>
    <n v="21.1"/>
    <n v="274.3"/>
    <d v="2025-02-10T00:00:00"/>
    <d v="2025-02-18T00:00:00"/>
    <s v="F"/>
    <x v="0"/>
    <n v="3"/>
    <s v="California"/>
    <s v="San Diego County"/>
    <n v="8"/>
    <n v="7"/>
    <x v="2"/>
  </r>
  <r>
    <s v="TX501047"/>
    <s v="T-Shirts"/>
    <n v="5"/>
    <n v="33.799999999999997"/>
    <n v="169"/>
    <d v="2025-02-10T00:00:00"/>
    <d v="2025-02-12T00:00:00"/>
    <s v="F"/>
    <x v="0"/>
    <n v="4"/>
    <s v="California"/>
    <s v="San Diego County"/>
    <n v="2"/>
    <n v="7"/>
    <x v="2"/>
  </r>
  <r>
    <s v="TX501048"/>
    <s v="Sneakers"/>
    <n v="4"/>
    <n v="56.1"/>
    <n v="224.4"/>
    <d v="2025-02-10T00:00:00"/>
    <d v="2025-02-10T00:00:00"/>
    <s v="F"/>
    <x v="3"/>
    <n v="5"/>
    <s v="California"/>
    <s v="San Mateo County"/>
    <n v="0"/>
    <n v="7"/>
    <x v="2"/>
  </r>
  <r>
    <s v="TX501049"/>
    <s v="Workout Tops"/>
    <n v="1"/>
    <n v="58.5"/>
    <n v="58.5"/>
    <d v="2025-02-11T00:00:00"/>
    <d v="2025-02-15T00:00:00"/>
    <s v="F"/>
    <x v="1"/>
    <n v="5"/>
    <s v="California"/>
    <s v="San Mateo County"/>
    <n v="4"/>
    <n v="7"/>
    <x v="2"/>
  </r>
  <r>
    <s v="TX501050"/>
    <s v="Jeans"/>
    <n v="1"/>
    <n v="84.2"/>
    <n v="84.2"/>
    <d v="2025-02-11T00:00:00"/>
    <d v="2025-02-13T00:00:00"/>
    <s v="M"/>
    <x v="3"/>
    <n v="4"/>
    <s v="California"/>
    <s v="Santa Clara County"/>
    <n v="2"/>
    <n v="7"/>
    <x v="1"/>
  </r>
  <r>
    <s v="TX501051"/>
    <s v="Maxi Dresses"/>
    <n v="4"/>
    <n v="52"/>
    <n v="208"/>
    <d v="2025-02-11T00:00:00"/>
    <d v="2025-02-14T00:00:00"/>
    <s v="M"/>
    <x v="0"/>
    <n v="4"/>
    <s v="California"/>
    <s v="Santa Clara County"/>
    <n v="3"/>
    <n v="7"/>
    <x v="1"/>
  </r>
  <r>
    <s v="TX501052"/>
    <s v="Graphic Tees"/>
    <n v="5"/>
    <n v="31.5"/>
    <n v="157.5"/>
    <d v="2025-02-11T00:00:00"/>
    <d v="2025-02-12T00:00:00"/>
    <s v="F"/>
    <x v="0"/>
    <n v="5"/>
    <s v="California"/>
    <s v="Santa Clara County"/>
    <n v="1"/>
    <n v="7"/>
    <x v="2"/>
  </r>
  <r>
    <s v="TX501053"/>
    <s v="Sunglasses"/>
    <n v="3"/>
    <n v="46.2"/>
    <n v="138.60000000000002"/>
    <d v="2025-02-11T00:00:00"/>
    <d v="2025-02-12T00:00:00"/>
    <s v="M"/>
    <x v="0"/>
    <n v="4"/>
    <s v="California"/>
    <s v="Shasta County"/>
    <n v="1"/>
    <n v="7"/>
    <x v="1"/>
  </r>
  <r>
    <s v="TX501054"/>
    <s v="Sneakers"/>
    <n v="6"/>
    <n v="135"/>
    <n v="810"/>
    <d v="2025-02-11T00:00:00"/>
    <d v="2025-02-12T00:00:00"/>
    <s v="F"/>
    <x v="1"/>
    <n v="5"/>
    <s v="California"/>
    <s v="Sonoma County"/>
    <n v="1"/>
    <n v="7"/>
    <x v="2"/>
  </r>
  <r>
    <s v="TX501055"/>
    <s v="Casual Dresses"/>
    <n v="3"/>
    <n v="92.2"/>
    <n v="276.60000000000002"/>
    <d v="2025-02-11T00:00:00"/>
    <d v="2025-02-15T00:00:00"/>
    <s v="M"/>
    <x v="0"/>
    <n v="4"/>
    <s v="California"/>
    <s v="Alameda County"/>
    <n v="4"/>
    <n v="7"/>
    <x v="1"/>
  </r>
  <r>
    <s v="TX501056"/>
    <s v="T-Shirts"/>
    <n v="1"/>
    <n v="36.6"/>
    <n v="36.6"/>
    <d v="2025-02-11T00:00:00"/>
    <d v="2025-02-13T00:00:00"/>
    <s v="M"/>
    <x v="2"/>
    <n v="5"/>
    <s v="California"/>
    <s v="Alameda County"/>
    <n v="2"/>
    <n v="7"/>
    <x v="1"/>
  </r>
  <r>
    <s v="TX501057"/>
    <s v="Sundresses"/>
    <n v="2"/>
    <n v="50.6"/>
    <n v="101.2"/>
    <d v="2025-02-11T00:00:00"/>
    <d v="2025-02-14T00:00:00"/>
    <s v="F"/>
    <x v="0"/>
    <n v="4"/>
    <s v="California"/>
    <s v="Fresno County"/>
    <n v="3"/>
    <n v="7"/>
    <x v="2"/>
  </r>
  <r>
    <s v="TX501058"/>
    <s v="Leggings"/>
    <n v="7"/>
    <n v="56.7"/>
    <n v="396.90000000000003"/>
    <d v="2025-02-11T00:00:00"/>
    <d v="2025-02-14T00:00:00"/>
    <s v="F"/>
    <x v="0"/>
    <n v="4"/>
    <s v="California"/>
    <s v="Fresno County"/>
    <n v="3"/>
    <n v="7"/>
    <x v="2"/>
  </r>
  <r>
    <s v="TX501059"/>
    <s v="Sundresses"/>
    <n v="13"/>
    <n v="22.9"/>
    <n v="297.7"/>
    <d v="2025-02-11T00:00:00"/>
    <d v="2025-02-12T00:00:00"/>
    <s v="F"/>
    <x v="0"/>
    <n v="3"/>
    <s v="California"/>
    <s v="Humboldt County"/>
    <n v="1"/>
    <n v="7"/>
    <x v="2"/>
  </r>
  <r>
    <s v="TX501060"/>
    <s v="Crop Tops"/>
    <n v="19"/>
    <n v="53.6"/>
    <n v="1018.4"/>
    <d v="2025-02-11T00:00:00"/>
    <d v="2025-02-12T00:00:00"/>
    <s v="M"/>
    <x v="0"/>
    <n v="4"/>
    <s v="California"/>
    <s v="Kern County"/>
    <n v="1"/>
    <n v="7"/>
    <x v="1"/>
  </r>
  <r>
    <s v="TX501061"/>
    <s v="Leggings"/>
    <n v="2"/>
    <n v="30.2"/>
    <n v="60.4"/>
    <d v="2025-02-11T00:00:00"/>
    <d v="2025-02-13T00:00:00"/>
    <s v=""/>
    <x v="2"/>
    <n v="5"/>
    <s v="California"/>
    <s v="Los Angeles County"/>
    <n v="2"/>
    <n v="7"/>
    <x v="0"/>
  </r>
  <r>
    <s v="TX501062"/>
    <s v="Crop Tops"/>
    <n v="6"/>
    <n v="83.4"/>
    <n v="500.40000000000003"/>
    <d v="2025-02-11T00:00:00"/>
    <d v="2025-02-12T00:00:00"/>
    <s v="M"/>
    <x v="1"/>
    <n v="5"/>
    <s v="California"/>
    <s v="Los Angeles County"/>
    <n v="1"/>
    <n v="7"/>
    <x v="1"/>
  </r>
  <r>
    <s v="TX501063"/>
    <s v="Tote Bags"/>
    <n v="12"/>
    <n v="16.600000000000001"/>
    <n v="199.20000000000002"/>
    <d v="2025-02-11T00:00:00"/>
    <d v="2025-02-13T00:00:00"/>
    <s v="M"/>
    <x v="1"/>
    <n v="4"/>
    <s v="California"/>
    <s v="Los Angeles County"/>
    <n v="2"/>
    <n v="7"/>
    <x v="1"/>
  </r>
  <r>
    <s v="TX501064"/>
    <s v="T-Shirts"/>
    <n v="17"/>
    <n v="21.9"/>
    <n v="372.29999999999995"/>
    <d v="2025-02-11T00:00:00"/>
    <d v="2025-02-13T00:00:00"/>
    <s v="F"/>
    <x v="4"/>
    <n v="3"/>
    <s v="California"/>
    <s v="Los Angeles County"/>
    <n v="2"/>
    <n v="7"/>
    <x v="2"/>
  </r>
  <r>
    <s v="TX501065"/>
    <s v="T-Shirts"/>
    <n v="28"/>
    <n v="33.799999999999997"/>
    <n v="946.39999999999986"/>
    <d v="2025-02-11T00:00:00"/>
    <d v="2025-02-13T00:00:00"/>
    <s v="M"/>
    <x v="2"/>
    <n v="2"/>
    <s v="California"/>
    <s v="Los Angeles County"/>
    <n v="2"/>
    <n v="7"/>
    <x v="1"/>
  </r>
  <r>
    <s v="TX501066"/>
    <s v="Leggings"/>
    <n v="2"/>
    <n v="53.2"/>
    <n v="106.4"/>
    <d v="2025-02-11T00:00:00"/>
    <d v="2025-02-11T00:00:00"/>
    <s v="M"/>
    <x v="1"/>
    <n v="4"/>
    <s v="California"/>
    <s v="Los Angeles County"/>
    <n v="0"/>
    <n v="7"/>
    <x v="1"/>
  </r>
  <r>
    <s v="TX501067"/>
    <s v="Sneakers"/>
    <n v="2"/>
    <n v="176.7"/>
    <n v="353.4"/>
    <d v="2025-02-11T00:00:00"/>
    <d v="2025-02-14T00:00:00"/>
    <s v="F"/>
    <x v="2"/>
    <n v="4"/>
    <s v="California"/>
    <s v="Los Angeles County"/>
    <n v="3"/>
    <n v="7"/>
    <x v="2"/>
  </r>
  <r>
    <s v="TX501068"/>
    <s v="Casual Dresses"/>
    <n v="3"/>
    <n v="54"/>
    <n v="162"/>
    <d v="2025-02-11T00:00:00"/>
    <d v="2025-02-14T00:00:00"/>
    <s v="M"/>
    <x v="0"/>
    <n v="3"/>
    <s v="California"/>
    <s v="Los Angeles County"/>
    <n v="3"/>
    <n v="7"/>
    <x v="1"/>
  </r>
  <r>
    <s v="TX501069"/>
    <s v="Sundresses"/>
    <n v="2"/>
    <n v="70.099999999999994"/>
    <n v="140.19999999999999"/>
    <d v="2025-02-11T00:00:00"/>
    <d v="2025-02-19T00:00:00"/>
    <s v="F"/>
    <x v="3"/>
    <n v="5"/>
    <s v="California"/>
    <s v="Los Angeles County"/>
    <n v="8"/>
    <n v="7"/>
    <x v="2"/>
  </r>
  <r>
    <s v="TX501070"/>
    <s v="T-Shirts"/>
    <n v="1"/>
    <n v="26.5"/>
    <n v="26.5"/>
    <d v="2025-02-11T00:00:00"/>
    <d v="2025-02-13T00:00:00"/>
    <s v="F"/>
    <x v="1"/>
    <n v="4"/>
    <s v="California"/>
    <s v="Los Angeles County"/>
    <n v="2"/>
    <n v="7"/>
    <x v="2"/>
  </r>
  <r>
    <s v="TX501071"/>
    <s v="Hoodies &amp; Sweatshirts"/>
    <n v="5"/>
    <n v="89"/>
    <n v="445"/>
    <d v="2025-02-11T00:00:00"/>
    <d v="2025-02-13T00:00:00"/>
    <s v="M"/>
    <x v="2"/>
    <n v="2"/>
    <s v="California"/>
    <s v="Los Angeles County"/>
    <n v="2"/>
    <n v="7"/>
    <x v="1"/>
  </r>
  <r>
    <s v="TX501072"/>
    <s v="Tank Tops"/>
    <n v="6"/>
    <n v="47"/>
    <n v="282"/>
    <d v="2025-02-11T00:00:00"/>
    <d v="2025-02-14T00:00:00"/>
    <s v="F"/>
    <x v="3"/>
    <n v="4"/>
    <s v="California"/>
    <s v="Merced County"/>
    <n v="3"/>
    <n v="7"/>
    <x v="2"/>
  </r>
  <r>
    <s v="TX501073"/>
    <s v="Workout Tops"/>
    <n v="2"/>
    <n v="55.2"/>
    <n v="110.4"/>
    <d v="2025-02-11T00:00:00"/>
    <d v="2025-02-14T00:00:00"/>
    <s v="M"/>
    <x v="1"/>
    <n v="3"/>
    <s v="California"/>
    <s v="Sacramento County"/>
    <n v="3"/>
    <n v="7"/>
    <x v="1"/>
  </r>
  <r>
    <s v="TX501074"/>
    <s v="T-Shirts"/>
    <n v="42"/>
    <n v="33.299999999999997"/>
    <n v="1398.6"/>
    <d v="2025-02-11T00:00:00"/>
    <d v="2025-02-25T00:00:00"/>
    <s v="M"/>
    <x v="1"/>
    <n v="5"/>
    <s v="California"/>
    <s v="Sacramento County"/>
    <n v="14"/>
    <n v="7"/>
    <x v="1"/>
  </r>
  <r>
    <s v="TX501075"/>
    <s v="Sneakers"/>
    <n v="4"/>
    <n v="110.9"/>
    <n v="443.6"/>
    <d v="2025-02-12T00:00:00"/>
    <d v="2025-02-12T00:00:00"/>
    <s v="M"/>
    <x v="2"/>
    <n v="2"/>
    <s v="California"/>
    <s v="Sacramento County"/>
    <n v="0"/>
    <n v="7"/>
    <x v="1"/>
  </r>
  <r>
    <s v="TX501076"/>
    <s v="Sneakers"/>
    <n v="6"/>
    <n v="67.3"/>
    <n v="403.79999999999995"/>
    <d v="2025-02-12T00:00:00"/>
    <d v="2025-02-13T00:00:00"/>
    <s v="M"/>
    <x v="0"/>
    <n v="4"/>
    <s v="California"/>
    <s v="San Diego County"/>
    <n v="1"/>
    <n v="7"/>
    <x v="1"/>
  </r>
  <r>
    <s v="TX501077"/>
    <s v="Jeans"/>
    <n v="3"/>
    <n v="69.7"/>
    <n v="209.10000000000002"/>
    <d v="2025-02-12T00:00:00"/>
    <d v="2025-02-13T00:00:00"/>
    <s v="M"/>
    <x v="2"/>
    <n v="3"/>
    <s v="California"/>
    <s v="San Diego County"/>
    <n v="1"/>
    <n v="7"/>
    <x v="1"/>
  </r>
  <r>
    <s v="TX501078"/>
    <s v="Sandals"/>
    <n v="1"/>
    <n v="39.1"/>
    <n v="39.1"/>
    <d v="2025-02-12T00:00:00"/>
    <d v="2025-02-17T00:00:00"/>
    <s v="M"/>
    <x v="0"/>
    <n v="3"/>
    <s v="California"/>
    <s v="San Francisco"/>
    <n v="5"/>
    <n v="7"/>
    <x v="1"/>
  </r>
  <r>
    <s v="TX501079"/>
    <s v="Sneakers"/>
    <n v="3"/>
    <n v="208.6"/>
    <n v="625.79999999999995"/>
    <d v="2025-02-12T00:00:00"/>
    <d v="2025-02-12T00:00:00"/>
    <s v="M"/>
    <x v="4"/>
    <n v="5"/>
    <s v="California"/>
    <s v="San Francisco"/>
    <n v="0"/>
    <n v="7"/>
    <x v="1"/>
  </r>
  <r>
    <s v="TX501080"/>
    <s v="Crop Tops"/>
    <n v="3"/>
    <n v="27.8"/>
    <n v="83.4"/>
    <d v="2025-02-12T00:00:00"/>
    <d v="2025-02-13T00:00:00"/>
    <s v="M"/>
    <x v="3"/>
    <n v="3"/>
    <s v="California"/>
    <s v="Santa Clara County"/>
    <n v="1"/>
    <n v="7"/>
    <x v="1"/>
  </r>
  <r>
    <s v="TX501081"/>
    <s v="Bikinis"/>
    <n v="5"/>
    <n v="29.4"/>
    <n v="147"/>
    <d v="2025-02-12T00:00:00"/>
    <d v="2025-02-14T00:00:00"/>
    <s v="F"/>
    <x v="0"/>
    <n v="4"/>
    <s v="California"/>
    <s v="Santa Clara County"/>
    <n v="2"/>
    <n v="7"/>
    <x v="2"/>
  </r>
  <r>
    <s v="TX501082"/>
    <s v="Sundresses"/>
    <n v="2"/>
    <n v="29.2"/>
    <n v="58.4"/>
    <d v="2025-02-12T00:00:00"/>
    <d v="2025-02-14T00:00:00"/>
    <s v="F"/>
    <x v="1"/>
    <n v="5"/>
    <s v="California"/>
    <s v="Tulare County"/>
    <n v="2"/>
    <n v="7"/>
    <x v="2"/>
  </r>
  <r>
    <s v="TX501083"/>
    <s v="Bikinis"/>
    <n v="5"/>
    <n v="26.5"/>
    <n v="132.5"/>
    <d v="2025-02-12T00:00:00"/>
    <d v="2025-02-14T00:00:00"/>
    <s v="F"/>
    <x v="0"/>
    <n v="4"/>
    <s v="California"/>
    <s v="Tuolumne County"/>
    <n v="2"/>
    <n v="7"/>
    <x v="2"/>
  </r>
  <r>
    <s v="TX501084"/>
    <s v="Sandals"/>
    <n v="1"/>
    <n v="30.3"/>
    <n v="30.3"/>
    <d v="2025-02-12T00:00:00"/>
    <d v="2025-02-13T00:00:00"/>
    <s v="F"/>
    <x v="4"/>
    <n v="3"/>
    <s v="California"/>
    <s v="Ventura County"/>
    <n v="1"/>
    <n v="7"/>
    <x v="2"/>
  </r>
  <r>
    <s v="TX501085"/>
    <s v="Sunglasses"/>
    <n v="12"/>
    <n v="39.700000000000003"/>
    <n v="476.40000000000003"/>
    <d v="2025-02-12T00:00:00"/>
    <d v="2025-02-13T00:00:00"/>
    <s v="F"/>
    <x v="0"/>
    <n v="4"/>
    <s v="California"/>
    <s v="Alameda County"/>
    <n v="1"/>
    <n v="7"/>
    <x v="2"/>
  </r>
  <r>
    <s v="TX501086"/>
    <s v="Hoodies &amp; Sweatshirts"/>
    <n v="10"/>
    <n v="58.9"/>
    <n v="589"/>
    <d v="2025-02-12T00:00:00"/>
    <d v="2025-02-14T00:00:00"/>
    <s v="F"/>
    <x v="1"/>
    <n v="2"/>
    <s v="California"/>
    <s v="Alameda County"/>
    <n v="2"/>
    <n v="7"/>
    <x v="2"/>
  </r>
  <r>
    <s v="TX501087"/>
    <s v="Sneakers"/>
    <n v="2"/>
    <n v="174.1"/>
    <n v="348.2"/>
    <d v="2025-02-12T00:00:00"/>
    <d v="2025-02-14T00:00:00"/>
    <s v="F"/>
    <x v="0"/>
    <n v="3"/>
    <s v="California"/>
    <s v="Amador County"/>
    <n v="2"/>
    <n v="7"/>
    <x v="2"/>
  </r>
  <r>
    <s v="TX501088"/>
    <s v="Jeans"/>
    <n v="2"/>
    <n v="70.8"/>
    <n v="141.6"/>
    <d v="2025-02-12T00:00:00"/>
    <d v="2025-02-15T00:00:00"/>
    <s v="M"/>
    <x v="2"/>
    <n v="4"/>
    <s v="California"/>
    <s v="Kern County"/>
    <n v="3"/>
    <n v="7"/>
    <x v="1"/>
  </r>
  <r>
    <s v="TX501089"/>
    <s v="Hoodies &amp; Sweatshirts"/>
    <n v="2"/>
    <n v="57.4"/>
    <n v="114.8"/>
    <d v="2025-02-12T00:00:00"/>
    <d v="2025-02-14T00:00:00"/>
    <s v="F"/>
    <x v="1"/>
    <n v="3"/>
    <s v="California"/>
    <s v="Kings County"/>
    <n v="2"/>
    <n v="7"/>
    <x v="2"/>
  </r>
  <r>
    <s v="TX501090"/>
    <s v="Shorts"/>
    <n v="2"/>
    <n v="28.5"/>
    <n v="57"/>
    <d v="2025-02-12T00:00:00"/>
    <d v="2025-02-14T00:00:00"/>
    <s v="M"/>
    <x v="3"/>
    <n v="3"/>
    <s v="California"/>
    <s v="Los Angeles County"/>
    <n v="2"/>
    <n v="7"/>
    <x v="1"/>
  </r>
  <r>
    <s v="TX501091"/>
    <s v="Sneakers"/>
    <n v="20"/>
    <n v="106.6"/>
    <n v="2132"/>
    <d v="2025-02-12T00:00:00"/>
    <d v="2025-02-13T00:00:00"/>
    <s v=""/>
    <x v="1"/>
    <n v="2"/>
    <s v="California"/>
    <s v="Los Angeles County"/>
    <n v="1"/>
    <n v="7"/>
    <x v="0"/>
  </r>
  <r>
    <s v="TX501092"/>
    <s v="Sneakers"/>
    <n v="3"/>
    <n v="119.7"/>
    <n v="359.1"/>
    <d v="2025-02-12T00:00:00"/>
    <d v="2025-02-13T00:00:00"/>
    <s v="F"/>
    <x v="1"/>
    <n v="2"/>
    <s v="California"/>
    <s v="Los Angeles County"/>
    <n v="1"/>
    <n v="7"/>
    <x v="2"/>
  </r>
  <r>
    <s v="TX501093"/>
    <s v="Leggings"/>
    <n v="1"/>
    <n v="73.3"/>
    <n v="73.3"/>
    <d v="2025-02-12T00:00:00"/>
    <d v="2025-02-17T00:00:00"/>
    <s v="F"/>
    <x v="0"/>
    <n v="5"/>
    <s v="California"/>
    <s v="Los Angeles County"/>
    <n v="5"/>
    <n v="7"/>
    <x v="2"/>
  </r>
  <r>
    <s v="TX501094"/>
    <s v="Shorts"/>
    <n v="2"/>
    <n v="25.8"/>
    <n v="51.6"/>
    <d v="2025-02-12T00:00:00"/>
    <d v="2025-02-26T00:00:00"/>
    <s v="M"/>
    <x v="2"/>
    <n v="4"/>
    <s v="California"/>
    <s v="Los Angeles County"/>
    <n v="14"/>
    <n v="7"/>
    <x v="1"/>
  </r>
  <r>
    <s v="TX501095"/>
    <s v="Pajama Sets"/>
    <n v="3"/>
    <n v="49.1"/>
    <n v="147.30000000000001"/>
    <d v="2025-02-12T00:00:00"/>
    <d v="2025-02-14T00:00:00"/>
    <s v="F"/>
    <x v="0"/>
    <n v="4"/>
    <s v="California"/>
    <s v="Merced County"/>
    <n v="2"/>
    <n v="7"/>
    <x v="2"/>
  </r>
  <r>
    <s v="TX501096"/>
    <s v="Tank Tops"/>
    <n v="1"/>
    <n v="44.9"/>
    <n v="44.9"/>
    <d v="2025-02-12T00:00:00"/>
    <d v="2025-02-15T00:00:00"/>
    <s v="F"/>
    <x v="3"/>
    <n v="5"/>
    <s v="California"/>
    <s v="Sacramento County"/>
    <n v="3"/>
    <n v="7"/>
    <x v="2"/>
  </r>
  <r>
    <s v="TX501097"/>
    <s v="Crop Tops"/>
    <n v="7"/>
    <n v="29.9"/>
    <n v="209.29999999999998"/>
    <d v="2025-02-12T00:00:00"/>
    <d v="2025-02-13T00:00:00"/>
    <s v="F"/>
    <x v="0"/>
    <n v="4"/>
    <s v="California"/>
    <s v="Sacramento County"/>
    <n v="1"/>
    <n v="7"/>
    <x v="2"/>
  </r>
  <r>
    <s v="TX501098"/>
    <s v="Hoodies &amp; Sweatshirts"/>
    <n v="2"/>
    <n v="54.3"/>
    <n v="108.6"/>
    <d v="2025-02-13T00:00:00"/>
    <d v="2025-02-14T00:00:00"/>
    <s v="M"/>
    <x v="3"/>
    <n v="4"/>
    <s v="California"/>
    <s v="San Benito County"/>
    <n v="1"/>
    <n v="7"/>
    <x v="1"/>
  </r>
  <r>
    <s v="TX501099"/>
    <s v="Sundresses"/>
    <n v="4"/>
    <n v="57"/>
    <n v="228"/>
    <d v="2025-02-13T00:00:00"/>
    <d v="2025-02-15T00:00:00"/>
    <s v="F"/>
    <x v="0"/>
    <n v="4"/>
    <s v="California"/>
    <s v="San Diego County"/>
    <n v="2"/>
    <n v="7"/>
    <x v="2"/>
  </r>
  <r>
    <s v="TX501100"/>
    <s v="Sneakers"/>
    <n v="1"/>
    <n v="139.19999999999999"/>
    <n v="139.19999999999999"/>
    <d v="2025-02-13T00:00:00"/>
    <d v="2025-02-14T00:00:00"/>
    <s v="F"/>
    <x v="3"/>
    <n v="5"/>
    <s v="California"/>
    <s v="San Diego County"/>
    <n v="1"/>
    <n v="7"/>
    <x v="2"/>
  </r>
  <r>
    <s v="TX501101"/>
    <s v="Bikinis"/>
    <n v="1"/>
    <n v="33"/>
    <n v="33"/>
    <d v="2025-02-13T00:00:00"/>
    <d v="2025-02-16T00:00:00"/>
    <s v="F"/>
    <x v="0"/>
    <n v="5"/>
    <s v="California"/>
    <s v="San Diego County"/>
    <n v="3"/>
    <n v="7"/>
    <x v="2"/>
  </r>
  <r>
    <s v="TX501102"/>
    <s v="Maxi Dresses"/>
    <n v="6"/>
    <n v="80.2"/>
    <n v="481.20000000000005"/>
    <d v="2025-02-13T00:00:00"/>
    <d v="2025-02-15T00:00:00"/>
    <s v="M"/>
    <x v="1"/>
    <n v="2"/>
    <s v="California"/>
    <s v="San Diego County"/>
    <n v="2"/>
    <n v="7"/>
    <x v="1"/>
  </r>
  <r>
    <s v="TX501103"/>
    <s v="Leggings"/>
    <n v="8"/>
    <n v="49"/>
    <n v="392"/>
    <d v="2025-02-13T00:00:00"/>
    <d v="2025-02-14T00:00:00"/>
    <s v=""/>
    <x v="2"/>
    <n v="3"/>
    <s v="California"/>
    <s v="San Mateo County"/>
    <n v="1"/>
    <n v="7"/>
    <x v="0"/>
  </r>
  <r>
    <s v="TX501104"/>
    <s v="Tank Tops"/>
    <n v="4"/>
    <n v="104.4"/>
    <n v="417.6"/>
    <d v="2025-02-13T00:00:00"/>
    <d v="2025-02-13T00:00:00"/>
    <s v="F"/>
    <x v="0"/>
    <n v="4"/>
    <s v="California"/>
    <s v="San Mateo County"/>
    <n v="0"/>
    <n v="7"/>
    <x v="2"/>
  </r>
  <r>
    <s v="TX501105"/>
    <s v="Workout Tops"/>
    <n v="1"/>
    <n v="41.6"/>
    <n v="41.6"/>
    <d v="2025-02-13T00:00:00"/>
    <d v="2025-02-16T00:00:00"/>
    <s v="M"/>
    <x v="3"/>
    <n v="4"/>
    <s v="California"/>
    <s v="Santa Clara County"/>
    <n v="3"/>
    <n v="7"/>
    <x v="1"/>
  </r>
  <r>
    <s v="TX501106"/>
    <s v="Jewelry"/>
    <n v="2"/>
    <n v="16.399999999999999"/>
    <n v="32.799999999999997"/>
    <d v="2025-02-13T00:00:00"/>
    <d v="2025-02-14T00:00:00"/>
    <s v="O"/>
    <x v="0"/>
    <n v="5"/>
    <s v="California"/>
    <s v="Santa Clara County"/>
    <n v="1"/>
    <n v="7"/>
    <x v="3"/>
  </r>
  <r>
    <s v="TX501107"/>
    <s v="T-Shirts"/>
    <n v="2"/>
    <n v="22"/>
    <n v="44"/>
    <d v="2025-02-13T00:00:00"/>
    <d v="2025-02-14T00:00:00"/>
    <s v="M"/>
    <x v="2"/>
    <n v="5"/>
    <s v="California"/>
    <s v="Shasta County"/>
    <n v="1"/>
    <n v="7"/>
    <x v="1"/>
  </r>
  <r>
    <s v="TX501108"/>
    <s v="Crop Tops"/>
    <n v="2"/>
    <n v="33.6"/>
    <n v="67.2"/>
    <d v="2025-02-13T00:00:00"/>
    <d v="2025-02-18T00:00:00"/>
    <s v="F"/>
    <x v="0"/>
    <n v="4"/>
    <s v="California"/>
    <s v="Alameda County"/>
    <n v="5"/>
    <n v="7"/>
    <x v="2"/>
  </r>
  <r>
    <s v="TX501109"/>
    <s v="Maxi Dresses"/>
    <n v="6"/>
    <n v="43"/>
    <n v="258"/>
    <d v="2025-02-13T00:00:00"/>
    <d v="2025-02-14T00:00:00"/>
    <s v="F"/>
    <x v="2"/>
    <n v="4"/>
    <s v="California"/>
    <s v="Alameda County"/>
    <n v="1"/>
    <n v="7"/>
    <x v="2"/>
  </r>
  <r>
    <s v="TX501110"/>
    <s v="Jeans"/>
    <n v="5"/>
    <n v="108.8"/>
    <n v="544"/>
    <d v="2025-02-13T00:00:00"/>
    <d v="2025-02-16T00:00:00"/>
    <s v="F"/>
    <x v="4"/>
    <n v="5"/>
    <s v="California"/>
    <s v="Alameda County"/>
    <n v="3"/>
    <n v="7"/>
    <x v="2"/>
  </r>
  <r>
    <s v="TX501111"/>
    <s v="Shorts"/>
    <n v="9"/>
    <n v="29.3"/>
    <n v="263.7"/>
    <d v="2025-02-13T00:00:00"/>
    <d v="2025-02-15T00:00:00"/>
    <s v="M"/>
    <x v="4"/>
    <n v="5"/>
    <s v="California"/>
    <s v="Alameda County"/>
    <n v="2"/>
    <n v="7"/>
    <x v="1"/>
  </r>
  <r>
    <s v="TX501112"/>
    <s v="Sneakers"/>
    <n v="1"/>
    <n v="122.7"/>
    <n v="122.7"/>
    <d v="2025-02-13T00:00:00"/>
    <d v="2025-02-16T00:00:00"/>
    <s v="O"/>
    <x v="0"/>
    <n v="5"/>
    <s v="California"/>
    <s v="Contra Costa County"/>
    <n v="3"/>
    <n v="7"/>
    <x v="3"/>
  </r>
  <r>
    <s v="TX501113"/>
    <s v="Graphic Tees"/>
    <n v="7"/>
    <n v="22.9"/>
    <n v="160.29999999999998"/>
    <d v="2025-02-13T00:00:00"/>
    <d v="2025-02-14T00:00:00"/>
    <s v="F"/>
    <x v="0"/>
    <n v="4"/>
    <s v="California"/>
    <s v="El Dorado County"/>
    <n v="1"/>
    <n v="7"/>
    <x v="2"/>
  </r>
  <r>
    <s v="TX501114"/>
    <s v="T-Shirts"/>
    <n v="10"/>
    <n v="25.5"/>
    <n v="255"/>
    <d v="2025-02-13T00:00:00"/>
    <d v="2025-02-20T00:00:00"/>
    <s v="F"/>
    <x v="0"/>
    <n v="4"/>
    <s v="California"/>
    <s v="Imperial County"/>
    <n v="7"/>
    <n v="7"/>
    <x v="2"/>
  </r>
  <r>
    <s v="TX501115"/>
    <s v="Pajama Sets"/>
    <n v="3"/>
    <n v="23.4"/>
    <n v="70.199999999999989"/>
    <d v="2025-02-13T00:00:00"/>
    <d v="2025-02-17T00:00:00"/>
    <s v="F"/>
    <x v="0"/>
    <n v="5"/>
    <s v="California"/>
    <s v="Los Angeles County"/>
    <n v="4"/>
    <n v="7"/>
    <x v="2"/>
  </r>
  <r>
    <s v="TX501116"/>
    <s v="Sandals"/>
    <n v="8"/>
    <n v="27.4"/>
    <n v="219.2"/>
    <d v="2025-02-13T00:00:00"/>
    <d v="2025-02-16T00:00:00"/>
    <s v="F"/>
    <x v="2"/>
    <n v="4"/>
    <s v="California"/>
    <s v="Los Angeles County"/>
    <n v="3"/>
    <n v="7"/>
    <x v="2"/>
  </r>
  <r>
    <s v="TX501117"/>
    <s v="Sandals"/>
    <n v="5"/>
    <n v="68.400000000000006"/>
    <n v="342"/>
    <d v="2025-02-13T00:00:00"/>
    <d v="2025-02-14T00:00:00"/>
    <s v="F"/>
    <x v="0"/>
    <n v="4"/>
    <s v="California"/>
    <s v="Los Angeles County"/>
    <n v="1"/>
    <n v="7"/>
    <x v="2"/>
  </r>
  <r>
    <s v="TX501118"/>
    <s v="Jeans"/>
    <n v="1"/>
    <n v="51.9"/>
    <n v="51.9"/>
    <d v="2025-02-13T00:00:00"/>
    <d v="2025-02-13T00:00:00"/>
    <s v="F"/>
    <x v="0"/>
    <n v="4"/>
    <s v="California"/>
    <s v="Los Angeles County"/>
    <n v="0"/>
    <n v="7"/>
    <x v="2"/>
  </r>
  <r>
    <s v="TX501119"/>
    <s v="Shorts"/>
    <n v="5"/>
    <n v="26.4"/>
    <n v="132"/>
    <d v="2025-02-13T00:00:00"/>
    <d v="2025-02-16T00:00:00"/>
    <s v="F"/>
    <x v="0"/>
    <n v="5"/>
    <s v="California"/>
    <s v="Los Angeles County"/>
    <n v="3"/>
    <n v="7"/>
    <x v="2"/>
  </r>
  <r>
    <s v="TX501120"/>
    <s v="Casual Dresses"/>
    <n v="2"/>
    <n v="117"/>
    <n v="234"/>
    <d v="2025-02-13T00:00:00"/>
    <d v="2025-02-14T00:00:00"/>
    <s v="F"/>
    <x v="1"/>
    <n v="3"/>
    <s v="California"/>
    <s v="Los Angeles County"/>
    <n v="1"/>
    <n v="7"/>
    <x v="2"/>
  </r>
  <r>
    <s v="TX501121"/>
    <s v="Hoodies &amp; Sweatshirts"/>
    <n v="3"/>
    <n v="49.6"/>
    <n v="148.80000000000001"/>
    <d v="2025-02-14T00:00:00"/>
    <d v="2025-02-16T00:00:00"/>
    <s v="F"/>
    <x v="0"/>
    <n v="4"/>
    <s v="California"/>
    <s v="Los Angeles County"/>
    <n v="2"/>
    <n v="7"/>
    <x v="2"/>
  </r>
  <r>
    <s v="TX501122"/>
    <s v="Graphic Tees"/>
    <n v="3"/>
    <n v="38"/>
    <n v="114"/>
    <d v="2025-02-14T00:00:00"/>
    <d v="2025-02-17T00:00:00"/>
    <s v="M"/>
    <x v="2"/>
    <n v="2"/>
    <s v="California"/>
    <s v="Los Angeles County"/>
    <n v="3"/>
    <n v="7"/>
    <x v="1"/>
  </r>
  <r>
    <s v="TX501123"/>
    <s v="Shorts"/>
    <n v="3"/>
    <n v="20.6"/>
    <n v="61.800000000000004"/>
    <d v="2025-02-14T00:00:00"/>
    <d v="2025-02-16T00:00:00"/>
    <s v="F"/>
    <x v="4"/>
    <n v="5"/>
    <s v="California"/>
    <s v="Los Angeles County"/>
    <n v="2"/>
    <n v="7"/>
    <x v="2"/>
  </r>
  <r>
    <s v="TX501124"/>
    <s v="Shorts"/>
    <n v="2"/>
    <n v="16"/>
    <n v="32"/>
    <d v="2025-02-14T00:00:00"/>
    <d v="2025-02-15T00:00:00"/>
    <s v="M"/>
    <x v="1"/>
    <n v="3"/>
    <s v="California"/>
    <s v="Monterey County"/>
    <n v="1"/>
    <n v="7"/>
    <x v="1"/>
  </r>
  <r>
    <s v="TX501125"/>
    <s v="Crop Tops"/>
    <n v="4"/>
    <n v="49.3"/>
    <n v="197.2"/>
    <d v="2025-02-14T00:00:00"/>
    <d v="2025-02-15T00:00:00"/>
    <s v="F"/>
    <x v="2"/>
    <n v="4"/>
    <s v="California"/>
    <s v="Riverside County"/>
    <n v="1"/>
    <n v="7"/>
    <x v="2"/>
  </r>
  <r>
    <s v="TX501126"/>
    <s v="Sundresses"/>
    <n v="2"/>
    <n v="24.1"/>
    <n v="48.2"/>
    <d v="2025-02-14T00:00:00"/>
    <d v="2025-02-18T00:00:00"/>
    <s v="F"/>
    <x v="0"/>
    <n v="4"/>
    <s v="California"/>
    <s v="Sacramento County"/>
    <n v="4"/>
    <n v="7"/>
    <x v="2"/>
  </r>
  <r>
    <s v="TX501127"/>
    <s v="Crop Tops"/>
    <n v="8"/>
    <n v="32.700000000000003"/>
    <n v="261.60000000000002"/>
    <d v="2025-02-14T00:00:00"/>
    <d v="2025-02-15T00:00:00"/>
    <s v="F"/>
    <x v="1"/>
    <n v="4"/>
    <s v="California"/>
    <s v="Sacramento County"/>
    <n v="1"/>
    <n v="7"/>
    <x v="2"/>
  </r>
  <r>
    <s v="TX501128"/>
    <s v="Jeans"/>
    <n v="3"/>
    <n v="74.400000000000006"/>
    <n v="223.20000000000002"/>
    <d v="2025-02-14T00:00:00"/>
    <d v="2025-02-15T00:00:00"/>
    <s v="F"/>
    <x v="3"/>
    <n v="5"/>
    <s v="California"/>
    <s v="San Diego County"/>
    <n v="1"/>
    <n v="7"/>
    <x v="2"/>
  </r>
  <r>
    <s v="TX501129"/>
    <s v="Casual Dresses"/>
    <n v="1"/>
    <n v="45.6"/>
    <n v="45.6"/>
    <d v="2025-02-14T00:00:00"/>
    <d v="2025-02-18T00:00:00"/>
    <s v="F"/>
    <x v="4"/>
    <n v="4"/>
    <s v="California"/>
    <s v="San Diego County"/>
    <n v="4"/>
    <n v="7"/>
    <x v="2"/>
  </r>
  <r>
    <s v="TX501130"/>
    <s v="T-Shirts"/>
    <n v="8"/>
    <n v="19.600000000000001"/>
    <n v="156.80000000000001"/>
    <d v="2025-02-14T00:00:00"/>
    <d v="2025-02-27T00:00:00"/>
    <s v="F"/>
    <x v="0"/>
    <n v="4"/>
    <s v="California"/>
    <s v="San Diego County"/>
    <n v="13"/>
    <n v="7"/>
    <x v="2"/>
  </r>
  <r>
    <s v="TX501131"/>
    <s v="Sundresses"/>
    <n v="1"/>
    <n v="51.8"/>
    <n v="51.8"/>
    <d v="2025-02-14T00:00:00"/>
    <d v="2025-02-15T00:00:00"/>
    <s v="F"/>
    <x v="1"/>
    <n v="4"/>
    <s v="California"/>
    <s v="San Diego County"/>
    <n v="1"/>
    <n v="7"/>
    <x v="2"/>
  </r>
  <r>
    <s v="TX501132"/>
    <s v="Jeans"/>
    <n v="1"/>
    <n v="74.7"/>
    <n v="74.7"/>
    <d v="2025-02-14T00:00:00"/>
    <d v="2025-02-15T00:00:00"/>
    <s v="M"/>
    <x v="0"/>
    <n v="3"/>
    <s v="California"/>
    <s v="San Diego County"/>
    <n v="1"/>
    <n v="7"/>
    <x v="1"/>
  </r>
  <r>
    <s v="TX501133"/>
    <s v="Jewelry"/>
    <n v="3"/>
    <n v="22.4"/>
    <n v="67.199999999999989"/>
    <d v="2025-02-14T00:00:00"/>
    <d v="2025-02-15T00:00:00"/>
    <s v="F"/>
    <x v="1"/>
    <n v="5"/>
    <s v="California"/>
    <s v="San Mateo County"/>
    <n v="1"/>
    <n v="7"/>
    <x v="2"/>
  </r>
  <r>
    <s v="TX501134"/>
    <s v="Tank Tops"/>
    <n v="4"/>
    <n v="31.4"/>
    <n v="125.6"/>
    <d v="2025-02-14T00:00:00"/>
    <d v="2025-02-15T00:00:00"/>
    <s v="F"/>
    <x v="1"/>
    <n v="4"/>
    <s v="California"/>
    <s v="San Mateo County"/>
    <n v="1"/>
    <n v="7"/>
    <x v="2"/>
  </r>
  <r>
    <s v="TX501135"/>
    <s v="Jeans"/>
    <n v="1"/>
    <n v="94"/>
    <n v="94"/>
    <d v="2025-02-14T00:00:00"/>
    <d v="2025-02-14T00:00:00"/>
    <s v="F"/>
    <x v="1"/>
    <n v="5"/>
    <s v="California"/>
    <s v="Santa Barbara County"/>
    <n v="0"/>
    <n v="7"/>
    <x v="2"/>
  </r>
  <r>
    <s v="TX501136"/>
    <s v="Bikinis"/>
    <n v="1"/>
    <n v="22.3"/>
    <n v="22.3"/>
    <d v="2025-02-14T00:00:00"/>
    <d v="2025-02-15T00:00:00"/>
    <s v="M"/>
    <x v="4"/>
    <n v="4"/>
    <s v="California"/>
    <s v="Tulare County"/>
    <n v="1"/>
    <n v="7"/>
    <x v="1"/>
  </r>
  <r>
    <s v="TX501137"/>
    <s v="Shorts"/>
    <n v="1"/>
    <n v="21.9"/>
    <n v="21.9"/>
    <d v="2025-02-14T00:00:00"/>
    <d v="2025-02-17T00:00:00"/>
    <s v="F"/>
    <x v="2"/>
    <n v="4"/>
    <s v="California"/>
    <s v="Alameda County"/>
    <n v="3"/>
    <n v="7"/>
    <x v="2"/>
  </r>
  <r>
    <s v="TX501138"/>
    <s v="Pajama Sets"/>
    <n v="3"/>
    <n v="27"/>
    <n v="81"/>
    <d v="2025-02-14T00:00:00"/>
    <d v="2025-02-16T00:00:00"/>
    <s v="F"/>
    <x v="4"/>
    <n v="5"/>
    <s v="California"/>
    <s v="Fresno County"/>
    <n v="2"/>
    <n v="7"/>
    <x v="2"/>
  </r>
  <r>
    <s v="TX501139"/>
    <s v="Sneakers"/>
    <n v="4"/>
    <n v="149.6"/>
    <n v="598.4"/>
    <d v="2025-02-14T00:00:00"/>
    <d v="2025-02-14T00:00:00"/>
    <s v="F"/>
    <x v="4"/>
    <n v="4"/>
    <s v="California"/>
    <s v="Kern County"/>
    <n v="0"/>
    <n v="7"/>
    <x v="2"/>
  </r>
  <r>
    <s v="TX501140"/>
    <s v="Sneakers"/>
    <n v="4"/>
    <n v="129.1"/>
    <n v="516.4"/>
    <d v="2025-02-14T00:00:00"/>
    <d v="2025-02-24T00:00:00"/>
    <s v="M"/>
    <x v="0"/>
    <n v="3"/>
    <s v="California"/>
    <s v="Los Angeles County"/>
    <n v="10"/>
    <n v="7"/>
    <x v="1"/>
  </r>
  <r>
    <s v="TX501141"/>
    <s v="Tank Tops"/>
    <n v="12"/>
    <n v="40.4"/>
    <n v="484.79999999999995"/>
    <d v="2025-02-14T00:00:00"/>
    <d v="2025-02-15T00:00:00"/>
    <s v="M"/>
    <x v="1"/>
    <n v="3"/>
    <s v="California"/>
    <s v="Los Angeles County"/>
    <n v="1"/>
    <n v="7"/>
    <x v="1"/>
  </r>
  <r>
    <s v="TX501142"/>
    <s v="Graphic Tees"/>
    <n v="3"/>
    <n v="48.5"/>
    <n v="145.5"/>
    <d v="2025-02-14T00:00:00"/>
    <d v="2025-02-16T00:00:00"/>
    <s v="F"/>
    <x v="0"/>
    <n v="2"/>
    <s v="California"/>
    <s v="Los Angeles County"/>
    <n v="2"/>
    <n v="7"/>
    <x v="2"/>
  </r>
  <r>
    <s v="TX501143"/>
    <s v="Sundresses"/>
    <n v="2"/>
    <n v="37.6"/>
    <n v="75.2"/>
    <d v="2025-02-14T00:00:00"/>
    <d v="2025-02-16T00:00:00"/>
    <s v="F"/>
    <x v="1"/>
    <n v="5"/>
    <s v="California"/>
    <s v="Los Angeles County"/>
    <n v="2"/>
    <n v="7"/>
    <x v="2"/>
  </r>
  <r>
    <s v="TX501144"/>
    <s v="T-Shirts"/>
    <n v="2"/>
    <n v="19.600000000000001"/>
    <n v="39.200000000000003"/>
    <d v="2025-02-14T00:00:00"/>
    <d v="2025-02-15T00:00:00"/>
    <s v="M"/>
    <x v="3"/>
    <n v="2"/>
    <s v="California"/>
    <s v="Marin County"/>
    <n v="1"/>
    <n v="7"/>
    <x v="1"/>
  </r>
  <r>
    <s v="TX501145"/>
    <s v="T-Shirts"/>
    <n v="5"/>
    <n v="18.5"/>
    <n v="92.5"/>
    <d v="2025-02-14T00:00:00"/>
    <d v="2025-02-15T00:00:00"/>
    <s v="F"/>
    <x v="2"/>
    <n v="3"/>
    <s v="California"/>
    <s v="Sacramento County"/>
    <n v="1"/>
    <n v="7"/>
    <x v="2"/>
  </r>
  <r>
    <s v="TX501146"/>
    <s v="Sandals"/>
    <n v="3"/>
    <n v="25.5"/>
    <n v="76.5"/>
    <d v="2025-02-14T00:00:00"/>
    <d v="2025-02-16T00:00:00"/>
    <s v="F"/>
    <x v="4"/>
    <n v="3"/>
    <s v="California"/>
    <s v="Sacramento County"/>
    <n v="2"/>
    <n v="7"/>
    <x v="2"/>
  </r>
  <r>
    <s v="TX501147"/>
    <s v="Sneakers"/>
    <n v="2"/>
    <n v="94.7"/>
    <n v="189.4"/>
    <d v="2025-02-14T00:00:00"/>
    <d v="2025-02-15T00:00:00"/>
    <s v="F"/>
    <x v="2"/>
    <n v="4"/>
    <s v="California"/>
    <s v="San Benito County"/>
    <n v="1"/>
    <n v="7"/>
    <x v="2"/>
  </r>
  <r>
    <s v="TX501148"/>
    <s v="Tank Tops"/>
    <n v="6"/>
    <n v="38.799999999999997"/>
    <n v="232.79999999999998"/>
    <d v="2025-02-14T00:00:00"/>
    <d v="2025-02-19T00:00:00"/>
    <s v="F"/>
    <x v="2"/>
    <n v="5"/>
    <s v="California"/>
    <s v="San Diego County"/>
    <n v="5"/>
    <n v="7"/>
    <x v="2"/>
  </r>
  <r>
    <s v="TX501149"/>
    <s v="Sundresses"/>
    <n v="2"/>
    <n v="49.4"/>
    <n v="98.8"/>
    <d v="2025-02-15T00:00:00"/>
    <d v="2025-02-23T00:00:00"/>
    <s v="M"/>
    <x v="4"/>
    <n v="3"/>
    <s v="California"/>
    <s v="San Diego County"/>
    <n v="8"/>
    <n v="7"/>
    <x v="1"/>
  </r>
  <r>
    <s v="TX501150"/>
    <s v="Hoodies &amp; Sweatshirts"/>
    <n v="3"/>
    <n v="68"/>
    <n v="204"/>
    <d v="2025-02-15T00:00:00"/>
    <d v="2025-02-18T00:00:00"/>
    <s v="M"/>
    <x v="0"/>
    <n v="5"/>
    <s v="California"/>
    <s v="San Diego County"/>
    <n v="3"/>
    <n v="7"/>
    <x v="1"/>
  </r>
  <r>
    <s v="TX501151"/>
    <s v="Crop Tops"/>
    <n v="7"/>
    <n v="63.7"/>
    <n v="445.90000000000003"/>
    <d v="2025-02-15T00:00:00"/>
    <d v="2025-02-16T00:00:00"/>
    <s v="F"/>
    <x v="2"/>
    <n v="5"/>
    <s v="California"/>
    <s v="San Diego County"/>
    <n v="1"/>
    <n v="7"/>
    <x v="2"/>
  </r>
  <r>
    <s v="TX501152"/>
    <s v="Bikinis"/>
    <n v="2"/>
    <n v="66.2"/>
    <n v="132.4"/>
    <d v="2025-02-15T00:00:00"/>
    <d v="2025-02-16T00:00:00"/>
    <s v="F"/>
    <x v="4"/>
    <n v="5"/>
    <s v="California"/>
    <s v="San Francisco"/>
    <n v="1"/>
    <n v="7"/>
    <x v="2"/>
  </r>
  <r>
    <s v="TX501153"/>
    <s v="Casual Dresses"/>
    <n v="3"/>
    <n v="32.299999999999997"/>
    <n v="96.899999999999991"/>
    <d v="2025-02-15T00:00:00"/>
    <d v="2025-02-16T00:00:00"/>
    <s v="O"/>
    <x v="2"/>
    <n v="3"/>
    <s v="California"/>
    <s v="San Mateo County"/>
    <n v="1"/>
    <n v="7"/>
    <x v="3"/>
  </r>
  <r>
    <s v="TX501154"/>
    <s v="Graphic Tees"/>
    <n v="2"/>
    <n v="66.900000000000006"/>
    <n v="133.80000000000001"/>
    <d v="2025-02-15T00:00:00"/>
    <d v="2025-02-18T00:00:00"/>
    <s v="M"/>
    <x v="1"/>
    <n v="4"/>
    <s v="California"/>
    <s v="Santa Clara County"/>
    <n v="3"/>
    <n v="7"/>
    <x v="1"/>
  </r>
  <r>
    <s v="TX501155"/>
    <s v="Graphic Tees"/>
    <n v="12"/>
    <n v="25.2"/>
    <n v="302.39999999999998"/>
    <d v="2025-02-15T00:00:00"/>
    <d v="2025-02-19T00:00:00"/>
    <s v="F"/>
    <x v="0"/>
    <n v="3"/>
    <s v="California"/>
    <s v="Santa Clara County"/>
    <n v="4"/>
    <n v="7"/>
    <x v="2"/>
  </r>
  <r>
    <s v="TX501156"/>
    <s v="Bikinis"/>
    <n v="6"/>
    <n v="29.5"/>
    <n v="177"/>
    <d v="2025-02-15T00:00:00"/>
    <d v="2025-02-16T00:00:00"/>
    <s v="M"/>
    <x v="2"/>
    <n v="4"/>
    <s v="California"/>
    <s v="Santa Clara County"/>
    <n v="1"/>
    <n v="7"/>
    <x v="1"/>
  </r>
  <r>
    <s v="TX501157"/>
    <s v="T-Shirts"/>
    <n v="5"/>
    <n v="21.6"/>
    <n v="108"/>
    <d v="2025-02-15T00:00:00"/>
    <d v="2025-02-17T00:00:00"/>
    <s v="F"/>
    <x v="0"/>
    <n v="5"/>
    <s v="California"/>
    <s v="Santa Cruz County"/>
    <n v="2"/>
    <n v="7"/>
    <x v="2"/>
  </r>
  <r>
    <s v="TX501158"/>
    <s v="Casual Dresses"/>
    <n v="3"/>
    <n v="69"/>
    <n v="207"/>
    <d v="2025-02-15T00:00:00"/>
    <d v="2025-02-16T00:00:00"/>
    <s v="F"/>
    <x v="0"/>
    <n v="4"/>
    <s v="California"/>
    <s v="Sonoma County"/>
    <n v="1"/>
    <n v="7"/>
    <x v="2"/>
  </r>
  <r>
    <s v="TX501159"/>
    <s v="Hoodies &amp; Sweatshirts"/>
    <n v="2"/>
    <n v="115"/>
    <n v="230"/>
    <d v="2025-02-15T00:00:00"/>
    <d v="2025-02-19T00:00:00"/>
    <s v="M"/>
    <x v="0"/>
    <n v="5"/>
    <s v="California"/>
    <s v="Sonoma County"/>
    <n v="4"/>
    <n v="7"/>
    <x v="1"/>
  </r>
  <r>
    <s v="TX501160"/>
    <s v="Sneakers"/>
    <n v="2"/>
    <n v="109.3"/>
    <n v="218.6"/>
    <d v="2025-02-15T00:00:00"/>
    <d v="2025-02-17T00:00:00"/>
    <s v=""/>
    <x v="3"/>
    <n v="3"/>
    <s v="California"/>
    <s v="Stanislaus County"/>
    <n v="2"/>
    <n v="7"/>
    <x v="0"/>
  </r>
  <r>
    <s v="TX501161"/>
    <s v="Sundresses"/>
    <n v="2"/>
    <n v="66.599999999999994"/>
    <n v="133.19999999999999"/>
    <d v="2025-02-15T00:00:00"/>
    <d v="2025-02-18T00:00:00"/>
    <s v=""/>
    <x v="4"/>
    <n v="3"/>
    <s v="California"/>
    <s v="Stanislaus County"/>
    <n v="3"/>
    <n v="7"/>
    <x v="0"/>
  </r>
  <r>
    <s v="TX501162"/>
    <s v="Casual Dresses"/>
    <n v="5"/>
    <n v="47.7"/>
    <n v="238.5"/>
    <d v="2025-02-15T00:00:00"/>
    <d v="2025-02-16T00:00:00"/>
    <s v="M"/>
    <x v="3"/>
    <n v="5"/>
    <s v="California"/>
    <s v="Alameda County"/>
    <n v="1"/>
    <n v="7"/>
    <x v="1"/>
  </r>
  <r>
    <s v="TX501163"/>
    <s v="T-Shirts"/>
    <n v="2"/>
    <n v="46"/>
    <n v="92"/>
    <d v="2025-02-15T00:00:00"/>
    <d v="2025-02-16T00:00:00"/>
    <s v="F"/>
    <x v="4"/>
    <n v="2"/>
    <s v="California"/>
    <s v="Kern County"/>
    <n v="1"/>
    <n v="7"/>
    <x v="2"/>
  </r>
  <r>
    <s v="TX501164"/>
    <s v="Tank Tops"/>
    <n v="6"/>
    <n v="39.299999999999997"/>
    <n v="235.79999999999998"/>
    <d v="2025-02-15T00:00:00"/>
    <d v="2025-02-17T00:00:00"/>
    <s v="M"/>
    <x v="3"/>
    <n v="5"/>
    <s v="California"/>
    <s v="Los Angeles County"/>
    <n v="2"/>
    <n v="7"/>
    <x v="1"/>
  </r>
  <r>
    <s v="TX501165"/>
    <s v="Sundresses"/>
    <n v="1"/>
    <n v="70.2"/>
    <n v="70.2"/>
    <d v="2025-02-15T00:00:00"/>
    <d v="2025-02-16T00:00:00"/>
    <s v="F"/>
    <x v="0"/>
    <n v="2"/>
    <s v="California"/>
    <s v="Los Angeles County"/>
    <n v="1"/>
    <n v="7"/>
    <x v="2"/>
  </r>
  <r>
    <s v="TX501166"/>
    <s v="Workout Tops"/>
    <n v="4"/>
    <n v="71.5"/>
    <n v="286"/>
    <d v="2025-02-15T00:00:00"/>
    <d v="2025-02-15T00:00:00"/>
    <s v="F"/>
    <x v="1"/>
    <n v="5"/>
    <s v="California"/>
    <s v="Los Angeles County"/>
    <n v="0"/>
    <n v="7"/>
    <x v="2"/>
  </r>
  <r>
    <s v="TX501167"/>
    <s v="Bikinis"/>
    <n v="7"/>
    <n v="31"/>
    <n v="217"/>
    <d v="2025-02-15T00:00:00"/>
    <d v="2025-02-22T00:00:00"/>
    <s v="F"/>
    <x v="3"/>
    <n v="5"/>
    <s v="California"/>
    <s v="Los Angeles County"/>
    <n v="7"/>
    <n v="7"/>
    <x v="2"/>
  </r>
  <r>
    <s v="TX501168"/>
    <s v="Sneakers"/>
    <n v="5"/>
    <n v="68.2"/>
    <n v="341"/>
    <d v="2025-02-15T00:00:00"/>
    <d v="2025-02-20T00:00:00"/>
    <s v="F"/>
    <x v="0"/>
    <n v="5"/>
    <s v="California"/>
    <s v="Los Angeles County"/>
    <n v="5"/>
    <n v="7"/>
    <x v="2"/>
  </r>
  <r>
    <s v="TX501169"/>
    <s v="Sneakers"/>
    <n v="1"/>
    <n v="91.4"/>
    <n v="91.4"/>
    <d v="2025-02-15T00:00:00"/>
    <d v="2025-02-19T00:00:00"/>
    <s v="F"/>
    <x v="1"/>
    <n v="5"/>
    <s v="California"/>
    <s v="Sacramento County"/>
    <n v="4"/>
    <n v="7"/>
    <x v="2"/>
  </r>
  <r>
    <s v="TX501170"/>
    <s v="Jeans"/>
    <n v="10"/>
    <n v="112.9"/>
    <n v="1129"/>
    <d v="2025-02-15T00:00:00"/>
    <d v="2025-02-16T00:00:00"/>
    <s v="F"/>
    <x v="0"/>
    <n v="4"/>
    <s v="California"/>
    <s v="Sacramento County"/>
    <n v="1"/>
    <n v="7"/>
    <x v="2"/>
  </r>
  <r>
    <s v="TX501171"/>
    <s v="Pajama Sets"/>
    <n v="9"/>
    <n v="33.700000000000003"/>
    <n v="303.3"/>
    <d v="2025-02-15T00:00:00"/>
    <d v="2025-02-16T00:00:00"/>
    <s v="F"/>
    <x v="1"/>
    <n v="5"/>
    <s v="California"/>
    <s v="San Diego County"/>
    <n v="1"/>
    <n v="7"/>
    <x v="2"/>
  </r>
  <r>
    <s v="TX501172"/>
    <s v="Crop Tops"/>
    <n v="10"/>
    <n v="35.299999999999997"/>
    <n v="353"/>
    <d v="2025-02-15T00:00:00"/>
    <d v="2025-02-17T00:00:00"/>
    <s v="M"/>
    <x v="2"/>
    <n v="4"/>
    <s v="California"/>
    <s v="San Diego County"/>
    <n v="2"/>
    <n v="7"/>
    <x v="1"/>
  </r>
  <r>
    <s v="TX501173"/>
    <s v="Leggings"/>
    <n v="3"/>
    <n v="45.6"/>
    <n v="136.80000000000001"/>
    <d v="2025-02-15T00:00:00"/>
    <d v="2025-02-19T00:00:00"/>
    <s v="M"/>
    <x v="3"/>
    <n v="4"/>
    <s v="California"/>
    <s v="San Diego County"/>
    <n v="4"/>
    <n v="7"/>
    <x v="1"/>
  </r>
  <r>
    <s v="TX501174"/>
    <s v="Hoodies &amp; Sweatshirts"/>
    <n v="7"/>
    <n v="47.1"/>
    <n v="329.7"/>
    <d v="2025-02-15T00:00:00"/>
    <d v="2025-02-16T00:00:00"/>
    <s v="F"/>
    <x v="4"/>
    <n v="5"/>
    <s v="California"/>
    <s v="San Mateo County"/>
    <n v="1"/>
    <n v="7"/>
    <x v="2"/>
  </r>
  <r>
    <s v="TX501175"/>
    <s v="T-Shirts"/>
    <n v="5"/>
    <n v="16.2"/>
    <n v="81"/>
    <d v="2025-02-15T00:00:00"/>
    <d v="2025-02-17T00:00:00"/>
    <s v="F"/>
    <x v="3"/>
    <n v="5"/>
    <s v="California"/>
    <s v="Stanislaus County"/>
    <n v="2"/>
    <n v="7"/>
    <x v="2"/>
  </r>
  <r>
    <s v="TX501176"/>
    <s v="Tank Tops"/>
    <n v="2"/>
    <n v="159.69999999999999"/>
    <n v="319.39999999999998"/>
    <d v="2025-02-16T00:00:00"/>
    <d v="2025-02-17T00:00:00"/>
    <s v="M"/>
    <x v="4"/>
    <n v="4"/>
    <s v="California"/>
    <s v="Ventura County"/>
    <n v="1"/>
    <n v="8"/>
    <x v="1"/>
  </r>
  <r>
    <s v="TX501177"/>
    <s v="T-Shirts"/>
    <n v="4"/>
    <n v="19"/>
    <n v="76"/>
    <d v="2025-02-16T00:00:00"/>
    <d v="2025-02-23T00:00:00"/>
    <s v="F"/>
    <x v="2"/>
    <n v="5"/>
    <s v="California"/>
    <s v="Alameda County"/>
    <n v="7"/>
    <n v="8"/>
    <x v="2"/>
  </r>
  <r>
    <s v="TX501178"/>
    <s v="Jeans"/>
    <n v="6"/>
    <n v="91.1"/>
    <n v="546.59999999999991"/>
    <d v="2025-02-16T00:00:00"/>
    <d v="2025-02-25T00:00:00"/>
    <s v="F"/>
    <x v="4"/>
    <n v="4"/>
    <s v="California"/>
    <s v="Alameda County"/>
    <n v="9"/>
    <n v="8"/>
    <x v="2"/>
  </r>
  <r>
    <s v="TX501179"/>
    <s v="Sneakers"/>
    <n v="5"/>
    <n v="94.1"/>
    <n v="470.5"/>
    <d v="2025-02-16T00:00:00"/>
    <d v="2025-02-19T00:00:00"/>
    <s v=""/>
    <x v="1"/>
    <n v="3"/>
    <s v="California"/>
    <s v="Alameda County"/>
    <n v="3"/>
    <n v="8"/>
    <x v="0"/>
  </r>
  <r>
    <s v="TX501180"/>
    <s v="Sundresses"/>
    <n v="9"/>
    <n v="21.1"/>
    <n v="189.9"/>
    <d v="2025-02-16T00:00:00"/>
    <d v="2025-02-17T00:00:00"/>
    <s v="F"/>
    <x v="4"/>
    <n v="5"/>
    <s v="California"/>
    <s v="Butte County"/>
    <n v="1"/>
    <n v="8"/>
    <x v="2"/>
  </r>
  <r>
    <s v="TX501181"/>
    <s v="T-Shirts"/>
    <n v="7"/>
    <n v="15.3"/>
    <n v="107.10000000000001"/>
    <d v="2025-02-16T00:00:00"/>
    <d v="2025-02-24T00:00:00"/>
    <s v="F"/>
    <x v="2"/>
    <n v="4"/>
    <s v="California"/>
    <s v="Contra Costa County"/>
    <n v="8"/>
    <n v="8"/>
    <x v="2"/>
  </r>
  <r>
    <s v="TX501182"/>
    <s v="Crop Tops"/>
    <n v="4"/>
    <n v="21.3"/>
    <n v="85.2"/>
    <d v="2025-02-16T00:00:00"/>
    <d v="2025-02-19T00:00:00"/>
    <s v="M"/>
    <x v="1"/>
    <n v="4"/>
    <s v="California"/>
    <s v="Los Angeles County"/>
    <n v="3"/>
    <n v="8"/>
    <x v="1"/>
  </r>
  <r>
    <s v="TX501183"/>
    <s v="Shorts"/>
    <n v="2"/>
    <n v="23.2"/>
    <n v="46.4"/>
    <d v="2025-02-16T00:00:00"/>
    <d v="2025-02-16T00:00:00"/>
    <s v=""/>
    <x v="3"/>
    <n v="3"/>
    <s v="California"/>
    <s v="Los Angeles County"/>
    <n v="0"/>
    <n v="8"/>
    <x v="0"/>
  </r>
  <r>
    <s v="TX501184"/>
    <s v="Graphic Tees"/>
    <n v="3"/>
    <n v="25.7"/>
    <n v="77.099999999999994"/>
    <d v="2025-02-16T00:00:00"/>
    <d v="2025-02-17T00:00:00"/>
    <s v="M"/>
    <x v="4"/>
    <n v="4"/>
    <s v="California"/>
    <s v="Los Angeles County"/>
    <n v="1"/>
    <n v="8"/>
    <x v="1"/>
  </r>
  <r>
    <s v="TX501185"/>
    <s v="Shorts"/>
    <n v="9"/>
    <n v="31.6"/>
    <n v="284.40000000000003"/>
    <d v="2025-02-16T00:00:00"/>
    <d v="2025-02-18T00:00:00"/>
    <s v="F"/>
    <x v="0"/>
    <n v="4"/>
    <s v="California"/>
    <s v="Los Angeles County"/>
    <n v="2"/>
    <n v="8"/>
    <x v="2"/>
  </r>
  <r>
    <s v="TX501186"/>
    <s v="Jeans"/>
    <n v="1"/>
    <n v="64.2"/>
    <n v="64.2"/>
    <d v="2025-02-16T00:00:00"/>
    <d v="2025-02-21T00:00:00"/>
    <s v="M"/>
    <x v="0"/>
    <n v="4"/>
    <s v="California"/>
    <s v="Los Angeles County"/>
    <n v="5"/>
    <n v="8"/>
    <x v="1"/>
  </r>
  <r>
    <s v="TX501187"/>
    <s v="T-Shirts"/>
    <n v="2"/>
    <n v="55.8"/>
    <n v="111.6"/>
    <d v="2025-02-16T00:00:00"/>
    <d v="2025-02-18T00:00:00"/>
    <s v=""/>
    <x v="0"/>
    <n v="4"/>
    <s v="California"/>
    <s v="Los Angeles County"/>
    <n v="2"/>
    <n v="8"/>
    <x v="0"/>
  </r>
  <r>
    <s v="TX501188"/>
    <s v="T-Shirts"/>
    <n v="2"/>
    <n v="28.1"/>
    <n v="56.2"/>
    <d v="2025-02-16T00:00:00"/>
    <d v="2025-02-17T00:00:00"/>
    <s v="F"/>
    <x v="4"/>
    <n v="3"/>
    <s v="California"/>
    <s v="Los Angeles County"/>
    <n v="1"/>
    <n v="8"/>
    <x v="2"/>
  </r>
  <r>
    <s v="TX501189"/>
    <s v="Shorts"/>
    <n v="2"/>
    <n v="11.6"/>
    <n v="23.2"/>
    <d v="2025-02-16T00:00:00"/>
    <d v="2025-02-18T00:00:00"/>
    <s v="F"/>
    <x v="1"/>
    <n v="4"/>
    <s v="California"/>
    <s v="Merced County"/>
    <n v="2"/>
    <n v="8"/>
    <x v="2"/>
  </r>
  <r>
    <s v="TX501190"/>
    <s v="Sandals"/>
    <n v="3"/>
    <n v="50.4"/>
    <n v="151.19999999999999"/>
    <d v="2025-02-16T00:00:00"/>
    <d v="2025-02-17T00:00:00"/>
    <s v="M"/>
    <x v="4"/>
    <n v="5"/>
    <s v="California"/>
    <s v="Orange County"/>
    <n v="1"/>
    <n v="8"/>
    <x v="1"/>
  </r>
  <r>
    <s v="TX501191"/>
    <s v="Jeans"/>
    <n v="6"/>
    <n v="48.3"/>
    <n v="289.79999999999995"/>
    <d v="2025-02-16T00:00:00"/>
    <d v="2025-02-20T00:00:00"/>
    <s v="F"/>
    <x v="0"/>
    <n v="4"/>
    <s v="California"/>
    <s v="Orange County"/>
    <n v="4"/>
    <n v="8"/>
    <x v="2"/>
  </r>
  <r>
    <s v="TX501192"/>
    <s v="Pajama Sets"/>
    <n v="7"/>
    <n v="32.200000000000003"/>
    <n v="225.40000000000003"/>
    <d v="2025-02-16T00:00:00"/>
    <d v="2025-02-18T00:00:00"/>
    <s v="F"/>
    <x v="2"/>
    <n v="4"/>
    <s v="California"/>
    <s v="Orange County"/>
    <n v="2"/>
    <n v="8"/>
    <x v="2"/>
  </r>
  <r>
    <s v="TX501193"/>
    <s v="Hoodies &amp; Sweatshirts"/>
    <n v="28"/>
    <n v="48.5"/>
    <n v="1358"/>
    <d v="2025-02-16T00:00:00"/>
    <d v="2025-02-17T00:00:00"/>
    <s v="M"/>
    <x v="0"/>
    <n v="4"/>
    <s v="California"/>
    <s v="Placer County"/>
    <n v="1"/>
    <n v="8"/>
    <x v="1"/>
  </r>
  <r>
    <s v="TX501194"/>
    <s v="Sneakers"/>
    <n v="5"/>
    <n v="62"/>
    <n v="310"/>
    <d v="2025-02-16T00:00:00"/>
    <d v="2025-02-19T00:00:00"/>
    <s v="F"/>
    <x v="1"/>
    <n v="4"/>
    <s v="California"/>
    <s v="Sacramento County"/>
    <n v="3"/>
    <n v="8"/>
    <x v="2"/>
  </r>
  <r>
    <s v="TX501195"/>
    <s v="T-Shirts"/>
    <n v="3"/>
    <n v="32.1"/>
    <n v="96.300000000000011"/>
    <d v="2025-02-17T00:00:00"/>
    <d v="2025-02-19T00:00:00"/>
    <s v="M"/>
    <x v="0"/>
    <n v="4"/>
    <s v="California"/>
    <s v="Sacramento County"/>
    <n v="2"/>
    <n v="8"/>
    <x v="1"/>
  </r>
  <r>
    <s v="TX501196"/>
    <s v="Casual Dresses"/>
    <n v="3"/>
    <n v="106.1"/>
    <n v="318.29999999999995"/>
    <d v="2025-02-17T00:00:00"/>
    <d v="2025-02-19T00:00:00"/>
    <s v="M"/>
    <x v="0"/>
    <n v="3"/>
    <s v="California"/>
    <s v="San Bernardino County"/>
    <n v="2"/>
    <n v="8"/>
    <x v="1"/>
  </r>
  <r>
    <s v="TX501197"/>
    <s v="Bikinis"/>
    <n v="3"/>
    <n v="23.5"/>
    <n v="70.5"/>
    <d v="2025-02-17T00:00:00"/>
    <d v="2025-02-20T00:00:00"/>
    <s v="M"/>
    <x v="0"/>
    <n v="2"/>
    <s v="California"/>
    <s v="San Bernardino County"/>
    <n v="3"/>
    <n v="8"/>
    <x v="1"/>
  </r>
  <r>
    <s v="TX501198"/>
    <s v="Tank Tops"/>
    <n v="2"/>
    <n v="35.6"/>
    <n v="71.2"/>
    <d v="2025-02-17T00:00:00"/>
    <d v="2025-02-22T00:00:00"/>
    <s v="M"/>
    <x v="4"/>
    <n v="4"/>
    <s v="California"/>
    <s v="San Diego County"/>
    <n v="5"/>
    <n v="8"/>
    <x v="1"/>
  </r>
  <r>
    <s v="TX501199"/>
    <s v="Tank Tops"/>
    <n v="2"/>
    <n v="63.5"/>
    <n v="127"/>
    <d v="2025-02-17T00:00:00"/>
    <d v="2025-02-17T00:00:00"/>
    <s v="F"/>
    <x v="1"/>
    <n v="5"/>
    <s v="California"/>
    <s v="San Diego County"/>
    <n v="0"/>
    <n v="8"/>
    <x v="2"/>
  </r>
  <r>
    <s v="TX501200"/>
    <s v="Jeans"/>
    <n v="7"/>
    <n v="82.9"/>
    <n v="580.30000000000007"/>
    <d v="2025-02-17T00:00:00"/>
    <d v="2025-02-22T00:00:00"/>
    <s v="F"/>
    <x v="4"/>
    <n v="4"/>
    <s v="California"/>
    <s v="San Mateo County"/>
    <n v="5"/>
    <n v="8"/>
    <x v="2"/>
  </r>
  <r>
    <s v="TX501201"/>
    <s v="Jeans"/>
    <n v="2"/>
    <n v="83.6"/>
    <n v="167.2"/>
    <d v="2025-02-17T00:00:00"/>
    <d v="2025-02-22T00:00:00"/>
    <s v="F"/>
    <x v="0"/>
    <n v="4"/>
    <s v="California"/>
    <s v="Santa Clara County"/>
    <n v="5"/>
    <n v="8"/>
    <x v="2"/>
  </r>
  <r>
    <s v="TX501202"/>
    <s v="Graphic Tees"/>
    <n v="2"/>
    <n v="29.4"/>
    <n v="58.8"/>
    <d v="2025-02-17T00:00:00"/>
    <d v="2025-02-17T00:00:00"/>
    <s v="F"/>
    <x v="0"/>
    <n v="3"/>
    <s v="California"/>
    <s v="Siskiyou County"/>
    <n v="0"/>
    <n v="8"/>
    <x v="2"/>
  </r>
  <r>
    <s v="TX501203"/>
    <s v="Sneakers"/>
    <n v="3"/>
    <n v="107.1"/>
    <n v="321.29999999999995"/>
    <d v="2025-02-17T00:00:00"/>
    <d v="2025-02-21T00:00:00"/>
    <s v="F"/>
    <x v="2"/>
    <n v="4"/>
    <s v="California"/>
    <s v="Tulare County"/>
    <n v="4"/>
    <n v="8"/>
    <x v="2"/>
  </r>
  <r>
    <s v="TX501204"/>
    <s v="Sneakers"/>
    <n v="1"/>
    <n v="62.7"/>
    <n v="62.7"/>
    <d v="2025-02-17T00:00:00"/>
    <d v="2025-02-21T00:00:00"/>
    <s v="M"/>
    <x v="1"/>
    <n v="4"/>
    <s v="California"/>
    <s v="Alameda County"/>
    <n v="4"/>
    <n v="8"/>
    <x v="1"/>
  </r>
  <r>
    <s v="TX501205"/>
    <s v="Maxi Dresses"/>
    <n v="1"/>
    <n v="41.6"/>
    <n v="41.6"/>
    <d v="2025-02-17T00:00:00"/>
    <d v="2025-02-18T00:00:00"/>
    <s v="M"/>
    <x v="0"/>
    <n v="3"/>
    <s v="California"/>
    <s v="Contra Costa County"/>
    <n v="1"/>
    <n v="8"/>
    <x v="1"/>
  </r>
  <r>
    <s v="TX501206"/>
    <s v="Jeans"/>
    <n v="1"/>
    <n v="44.2"/>
    <n v="44.2"/>
    <d v="2025-02-17T00:00:00"/>
    <d v="2025-02-18T00:00:00"/>
    <s v="O"/>
    <x v="0"/>
    <n v="3"/>
    <s v="California"/>
    <s v="Contra Costa County"/>
    <n v="1"/>
    <n v="8"/>
    <x v="3"/>
  </r>
  <r>
    <s v="TX501207"/>
    <s v="Graphic Tees"/>
    <n v="6"/>
    <n v="40.4"/>
    <n v="242.39999999999998"/>
    <d v="2025-02-17T00:00:00"/>
    <d v="2025-03-02T00:00:00"/>
    <s v="F"/>
    <x v="2"/>
    <n v="4"/>
    <s v="California"/>
    <s v="Kern County"/>
    <n v="13"/>
    <n v="8"/>
    <x v="2"/>
  </r>
  <r>
    <s v="TX501208"/>
    <s v="Crop Tops"/>
    <n v="6"/>
    <n v="59.6"/>
    <n v="357.6"/>
    <d v="2025-02-17T00:00:00"/>
    <d v="2025-02-18T00:00:00"/>
    <s v="F"/>
    <x v="4"/>
    <n v="4"/>
    <s v="California"/>
    <s v="Kings County"/>
    <n v="1"/>
    <n v="8"/>
    <x v="2"/>
  </r>
  <r>
    <s v="TX501209"/>
    <s v="Pajama Sets"/>
    <n v="12"/>
    <n v="63.8"/>
    <n v="765.59999999999991"/>
    <d v="2025-02-17T00:00:00"/>
    <d v="2025-02-18T00:00:00"/>
    <s v="M"/>
    <x v="1"/>
    <n v="4"/>
    <s v="California"/>
    <s v="Los Angeles County"/>
    <n v="1"/>
    <n v="8"/>
    <x v="1"/>
  </r>
  <r>
    <s v="TX501210"/>
    <s v="Sundresses"/>
    <n v="6"/>
    <n v="30.8"/>
    <n v="184.8"/>
    <d v="2025-02-17T00:00:00"/>
    <d v="2025-02-19T00:00:00"/>
    <s v="M"/>
    <x v="4"/>
    <n v="4"/>
    <s v="California"/>
    <s v="Los Angeles County"/>
    <n v="2"/>
    <n v="8"/>
    <x v="1"/>
  </r>
  <r>
    <s v="TX501211"/>
    <s v="Tank Tops"/>
    <n v="2"/>
    <n v="41.5"/>
    <n v="83"/>
    <d v="2025-02-17T00:00:00"/>
    <d v="2025-02-20T00:00:00"/>
    <s v="O"/>
    <x v="0"/>
    <n v="4"/>
    <s v="California"/>
    <s v="Los Angeles County"/>
    <n v="3"/>
    <n v="8"/>
    <x v="3"/>
  </r>
  <r>
    <s v="TX501212"/>
    <s v="Bikinis"/>
    <n v="4"/>
    <n v="44.7"/>
    <n v="178.8"/>
    <d v="2025-02-17T00:00:00"/>
    <d v="2025-02-19T00:00:00"/>
    <s v="F"/>
    <x v="2"/>
    <n v="3"/>
    <s v="California"/>
    <s v="Los Angeles County"/>
    <n v="2"/>
    <n v="8"/>
    <x v="2"/>
  </r>
  <r>
    <s v="TX501213"/>
    <s v="Casual Dresses"/>
    <n v="2"/>
    <n v="64.099999999999994"/>
    <n v="128.19999999999999"/>
    <d v="2025-02-17T00:00:00"/>
    <d v="2025-02-21T00:00:00"/>
    <s v="F"/>
    <x v="1"/>
    <n v="2"/>
    <s v="California"/>
    <s v="Los Angeles County"/>
    <n v="4"/>
    <n v="8"/>
    <x v="2"/>
  </r>
  <r>
    <s v="TX501214"/>
    <s v="T-Shirts"/>
    <n v="1"/>
    <n v="15.9"/>
    <n v="15.9"/>
    <d v="2025-02-17T00:00:00"/>
    <d v="2025-02-20T00:00:00"/>
    <s v=""/>
    <x v="1"/>
    <n v="4"/>
    <s v="California"/>
    <s v="Los Angeles County"/>
    <n v="3"/>
    <n v="8"/>
    <x v="0"/>
  </r>
  <r>
    <s v="TX501215"/>
    <s v="Jeans"/>
    <n v="2"/>
    <n v="78.7"/>
    <n v="157.4"/>
    <d v="2025-02-17T00:00:00"/>
    <d v="2025-02-17T00:00:00"/>
    <s v="F"/>
    <x v="2"/>
    <n v="3"/>
    <s v="California"/>
    <s v="Los Angeles County"/>
    <n v="0"/>
    <n v="8"/>
    <x v="2"/>
  </r>
  <r>
    <s v="TX501216"/>
    <s v="Sandals"/>
    <n v="12"/>
    <n v="29.6"/>
    <n v="355.20000000000005"/>
    <d v="2025-02-17T00:00:00"/>
    <d v="2025-02-21T00:00:00"/>
    <s v="M"/>
    <x v="2"/>
    <n v="2"/>
    <s v="California"/>
    <s v="Los Angeles County"/>
    <n v="4"/>
    <n v="8"/>
    <x v="1"/>
  </r>
  <r>
    <s v="TX501217"/>
    <s v="T-Shirts"/>
    <n v="4"/>
    <n v="21.5"/>
    <n v="86"/>
    <d v="2025-02-17T00:00:00"/>
    <d v="2025-02-20T00:00:00"/>
    <s v="M"/>
    <x v="1"/>
    <n v="4"/>
    <s v="California"/>
    <s v="Los Angeles County"/>
    <n v="3"/>
    <n v="8"/>
    <x v="1"/>
  </r>
  <r>
    <s v="TX501218"/>
    <s v="Sundresses"/>
    <n v="3"/>
    <n v="74.900000000000006"/>
    <n v="224.70000000000002"/>
    <d v="2025-02-17T00:00:00"/>
    <d v="2025-02-26T00:00:00"/>
    <s v="M"/>
    <x v="3"/>
    <n v="3"/>
    <s v="California"/>
    <s v="Los Angeles County"/>
    <n v="9"/>
    <n v="8"/>
    <x v="1"/>
  </r>
  <r>
    <s v="TX501219"/>
    <s v="Bikinis"/>
    <n v="6"/>
    <n v="45"/>
    <n v="270"/>
    <d v="2025-02-17T00:00:00"/>
    <d v="2025-02-22T00:00:00"/>
    <s v="F"/>
    <x v="2"/>
    <n v="4"/>
    <s v="California"/>
    <s v="Los Angeles County"/>
    <n v="5"/>
    <n v="8"/>
    <x v="2"/>
  </r>
  <r>
    <s v="TX501220"/>
    <s v="Hoodies &amp; Sweatshirts"/>
    <n v="34"/>
    <n v="37.9"/>
    <n v="1288.5999999999999"/>
    <d v="2025-02-17T00:00:00"/>
    <d v="2025-02-18T00:00:00"/>
    <s v="M"/>
    <x v="0"/>
    <n v="4"/>
    <s v="California"/>
    <s v="Los Angeles County"/>
    <n v="1"/>
    <n v="8"/>
    <x v="1"/>
  </r>
  <r>
    <s v="TX501221"/>
    <s v="Jeans"/>
    <n v="3"/>
    <n v="56.6"/>
    <n v="169.8"/>
    <d v="2025-02-17T00:00:00"/>
    <d v="2025-02-18T00:00:00"/>
    <s v="M"/>
    <x v="3"/>
    <n v="4"/>
    <s v="California"/>
    <s v="Los Angeles County"/>
    <n v="1"/>
    <n v="8"/>
    <x v="1"/>
  </r>
  <r>
    <s v="TX501222"/>
    <s v="Workout Tops"/>
    <n v="13"/>
    <n v="84.5"/>
    <n v="1098.5"/>
    <d v="2025-02-17T00:00:00"/>
    <d v="2025-02-20T00:00:00"/>
    <s v="F"/>
    <x v="1"/>
    <n v="2"/>
    <s v="California"/>
    <s v="Los Angeles County"/>
    <n v="3"/>
    <n v="8"/>
    <x v="2"/>
  </r>
  <r>
    <s v="TX501223"/>
    <s v="Sneakers"/>
    <n v="5"/>
    <n v="105.4"/>
    <n v="527"/>
    <d v="2025-02-17T00:00:00"/>
    <d v="2025-02-19T00:00:00"/>
    <s v="F"/>
    <x v="1"/>
    <n v="3"/>
    <s v="California"/>
    <s v="Los Angeles County"/>
    <n v="2"/>
    <n v="8"/>
    <x v="2"/>
  </r>
  <r>
    <s v="TX501224"/>
    <s v="Leggings"/>
    <n v="7"/>
    <n v="39.4"/>
    <n v="275.8"/>
    <d v="2025-02-18T00:00:00"/>
    <d v="2025-02-18T00:00:00"/>
    <s v="M"/>
    <x v="1"/>
    <n v="4"/>
    <s v="California"/>
    <s v="Madera County"/>
    <n v="0"/>
    <n v="8"/>
    <x v="1"/>
  </r>
  <r>
    <s v="TX501225"/>
    <s v="Jewelry"/>
    <n v="3"/>
    <n v="38"/>
    <n v="114"/>
    <d v="2025-02-18T00:00:00"/>
    <d v="2025-02-21T00:00:00"/>
    <s v="M"/>
    <x v="4"/>
    <n v="3"/>
    <s v="California"/>
    <s v="Sacramento County"/>
    <n v="3"/>
    <n v="8"/>
    <x v="1"/>
  </r>
  <r>
    <s v="TX501226"/>
    <s v="Pajama Sets"/>
    <n v="4"/>
    <n v="42.5"/>
    <n v="170"/>
    <d v="2025-02-18T00:00:00"/>
    <d v="2025-02-20T00:00:00"/>
    <s v=""/>
    <x v="0"/>
    <n v="4"/>
    <s v="California"/>
    <s v="Sacramento County"/>
    <n v="2"/>
    <n v="8"/>
    <x v="0"/>
  </r>
  <r>
    <s v="TX501227"/>
    <s v="Crop Tops"/>
    <n v="1"/>
    <n v="62.3"/>
    <n v="62.3"/>
    <d v="2025-02-18T00:00:00"/>
    <d v="2025-02-27T00:00:00"/>
    <s v="M"/>
    <x v="0"/>
    <n v="5"/>
    <s v="California"/>
    <s v="Sacramento County"/>
    <n v="9"/>
    <n v="8"/>
    <x v="1"/>
  </r>
  <r>
    <s v="TX501228"/>
    <s v="Jeans"/>
    <n v="5"/>
    <n v="49.1"/>
    <n v="245.5"/>
    <d v="2025-02-18T00:00:00"/>
    <d v="2025-02-20T00:00:00"/>
    <s v="F"/>
    <x v="1"/>
    <n v="5"/>
    <s v="California"/>
    <s v="San Bernardino County"/>
    <n v="2"/>
    <n v="8"/>
    <x v="2"/>
  </r>
  <r>
    <s v="TX501229"/>
    <s v="Workout Tops"/>
    <n v="2"/>
    <n v="30.5"/>
    <n v="61"/>
    <d v="2025-02-18T00:00:00"/>
    <d v="2025-02-21T00:00:00"/>
    <s v="M"/>
    <x v="0"/>
    <n v="5"/>
    <s v="California"/>
    <s v="San Diego County"/>
    <n v="3"/>
    <n v="8"/>
    <x v="1"/>
  </r>
  <r>
    <s v="TX501230"/>
    <s v="Sneakers"/>
    <n v="2"/>
    <n v="154.80000000000001"/>
    <n v="309.60000000000002"/>
    <d v="2025-02-18T00:00:00"/>
    <d v="2025-02-21T00:00:00"/>
    <s v="F"/>
    <x v="1"/>
    <n v="2"/>
    <s v="California"/>
    <s v="San Diego County"/>
    <n v="3"/>
    <n v="8"/>
    <x v="2"/>
  </r>
  <r>
    <s v="TX501231"/>
    <s v="Jeans"/>
    <n v="1"/>
    <n v="45"/>
    <n v="45"/>
    <d v="2025-02-18T00:00:00"/>
    <d v="2025-02-22T00:00:00"/>
    <s v="M"/>
    <x v="3"/>
    <n v="3"/>
    <s v="California"/>
    <s v="San Diego County"/>
    <n v="4"/>
    <n v="8"/>
    <x v="1"/>
  </r>
  <r>
    <s v="TX501232"/>
    <s v="Shorts"/>
    <n v="7"/>
    <n v="15.3"/>
    <n v="107.10000000000001"/>
    <d v="2025-02-18T00:00:00"/>
    <d v="2025-02-19T00:00:00"/>
    <s v="M"/>
    <x v="0"/>
    <n v="5"/>
    <s v="California"/>
    <s v="San Diego County"/>
    <n v="1"/>
    <n v="8"/>
    <x v="1"/>
  </r>
  <r>
    <s v="TX501233"/>
    <s v="Sneakers"/>
    <n v="11"/>
    <n v="88.6"/>
    <n v="974.59999999999991"/>
    <d v="2025-02-18T00:00:00"/>
    <d v="2025-02-21T00:00:00"/>
    <s v="F"/>
    <x v="0"/>
    <n v="2"/>
    <s v="California"/>
    <s v="San Francisco"/>
    <n v="3"/>
    <n v="8"/>
    <x v="2"/>
  </r>
  <r>
    <s v="TX501234"/>
    <s v="Sundresses"/>
    <n v="2"/>
    <n v="49.7"/>
    <n v="99.4"/>
    <d v="2025-02-18T00:00:00"/>
    <d v="2025-02-20T00:00:00"/>
    <s v="O"/>
    <x v="4"/>
    <n v="4"/>
    <s v="California"/>
    <s v="Santa Barbara County"/>
    <n v="2"/>
    <n v="8"/>
    <x v="3"/>
  </r>
  <r>
    <s v="TX501235"/>
    <s v="Bikinis"/>
    <n v="1"/>
    <n v="29"/>
    <n v="29"/>
    <d v="2025-02-18T00:00:00"/>
    <d v="2025-02-19T00:00:00"/>
    <s v="M"/>
    <x v="0"/>
    <n v="4"/>
    <s v="California"/>
    <s v="Santa Clara County"/>
    <n v="1"/>
    <n v="8"/>
    <x v="1"/>
  </r>
  <r>
    <s v="TX501236"/>
    <s v="Tank Tops"/>
    <n v="1"/>
    <n v="60.7"/>
    <n v="60.7"/>
    <d v="2025-02-18T00:00:00"/>
    <d v="2025-02-19T00:00:00"/>
    <s v="O"/>
    <x v="0"/>
    <n v="3"/>
    <s v="California"/>
    <s v="Santa Clara County"/>
    <n v="1"/>
    <n v="8"/>
    <x v="3"/>
  </r>
  <r>
    <s v="TX501237"/>
    <s v="Pajama Sets"/>
    <n v="4"/>
    <n v="87.4"/>
    <n v="349.6"/>
    <d v="2025-02-18T00:00:00"/>
    <d v="2025-02-20T00:00:00"/>
    <s v=""/>
    <x v="0"/>
    <n v="4"/>
    <s v="California"/>
    <s v="Santa Clara County"/>
    <n v="2"/>
    <n v="8"/>
    <x v="0"/>
  </r>
  <r>
    <s v="TX501238"/>
    <s v="Graphic Tees"/>
    <n v="7"/>
    <n v="44.5"/>
    <n v="311.5"/>
    <d v="2025-02-18T00:00:00"/>
    <d v="2025-02-22T00:00:00"/>
    <s v="F"/>
    <x v="2"/>
    <n v="5"/>
    <s v="California"/>
    <s v="Stanislaus County"/>
    <n v="4"/>
    <n v="8"/>
    <x v="2"/>
  </r>
  <r>
    <s v="TX501239"/>
    <s v="Sneakers"/>
    <n v="1"/>
    <n v="141"/>
    <n v="141"/>
    <d v="2025-02-18T00:00:00"/>
    <d v="2025-02-19T00:00:00"/>
    <s v="M"/>
    <x v="4"/>
    <n v="5"/>
    <s v="California"/>
    <s v="Stanislaus County"/>
    <n v="1"/>
    <n v="8"/>
    <x v="1"/>
  </r>
  <r>
    <s v="TX501240"/>
    <s v="Shorts"/>
    <n v="3"/>
    <n v="16.7"/>
    <n v="50.099999999999994"/>
    <d v="2025-02-18T00:00:00"/>
    <d v="2025-02-26T00:00:00"/>
    <s v="F"/>
    <x v="0"/>
    <n v="4"/>
    <s v="California"/>
    <s v="Tulare County"/>
    <n v="8"/>
    <n v="8"/>
    <x v="2"/>
  </r>
  <r>
    <s v="TX501241"/>
    <s v="Tank Tops"/>
    <n v="2"/>
    <n v="77.5"/>
    <n v="155"/>
    <d v="2025-02-18T00:00:00"/>
    <d v="2025-02-19T00:00:00"/>
    <s v=""/>
    <x v="2"/>
    <n v="5"/>
    <s v="California"/>
    <s v="Ventura County"/>
    <n v="1"/>
    <n v="8"/>
    <x v="0"/>
  </r>
  <r>
    <s v="TX501242"/>
    <s v="Sneakers"/>
    <n v="2"/>
    <n v="163"/>
    <n v="326"/>
    <d v="2025-02-18T00:00:00"/>
    <d v="2025-02-24T00:00:00"/>
    <s v="F"/>
    <x v="4"/>
    <n v="4"/>
    <s v="California"/>
    <s v="Alameda County"/>
    <n v="6"/>
    <n v="8"/>
    <x v="2"/>
  </r>
  <r>
    <s v="TX501243"/>
    <s v="Graphic Tees"/>
    <n v="9"/>
    <n v="21.4"/>
    <n v="192.6"/>
    <d v="2025-02-18T00:00:00"/>
    <d v="2025-02-21T00:00:00"/>
    <s v="F"/>
    <x v="0"/>
    <n v="4"/>
    <s v="California"/>
    <s v="Butte County"/>
    <n v="3"/>
    <n v="8"/>
    <x v="2"/>
  </r>
  <r>
    <s v="TX501244"/>
    <s v="Bikinis"/>
    <n v="11"/>
    <n v="31"/>
    <n v="341"/>
    <d v="2025-02-18T00:00:00"/>
    <d v="2025-02-20T00:00:00"/>
    <s v="F"/>
    <x v="3"/>
    <n v="5"/>
    <s v="California"/>
    <s v="Contra Costa County"/>
    <n v="2"/>
    <n v="8"/>
    <x v="2"/>
  </r>
  <r>
    <s v="TX501245"/>
    <s v="Hoodies &amp; Sweatshirts"/>
    <n v="2"/>
    <n v="34.299999999999997"/>
    <n v="68.599999999999994"/>
    <d v="2025-02-18T00:00:00"/>
    <d v="2025-02-20T00:00:00"/>
    <s v="F"/>
    <x v="0"/>
    <n v="1"/>
    <s v="California"/>
    <s v="Contra Costa County"/>
    <n v="2"/>
    <n v="8"/>
    <x v="2"/>
  </r>
  <r>
    <s v="TX501246"/>
    <s v="Pajama Sets"/>
    <n v="5"/>
    <n v="48.2"/>
    <n v="241"/>
    <d v="2025-02-18T00:00:00"/>
    <d v="2025-02-19T00:00:00"/>
    <s v="M"/>
    <x v="1"/>
    <n v="3"/>
    <s v="California"/>
    <s v="Fresno County"/>
    <n v="1"/>
    <n v="8"/>
    <x v="1"/>
  </r>
  <r>
    <s v="TX501247"/>
    <s v="Bikinis"/>
    <n v="1"/>
    <n v="51.4"/>
    <n v="51.4"/>
    <d v="2025-02-18T00:00:00"/>
    <d v="2025-02-19T00:00:00"/>
    <s v="M"/>
    <x v="0"/>
    <n v="4"/>
    <s v="California"/>
    <s v="Los Angeles County"/>
    <n v="1"/>
    <n v="8"/>
    <x v="1"/>
  </r>
  <r>
    <s v="TX501248"/>
    <s v="Sneakers"/>
    <n v="5"/>
    <n v="117.2"/>
    <n v="586"/>
    <d v="2025-02-18T00:00:00"/>
    <d v="2025-02-21T00:00:00"/>
    <s v="F"/>
    <x v="4"/>
    <n v="2"/>
    <s v="California"/>
    <s v="Los Angeles County"/>
    <n v="3"/>
    <n v="8"/>
    <x v="2"/>
  </r>
  <r>
    <s v="TX501249"/>
    <s v="T-Shirts"/>
    <n v="1"/>
    <n v="38.1"/>
    <n v="38.1"/>
    <d v="2025-02-18T00:00:00"/>
    <d v="2025-02-18T00:00:00"/>
    <s v="M"/>
    <x v="4"/>
    <n v="3"/>
    <s v="California"/>
    <s v="Los Angeles County"/>
    <n v="0"/>
    <n v="8"/>
    <x v="1"/>
  </r>
  <r>
    <s v="TX501250"/>
    <s v="Shorts"/>
    <n v="2"/>
    <n v="44.1"/>
    <n v="88.2"/>
    <d v="2025-02-18T00:00:00"/>
    <d v="2025-02-20T00:00:00"/>
    <s v="F"/>
    <x v="2"/>
    <n v="4"/>
    <s v="California"/>
    <s v="Los Angeles County"/>
    <n v="2"/>
    <n v="8"/>
    <x v="2"/>
  </r>
  <r>
    <s v="TX501251"/>
    <s v="Crop Tops"/>
    <n v="4"/>
    <n v="80.5"/>
    <n v="322"/>
    <d v="2025-02-18T00:00:00"/>
    <d v="2025-02-23T00:00:00"/>
    <s v="M"/>
    <x v="0"/>
    <n v="4"/>
    <s v="California"/>
    <s v="Los Angeles County"/>
    <n v="5"/>
    <n v="8"/>
    <x v="1"/>
  </r>
  <r>
    <s v="TX501252"/>
    <s v="Leggings"/>
    <n v="4"/>
    <n v="33.6"/>
    <n v="134.4"/>
    <d v="2025-02-18T00:00:00"/>
    <d v="2025-02-23T00:00:00"/>
    <s v=""/>
    <x v="0"/>
    <n v="5"/>
    <s v="California"/>
    <s v="Los Angeles County"/>
    <n v="5"/>
    <n v="8"/>
    <x v="0"/>
  </r>
  <r>
    <s v="TX501253"/>
    <s v="Sundresses"/>
    <n v="9"/>
    <n v="41.8"/>
    <n v="376.2"/>
    <d v="2025-02-18T00:00:00"/>
    <d v="2025-02-19T00:00:00"/>
    <s v="F"/>
    <x v="0"/>
    <n v="3"/>
    <s v="California"/>
    <s v="Los Angeles County"/>
    <n v="1"/>
    <n v="8"/>
    <x v="2"/>
  </r>
  <r>
    <s v="TX501254"/>
    <s v="Tank Tops"/>
    <n v="2"/>
    <n v="106.2"/>
    <n v="212.4"/>
    <d v="2025-02-18T00:00:00"/>
    <d v="2025-02-18T00:00:00"/>
    <s v="F"/>
    <x v="4"/>
    <n v="5"/>
    <s v="California"/>
    <s v="Los Angeles County"/>
    <n v="0"/>
    <n v="8"/>
    <x v="2"/>
  </r>
  <r>
    <s v="TX501255"/>
    <s v="Tank Tops"/>
    <n v="2"/>
    <n v="52.6"/>
    <n v="105.2"/>
    <d v="2025-02-18T00:00:00"/>
    <d v="2025-02-19T00:00:00"/>
    <s v="F"/>
    <x v="0"/>
    <n v="5"/>
    <s v="California"/>
    <s v="Placer County"/>
    <n v="1"/>
    <n v="8"/>
    <x v="2"/>
  </r>
  <r>
    <s v="TX501256"/>
    <s v="Maxi Dresses"/>
    <n v="7"/>
    <n v="68.5"/>
    <n v="479.5"/>
    <d v="2025-02-18T00:00:00"/>
    <d v="2025-02-19T00:00:00"/>
    <s v="F"/>
    <x v="1"/>
    <n v="4"/>
    <s v="California"/>
    <s v="Placer County"/>
    <n v="1"/>
    <n v="8"/>
    <x v="2"/>
  </r>
  <r>
    <s v="TX501257"/>
    <s v="Tank Tops"/>
    <n v="2"/>
    <n v="55.6"/>
    <n v="111.2"/>
    <d v="2025-02-18T00:00:00"/>
    <d v="2025-02-20T00:00:00"/>
    <s v="M"/>
    <x v="1"/>
    <n v="5"/>
    <s v="California"/>
    <s v="Sacramento County"/>
    <n v="2"/>
    <n v="8"/>
    <x v="1"/>
  </r>
  <r>
    <s v="TX501258"/>
    <s v="Sneakers"/>
    <n v="3"/>
    <n v="134.9"/>
    <n v="404.70000000000005"/>
    <d v="2025-02-18T00:00:00"/>
    <d v="2025-02-19T00:00:00"/>
    <s v="M"/>
    <x v="1"/>
    <n v="3"/>
    <s v="California"/>
    <s v="Sacramento County"/>
    <n v="1"/>
    <n v="8"/>
    <x v="1"/>
  </r>
  <r>
    <s v="TX501259"/>
    <s v="Bikinis"/>
    <n v="5"/>
    <n v="42.6"/>
    <n v="213"/>
    <d v="2025-02-18T00:00:00"/>
    <d v="2025-02-19T00:00:00"/>
    <s v="M"/>
    <x v="0"/>
    <n v="4"/>
    <s v="California"/>
    <s v="Sacramento County"/>
    <n v="1"/>
    <n v="8"/>
    <x v="1"/>
  </r>
  <r>
    <s v="TX501260"/>
    <s v="Hoodies &amp; Sweatshirts"/>
    <n v="5"/>
    <n v="60.6"/>
    <n v="303"/>
    <d v="2025-02-18T00:00:00"/>
    <d v="2025-02-20T00:00:00"/>
    <s v="M"/>
    <x v="4"/>
    <n v="4"/>
    <s v="California"/>
    <s v="Sacramento County"/>
    <n v="2"/>
    <n v="8"/>
    <x v="1"/>
  </r>
  <r>
    <s v="TX501261"/>
    <s v="T-Shirts"/>
    <n v="2"/>
    <n v="43.5"/>
    <n v="87"/>
    <d v="2025-02-18T00:00:00"/>
    <d v="2025-02-19T00:00:00"/>
    <s v="M"/>
    <x v="4"/>
    <n v="4"/>
    <s v="California"/>
    <s v="San Bernardino County"/>
    <n v="1"/>
    <n v="8"/>
    <x v="1"/>
  </r>
  <r>
    <s v="TX501262"/>
    <s v="Sneakers"/>
    <n v="2"/>
    <n v="187.1"/>
    <n v="374.2"/>
    <d v="2025-02-18T00:00:00"/>
    <d v="2025-02-19T00:00:00"/>
    <s v="M"/>
    <x v="1"/>
    <n v="5"/>
    <s v="California"/>
    <s v="San Diego County"/>
    <n v="1"/>
    <n v="8"/>
    <x v="1"/>
  </r>
  <r>
    <s v="TX501263"/>
    <s v="Sundresses"/>
    <n v="3"/>
    <n v="32"/>
    <n v="96"/>
    <d v="2025-02-18T00:00:00"/>
    <d v="2025-02-20T00:00:00"/>
    <s v="M"/>
    <x v="0"/>
    <n v="4"/>
    <s v="California"/>
    <s v="San Diego County"/>
    <n v="2"/>
    <n v="8"/>
    <x v="1"/>
  </r>
  <r>
    <s v="TX501264"/>
    <s v="Sundresses"/>
    <n v="2"/>
    <n v="110.8"/>
    <n v="221.6"/>
    <d v="2025-02-18T00:00:00"/>
    <d v="2025-02-18T00:00:00"/>
    <s v="M"/>
    <x v="0"/>
    <n v="5"/>
    <s v="California"/>
    <s v="San Diego County"/>
    <n v="0"/>
    <n v="8"/>
    <x v="1"/>
  </r>
  <r>
    <s v="TX501265"/>
    <s v="Bikinis"/>
    <n v="13"/>
    <n v="36.1"/>
    <n v="469.3"/>
    <d v="2025-02-18T00:00:00"/>
    <d v="2025-02-21T00:00:00"/>
    <s v="F"/>
    <x v="0"/>
    <n v="3"/>
    <s v="California"/>
    <s v="San Diego County"/>
    <n v="3"/>
    <n v="8"/>
    <x v="2"/>
  </r>
  <r>
    <s v="TX501266"/>
    <s v="Shorts"/>
    <n v="1"/>
    <n v="24.1"/>
    <n v="24.1"/>
    <d v="2025-02-18T00:00:00"/>
    <d v="2025-02-20T00:00:00"/>
    <s v="F"/>
    <x v="4"/>
    <n v="5"/>
    <s v="California"/>
    <s v="San Diego County"/>
    <n v="2"/>
    <n v="8"/>
    <x v="2"/>
  </r>
  <r>
    <s v="TX501267"/>
    <s v="Jewelry"/>
    <n v="3"/>
    <n v="30.5"/>
    <n v="91.5"/>
    <d v="2025-02-18T00:00:00"/>
    <d v="2025-02-20T00:00:00"/>
    <s v="M"/>
    <x v="1"/>
    <n v="4"/>
    <s v="California"/>
    <s v="San Diego County"/>
    <n v="2"/>
    <n v="8"/>
    <x v="1"/>
  </r>
  <r>
    <s v="TX501268"/>
    <s v="Leggings"/>
    <n v="6"/>
    <n v="68.3"/>
    <n v="409.79999999999995"/>
    <d v="2025-02-18T00:00:00"/>
    <d v="2025-02-21T00:00:00"/>
    <s v="M"/>
    <x v="0"/>
    <n v="4"/>
    <s v="California"/>
    <s v="San Diego County"/>
    <n v="3"/>
    <n v="8"/>
    <x v="1"/>
  </r>
  <r>
    <s v="TX501269"/>
    <s v="Hoodies &amp; Sweatshirts"/>
    <n v="3"/>
    <n v="43.3"/>
    <n v="129.89999999999998"/>
    <d v="2025-02-18T00:00:00"/>
    <d v="2025-02-22T00:00:00"/>
    <s v="F"/>
    <x v="0"/>
    <n v="4"/>
    <s v="California"/>
    <s v="San Francisco"/>
    <n v="4"/>
    <n v="8"/>
    <x v="2"/>
  </r>
  <r>
    <s v="TX501270"/>
    <s v="Workout Tops"/>
    <n v="1"/>
    <n v="101.7"/>
    <n v="101.7"/>
    <d v="2025-02-18T00:00:00"/>
    <d v="2025-02-21T00:00:00"/>
    <s v="F"/>
    <x v="0"/>
    <n v="3"/>
    <s v="California"/>
    <s v="San Francisco"/>
    <n v="3"/>
    <n v="8"/>
    <x v="2"/>
  </r>
  <r>
    <s v="TX501271"/>
    <s v="Maxi Dresses"/>
    <n v="2"/>
    <n v="54.2"/>
    <n v="108.4"/>
    <d v="2025-02-18T00:00:00"/>
    <d v="2025-02-19T00:00:00"/>
    <s v="F"/>
    <x v="0"/>
    <n v="3"/>
    <s v="California"/>
    <s v="San Francisco"/>
    <n v="1"/>
    <n v="8"/>
    <x v="2"/>
  </r>
  <r>
    <s v="TX501272"/>
    <s v="Sunglasses"/>
    <n v="2"/>
    <n v="51"/>
    <n v="102"/>
    <d v="2025-02-18T00:00:00"/>
    <d v="2025-02-18T00:00:00"/>
    <s v="M"/>
    <x v="1"/>
    <n v="4"/>
    <s v="California"/>
    <s v="San Joaquin County"/>
    <n v="0"/>
    <n v="8"/>
    <x v="1"/>
  </r>
  <r>
    <s v="TX501273"/>
    <s v="Graphic Tees"/>
    <n v="2"/>
    <n v="23.1"/>
    <n v="46.2"/>
    <d v="2025-02-18T00:00:00"/>
    <d v="2025-02-21T00:00:00"/>
    <s v="M"/>
    <x v="1"/>
    <n v="4"/>
    <s v="California"/>
    <s v="Santa Barbara County"/>
    <n v="3"/>
    <n v="8"/>
    <x v="1"/>
  </r>
  <r>
    <s v="TX501274"/>
    <s v="Casual Dresses"/>
    <n v="6"/>
    <n v="60.1"/>
    <n v="360.6"/>
    <d v="2025-02-18T00:00:00"/>
    <d v="2025-02-18T00:00:00"/>
    <s v="F"/>
    <x v="3"/>
    <n v="4"/>
    <s v="California"/>
    <s v="Santa Clara County"/>
    <n v="0"/>
    <n v="8"/>
    <x v="2"/>
  </r>
  <r>
    <s v="TX501275"/>
    <s v="Sneakers"/>
    <n v="7"/>
    <n v="87.5"/>
    <n v="612.5"/>
    <d v="2025-02-18T00:00:00"/>
    <d v="2025-02-20T00:00:00"/>
    <s v="F"/>
    <x v="0"/>
    <n v="3"/>
    <s v="California"/>
    <s v="Santa Clara County"/>
    <n v="2"/>
    <n v="8"/>
    <x v="2"/>
  </r>
  <r>
    <s v="TX501276"/>
    <s v="Tank Tops"/>
    <n v="3"/>
    <n v="51"/>
    <n v="153"/>
    <d v="2025-02-18T00:00:00"/>
    <d v="2025-02-19T00:00:00"/>
    <s v="F"/>
    <x v="1"/>
    <n v="4"/>
    <s v="California"/>
    <s v="Santa Clara County"/>
    <n v="1"/>
    <n v="8"/>
    <x v="2"/>
  </r>
  <r>
    <s v="TX501277"/>
    <s v="T-Shirts"/>
    <n v="4"/>
    <n v="19.2"/>
    <n v="76.8"/>
    <d v="2025-02-18T00:00:00"/>
    <d v="2025-02-20T00:00:00"/>
    <s v="F"/>
    <x v="0"/>
    <n v="4"/>
    <s v="California"/>
    <s v="Santa Clara County"/>
    <n v="2"/>
    <n v="8"/>
    <x v="2"/>
  </r>
  <r>
    <s v="TX501278"/>
    <s v="Sandals"/>
    <n v="8"/>
    <n v="26.5"/>
    <n v="212"/>
    <d v="2025-02-18T00:00:00"/>
    <d v="2025-02-19T00:00:00"/>
    <s v=""/>
    <x v="3"/>
    <n v="5"/>
    <s v="California"/>
    <s v="Santa Clara County"/>
    <n v="1"/>
    <n v="8"/>
    <x v="0"/>
  </r>
  <r>
    <s v="TX501279"/>
    <s v="Sneakers"/>
    <n v="2"/>
    <n v="220.3"/>
    <n v="440.6"/>
    <d v="2025-02-18T00:00:00"/>
    <d v="2025-02-19T00:00:00"/>
    <s v="F"/>
    <x v="1"/>
    <n v="2"/>
    <s v="California"/>
    <s v="Shasta County"/>
    <n v="1"/>
    <n v="8"/>
    <x v="2"/>
  </r>
  <r>
    <s v="TX501280"/>
    <s v="T-Shirts"/>
    <n v="3"/>
    <n v="45.7"/>
    <n v="137.10000000000002"/>
    <d v="2025-02-18T00:00:00"/>
    <d v="2025-02-19T00:00:00"/>
    <s v="F"/>
    <x v="4"/>
    <n v="4"/>
    <s v="California"/>
    <s v="Siskiyou County"/>
    <n v="1"/>
    <n v="8"/>
    <x v="2"/>
  </r>
  <r>
    <s v="TX501281"/>
    <s v="Sandals"/>
    <n v="5"/>
    <n v="47.1"/>
    <n v="235.5"/>
    <d v="2025-02-18T00:00:00"/>
    <d v="2025-02-22T00:00:00"/>
    <s v="F"/>
    <x v="3"/>
    <n v="4"/>
    <s v="California"/>
    <s v="Ventura County"/>
    <n v="4"/>
    <n v="8"/>
    <x v="2"/>
  </r>
  <r>
    <s v="TX501282"/>
    <s v="Tank Tops"/>
    <n v="5"/>
    <n v="81.7"/>
    <n v="408.5"/>
    <d v="2025-02-18T00:00:00"/>
    <d v="2025-02-19T00:00:00"/>
    <s v="F"/>
    <x v="0"/>
    <n v="5"/>
    <s v="California"/>
    <s v="Alameda County"/>
    <n v="1"/>
    <n v="8"/>
    <x v="2"/>
  </r>
  <r>
    <s v="TX501283"/>
    <s v="Jeans"/>
    <n v="10"/>
    <n v="97.8"/>
    <n v="978"/>
    <d v="2025-02-18T00:00:00"/>
    <d v="2025-02-18T00:00:00"/>
    <s v="M"/>
    <x v="1"/>
    <n v="3"/>
    <s v="California"/>
    <s v="Alameda County"/>
    <n v="0"/>
    <n v="8"/>
    <x v="1"/>
  </r>
  <r>
    <s v="TX501284"/>
    <s v="Jeans"/>
    <n v="3"/>
    <n v="42.4"/>
    <n v="127.19999999999999"/>
    <d v="2025-02-18T00:00:00"/>
    <d v="2025-02-19T00:00:00"/>
    <s v="F"/>
    <x v="0"/>
    <n v="5"/>
    <s v="California"/>
    <s v="Colusa County"/>
    <n v="1"/>
    <n v="8"/>
    <x v="2"/>
  </r>
  <r>
    <s v="TX501285"/>
    <s v="Sneakers"/>
    <n v="10"/>
    <n v="74.5"/>
    <n v="745"/>
    <d v="2025-02-18T00:00:00"/>
    <d v="2025-02-19T00:00:00"/>
    <s v="M"/>
    <x v="2"/>
    <n v="3"/>
    <s v="California"/>
    <s v="Contra Costa County"/>
    <n v="1"/>
    <n v="8"/>
    <x v="1"/>
  </r>
  <r>
    <s v="TX501286"/>
    <s v="Pajama Sets"/>
    <n v="6"/>
    <n v="47.4"/>
    <n v="284.39999999999998"/>
    <d v="2025-02-18T00:00:00"/>
    <d v="2025-02-19T00:00:00"/>
    <s v="M"/>
    <x v="1"/>
    <n v="4"/>
    <s v="California"/>
    <s v="Contra Costa County"/>
    <n v="1"/>
    <n v="8"/>
    <x v="1"/>
  </r>
  <r>
    <s v="TX501287"/>
    <s v="Baseball Caps"/>
    <n v="3"/>
    <n v="17.3"/>
    <n v="51.900000000000006"/>
    <d v="2025-02-19T00:00:00"/>
    <d v="2025-02-22T00:00:00"/>
    <s v="M"/>
    <x v="2"/>
    <n v="5"/>
    <s v="California"/>
    <s v="Contra Costa County"/>
    <n v="3"/>
    <n v="8"/>
    <x v="1"/>
  </r>
  <r>
    <s v="TX501288"/>
    <s v="Casual Dresses"/>
    <n v="4"/>
    <n v="77.900000000000006"/>
    <n v="311.60000000000002"/>
    <d v="2025-02-19T00:00:00"/>
    <d v="2025-02-20T00:00:00"/>
    <s v="M"/>
    <x v="1"/>
    <n v="4"/>
    <s v="California"/>
    <s v="Fresno County"/>
    <n v="1"/>
    <n v="8"/>
    <x v="1"/>
  </r>
  <r>
    <s v="TX501289"/>
    <s v="T-Shirts"/>
    <n v="1"/>
    <n v="29.1"/>
    <n v="29.1"/>
    <d v="2025-02-19T00:00:00"/>
    <d v="2025-02-22T00:00:00"/>
    <s v="M"/>
    <x v="0"/>
    <n v="5"/>
    <s v="California"/>
    <s v="Lake County"/>
    <n v="3"/>
    <n v="8"/>
    <x v="1"/>
  </r>
  <r>
    <s v="TX501290"/>
    <s v="T-Shirts"/>
    <n v="1"/>
    <n v="49"/>
    <n v="49"/>
    <d v="2025-02-19T00:00:00"/>
    <d v="2025-02-20T00:00:00"/>
    <s v="M"/>
    <x v="1"/>
    <n v="4"/>
    <s v="California"/>
    <s v="Los Angeles County"/>
    <n v="1"/>
    <n v="8"/>
    <x v="1"/>
  </r>
  <r>
    <s v="TX501291"/>
    <s v="T-Shirts"/>
    <n v="6"/>
    <n v="21.1"/>
    <n v="126.60000000000001"/>
    <d v="2025-02-19T00:00:00"/>
    <d v="2025-02-26T00:00:00"/>
    <s v="M"/>
    <x v="0"/>
    <n v="5"/>
    <s v="California"/>
    <s v="Los Angeles County"/>
    <n v="7"/>
    <n v="8"/>
    <x v="1"/>
  </r>
  <r>
    <s v="TX501292"/>
    <s v="Graphic Tees"/>
    <n v="19"/>
    <n v="36.9"/>
    <n v="701.1"/>
    <d v="2025-02-19T00:00:00"/>
    <d v="2025-02-19T00:00:00"/>
    <s v="F"/>
    <x v="0"/>
    <n v="4"/>
    <s v="California"/>
    <s v="Los Angeles County"/>
    <n v="0"/>
    <n v="8"/>
    <x v="2"/>
  </r>
  <r>
    <s v="TX501293"/>
    <s v="Tank Tops"/>
    <n v="10"/>
    <n v="92.6"/>
    <n v="926"/>
    <d v="2025-02-19T00:00:00"/>
    <d v="2025-02-24T00:00:00"/>
    <s v="M"/>
    <x v="4"/>
    <n v="5"/>
    <s v="California"/>
    <s v="Los Angeles County"/>
    <n v="5"/>
    <n v="8"/>
    <x v="1"/>
  </r>
  <r>
    <s v="TX501294"/>
    <s v="Bikinis"/>
    <n v="2"/>
    <n v="38"/>
    <n v="76"/>
    <d v="2025-02-19T00:00:00"/>
    <d v="2025-02-20T00:00:00"/>
    <s v="M"/>
    <x v="1"/>
    <n v="3"/>
    <s v="California"/>
    <s v="Los Angeles County"/>
    <n v="1"/>
    <n v="8"/>
    <x v="1"/>
  </r>
  <r>
    <s v="TX501295"/>
    <s v="Sandals"/>
    <n v="3"/>
    <n v="54.8"/>
    <n v="164.39999999999998"/>
    <d v="2025-02-19T00:00:00"/>
    <d v="2025-02-23T00:00:00"/>
    <s v=""/>
    <x v="0"/>
    <n v="3"/>
    <s v="California"/>
    <s v="Los Angeles County"/>
    <n v="4"/>
    <n v="8"/>
    <x v="0"/>
  </r>
  <r>
    <s v="TX501296"/>
    <s v="Bikinis"/>
    <n v="12"/>
    <n v="56.8"/>
    <n v="681.59999999999991"/>
    <d v="2025-02-19T00:00:00"/>
    <d v="2025-02-21T00:00:00"/>
    <s v="M"/>
    <x v="1"/>
    <n v="4"/>
    <s v="California"/>
    <s v="Los Angeles County"/>
    <n v="2"/>
    <n v="8"/>
    <x v="1"/>
  </r>
  <r>
    <s v="TX501297"/>
    <s v="Maxi Dresses"/>
    <n v="33"/>
    <n v="47.2"/>
    <n v="1557.6000000000001"/>
    <d v="2025-02-19T00:00:00"/>
    <d v="2025-02-22T00:00:00"/>
    <s v="F"/>
    <x v="1"/>
    <n v="4"/>
    <s v="California"/>
    <s v="Los Angeles County"/>
    <n v="3"/>
    <n v="8"/>
    <x v="2"/>
  </r>
  <r>
    <s v="TX501298"/>
    <s v="Hoodies &amp; Sweatshirts"/>
    <n v="6"/>
    <n v="45.1"/>
    <n v="270.60000000000002"/>
    <d v="2025-02-19T00:00:00"/>
    <d v="2025-02-20T00:00:00"/>
    <s v="F"/>
    <x v="2"/>
    <n v="4"/>
    <s v="California"/>
    <s v="Marin County"/>
    <n v="1"/>
    <n v="8"/>
    <x v="2"/>
  </r>
  <r>
    <s v="TX501299"/>
    <s v="Graphic Tees"/>
    <n v="12"/>
    <n v="25.2"/>
    <n v="302.39999999999998"/>
    <d v="2025-02-19T00:00:00"/>
    <d v="2025-02-24T00:00:00"/>
    <s v="F"/>
    <x v="2"/>
    <n v="4"/>
    <s v="California"/>
    <s v="Napa County"/>
    <n v="5"/>
    <n v="8"/>
    <x v="2"/>
  </r>
  <r>
    <s v="TX501300"/>
    <s v="T-Shirts"/>
    <n v="1"/>
    <n v="22"/>
    <n v="22"/>
    <d v="2025-02-19T00:00:00"/>
    <d v="2025-02-20T00:00:00"/>
    <s v="F"/>
    <x v="0"/>
    <n v="4"/>
    <s v="California"/>
    <s v="Placer County"/>
    <n v="1"/>
    <n v="8"/>
    <x v="2"/>
  </r>
  <r>
    <s v="TX501301"/>
    <s v="Jeans"/>
    <n v="2"/>
    <n v="42.2"/>
    <n v="84.4"/>
    <d v="2025-02-19T00:00:00"/>
    <d v="2025-02-20T00:00:00"/>
    <s v="F"/>
    <x v="1"/>
    <n v="3"/>
    <s v="California"/>
    <s v="Riverside County"/>
    <n v="1"/>
    <n v="8"/>
    <x v="2"/>
  </r>
  <r>
    <s v="TX501302"/>
    <s v="Tote Bags"/>
    <n v="3"/>
    <n v="20.5"/>
    <n v="61.5"/>
    <d v="2025-02-19T00:00:00"/>
    <d v="2025-02-20T00:00:00"/>
    <s v="M"/>
    <x v="0"/>
    <n v="3"/>
    <s v="California"/>
    <s v="Sacramento County"/>
    <n v="1"/>
    <n v="8"/>
    <x v="1"/>
  </r>
  <r>
    <s v="TX501303"/>
    <s v="Sneakers"/>
    <n v="1"/>
    <n v="190.4"/>
    <n v="190.4"/>
    <d v="2025-02-19T00:00:00"/>
    <d v="2025-02-24T00:00:00"/>
    <s v="M"/>
    <x v="1"/>
    <n v="2"/>
    <s v="California"/>
    <s v="Sacramento County"/>
    <n v="5"/>
    <n v="8"/>
    <x v="1"/>
  </r>
  <r>
    <s v="TX501304"/>
    <s v="Sneakers"/>
    <n v="1"/>
    <n v="121.9"/>
    <n v="121.9"/>
    <d v="2025-02-19T00:00:00"/>
    <d v="2025-02-21T00:00:00"/>
    <s v="F"/>
    <x v="1"/>
    <n v="5"/>
    <s v="California"/>
    <s v="Sacramento County"/>
    <n v="2"/>
    <n v="8"/>
    <x v="2"/>
  </r>
  <r>
    <s v="TX501305"/>
    <s v="Sneakers"/>
    <n v="6"/>
    <n v="149.19999999999999"/>
    <n v="895.19999999999993"/>
    <d v="2025-02-19T00:00:00"/>
    <d v="2025-02-20T00:00:00"/>
    <s v="F"/>
    <x v="2"/>
    <n v="5"/>
    <s v="California"/>
    <s v="San Bernardino County"/>
    <n v="1"/>
    <n v="8"/>
    <x v="2"/>
  </r>
  <r>
    <s v="TX501306"/>
    <s v="Sneakers"/>
    <n v="1"/>
    <n v="54.1"/>
    <n v="54.1"/>
    <d v="2025-02-19T00:00:00"/>
    <d v="2025-02-28T00:00:00"/>
    <s v="F"/>
    <x v="2"/>
    <n v="5"/>
    <s v="California"/>
    <s v="San Bernardino County"/>
    <n v="9"/>
    <n v="8"/>
    <x v="2"/>
  </r>
  <r>
    <s v="TX501307"/>
    <s v="Sandals"/>
    <n v="2"/>
    <n v="27.4"/>
    <n v="54.8"/>
    <d v="2025-02-19T00:00:00"/>
    <d v="2025-02-21T00:00:00"/>
    <s v="M"/>
    <x v="1"/>
    <n v="4"/>
    <s v="California"/>
    <s v="San Diego County"/>
    <n v="2"/>
    <n v="8"/>
    <x v="1"/>
  </r>
  <r>
    <s v="TX501308"/>
    <s v="Shorts"/>
    <n v="13"/>
    <n v="30.4"/>
    <n v="395.2"/>
    <d v="2025-02-19T00:00:00"/>
    <d v="2025-02-20T00:00:00"/>
    <s v="F"/>
    <x v="0"/>
    <n v="5"/>
    <s v="California"/>
    <s v="San Diego County"/>
    <n v="1"/>
    <n v="8"/>
    <x v="2"/>
  </r>
  <r>
    <s v="TX501309"/>
    <s v="Casual Dresses"/>
    <n v="3"/>
    <n v="46.2"/>
    <n v="138.60000000000002"/>
    <d v="2025-02-19T00:00:00"/>
    <d v="2025-02-21T00:00:00"/>
    <s v="M"/>
    <x v="2"/>
    <n v="3"/>
    <s v="California"/>
    <s v="San Francisco"/>
    <n v="2"/>
    <n v="8"/>
    <x v="1"/>
  </r>
  <r>
    <s v="TX501310"/>
    <s v="Hoodies &amp; Sweatshirts"/>
    <n v="8"/>
    <n v="78.599999999999994"/>
    <n v="628.79999999999995"/>
    <d v="2025-02-19T00:00:00"/>
    <d v="2025-02-23T00:00:00"/>
    <s v="M"/>
    <x v="3"/>
    <n v="4"/>
    <s v="California"/>
    <s v="San Francisco"/>
    <n v="4"/>
    <n v="8"/>
    <x v="1"/>
  </r>
  <r>
    <s v="TX501311"/>
    <s v="Pajama Sets"/>
    <n v="10"/>
    <n v="25.9"/>
    <n v="259"/>
    <d v="2025-02-19T00:00:00"/>
    <d v="2025-02-25T00:00:00"/>
    <s v="M"/>
    <x v="4"/>
    <n v="4"/>
    <s v="California"/>
    <s v="San Mateo County"/>
    <n v="6"/>
    <n v="8"/>
    <x v="1"/>
  </r>
  <r>
    <s v="TX501312"/>
    <s v="Jeans"/>
    <n v="1"/>
    <n v="134.80000000000001"/>
    <n v="134.80000000000001"/>
    <d v="2025-02-19T00:00:00"/>
    <d v="2025-02-21T00:00:00"/>
    <s v="M"/>
    <x v="2"/>
    <n v="5"/>
    <s v="California"/>
    <s v="San Mateo County"/>
    <n v="2"/>
    <n v="8"/>
    <x v="1"/>
  </r>
  <r>
    <s v="TX501313"/>
    <s v="Crop Tops"/>
    <n v="5"/>
    <n v="43.1"/>
    <n v="215.5"/>
    <d v="2025-02-19T00:00:00"/>
    <d v="2025-02-21T00:00:00"/>
    <s v="F"/>
    <x v="0"/>
    <n v="4"/>
    <s v="California"/>
    <s v="Santa Clara County"/>
    <n v="2"/>
    <n v="8"/>
    <x v="2"/>
  </r>
  <r>
    <s v="TX501314"/>
    <s v="Sneakers"/>
    <n v="2"/>
    <n v="215.6"/>
    <n v="431.2"/>
    <d v="2025-02-19T00:00:00"/>
    <d v="2025-02-20T00:00:00"/>
    <s v="F"/>
    <x v="2"/>
    <n v="4"/>
    <s v="California"/>
    <s v="Sonoma County"/>
    <n v="1"/>
    <n v="8"/>
    <x v="2"/>
  </r>
  <r>
    <s v="TX501315"/>
    <s v="Jeans"/>
    <n v="2"/>
    <n v="80.7"/>
    <n v="161.4"/>
    <d v="2025-02-19T00:00:00"/>
    <d v="2025-02-22T00:00:00"/>
    <s v="F"/>
    <x v="3"/>
    <n v="4"/>
    <s v="California"/>
    <s v="Sonoma County"/>
    <n v="3"/>
    <n v="8"/>
    <x v="2"/>
  </r>
  <r>
    <s v="TX501316"/>
    <s v="Bikinis"/>
    <n v="7"/>
    <n v="20.6"/>
    <n v="144.20000000000002"/>
    <d v="2025-02-19T00:00:00"/>
    <d v="2025-02-24T00:00:00"/>
    <s v=""/>
    <x v="2"/>
    <n v="3"/>
    <s v="California"/>
    <s v="Stanislaus County"/>
    <n v="5"/>
    <n v="8"/>
    <x v="0"/>
  </r>
  <r>
    <s v="TX501317"/>
    <s v="Casual Dresses"/>
    <n v="3"/>
    <n v="37.1"/>
    <n v="111.30000000000001"/>
    <d v="2025-02-19T00:00:00"/>
    <d v="2025-02-20T00:00:00"/>
    <s v="F"/>
    <x v="0"/>
    <n v="4"/>
    <s v="California"/>
    <s v="Tuolumne County"/>
    <n v="1"/>
    <n v="8"/>
    <x v="2"/>
  </r>
  <r>
    <s v="TX501318"/>
    <s v="Casual Dresses"/>
    <n v="1"/>
    <n v="104.8"/>
    <n v="104.8"/>
    <d v="2025-02-20T00:00:00"/>
    <d v="2025-02-22T00:00:00"/>
    <s v="F"/>
    <x v="0"/>
    <n v="4"/>
    <s v="California"/>
    <s v="Ventura County"/>
    <n v="2"/>
    <n v="8"/>
    <x v="2"/>
  </r>
  <r>
    <s v="TX501319"/>
    <s v="T-Shirts"/>
    <n v="2"/>
    <n v="59"/>
    <n v="118"/>
    <d v="2025-02-20T00:00:00"/>
    <d v="2025-02-21T00:00:00"/>
    <s v="M"/>
    <x v="1"/>
    <n v="4"/>
    <s v="California"/>
    <s v="Alameda County"/>
    <n v="1"/>
    <n v="8"/>
    <x v="1"/>
  </r>
  <r>
    <s v="TX501320"/>
    <s v="T-Shirts"/>
    <n v="2"/>
    <n v="32.299999999999997"/>
    <n v="64.599999999999994"/>
    <d v="2025-02-20T00:00:00"/>
    <d v="2025-02-21T00:00:00"/>
    <s v="M"/>
    <x v="0"/>
    <n v="5"/>
    <s v="California"/>
    <s v="Alameda County"/>
    <n v="1"/>
    <n v="8"/>
    <x v="1"/>
  </r>
  <r>
    <s v="TX501321"/>
    <s v="T-Shirts"/>
    <n v="4"/>
    <n v="28.9"/>
    <n v="115.6"/>
    <d v="2025-02-20T00:00:00"/>
    <d v="2025-02-27T00:00:00"/>
    <s v="M"/>
    <x v="0"/>
    <n v="4"/>
    <s v="California"/>
    <s v="Contra Costa County"/>
    <n v="7"/>
    <n v="8"/>
    <x v="1"/>
  </r>
  <r>
    <s v="TX501322"/>
    <s v="Shorts"/>
    <n v="2"/>
    <n v="29.6"/>
    <n v="59.2"/>
    <d v="2025-02-20T00:00:00"/>
    <d v="2025-02-22T00:00:00"/>
    <s v="M"/>
    <x v="0"/>
    <n v="4"/>
    <s v="California"/>
    <s v="Contra Costa County"/>
    <n v="2"/>
    <n v="8"/>
    <x v="1"/>
  </r>
  <r>
    <s v="TX501323"/>
    <s v="Shorts"/>
    <n v="5"/>
    <n v="29.4"/>
    <n v="147"/>
    <d v="2025-02-20T00:00:00"/>
    <d v="2025-02-23T00:00:00"/>
    <s v="F"/>
    <x v="0"/>
    <n v="4"/>
    <s v="California"/>
    <s v="Contra Costa County"/>
    <n v="3"/>
    <n v="8"/>
    <x v="2"/>
  </r>
  <r>
    <s v="TX501324"/>
    <s v="Tank Tops"/>
    <n v="2"/>
    <n v="40.6"/>
    <n v="81.2"/>
    <d v="2025-02-20T00:00:00"/>
    <d v="2025-02-21T00:00:00"/>
    <s v="M"/>
    <x v="0"/>
    <n v="2"/>
    <s v="California"/>
    <s v="Fresno County"/>
    <n v="1"/>
    <n v="8"/>
    <x v="1"/>
  </r>
  <r>
    <s v="TX501325"/>
    <s v="Shorts"/>
    <n v="3"/>
    <n v="32.5"/>
    <n v="97.5"/>
    <d v="2025-02-20T00:00:00"/>
    <d v="2025-02-21T00:00:00"/>
    <s v="M"/>
    <x v="3"/>
    <n v="5"/>
    <s v="California"/>
    <s v="Kern County"/>
    <n v="1"/>
    <n v="8"/>
    <x v="1"/>
  </r>
  <r>
    <s v="TX501326"/>
    <s v="Crop Tops"/>
    <n v="1"/>
    <n v="26.2"/>
    <n v="26.2"/>
    <d v="2025-02-20T00:00:00"/>
    <d v="2025-02-22T00:00:00"/>
    <s v="M"/>
    <x v="2"/>
    <n v="4"/>
    <s v="California"/>
    <s v="Lassen County"/>
    <n v="2"/>
    <n v="8"/>
    <x v="1"/>
  </r>
  <r>
    <s v="TX501327"/>
    <s v="Bikinis"/>
    <n v="30"/>
    <n v="44"/>
    <n v="1320"/>
    <d v="2025-02-20T00:00:00"/>
    <d v="2025-02-26T00:00:00"/>
    <s v="M"/>
    <x v="4"/>
    <n v="4"/>
    <s v="California"/>
    <s v="Los Angeles County"/>
    <n v="6"/>
    <n v="8"/>
    <x v="1"/>
  </r>
  <r>
    <s v="TX501328"/>
    <s v="Hoodies &amp; Sweatshirts"/>
    <n v="4"/>
    <n v="65.599999999999994"/>
    <n v="262.39999999999998"/>
    <d v="2025-02-20T00:00:00"/>
    <d v="2025-02-21T00:00:00"/>
    <s v="F"/>
    <x v="1"/>
    <n v="3"/>
    <s v="California"/>
    <s v="Los Angeles County"/>
    <n v="1"/>
    <n v="8"/>
    <x v="2"/>
  </r>
  <r>
    <s v="TX501329"/>
    <s v="Sandals"/>
    <n v="12"/>
    <n v="32.6"/>
    <n v="391.20000000000005"/>
    <d v="2025-02-20T00:00:00"/>
    <d v="2025-02-21T00:00:00"/>
    <s v="M"/>
    <x v="4"/>
    <n v="4"/>
    <s v="California"/>
    <s v="Los Angeles County"/>
    <n v="1"/>
    <n v="8"/>
    <x v="1"/>
  </r>
  <r>
    <s v="TX501330"/>
    <s v="Sunglasses"/>
    <n v="2"/>
    <n v="88.7"/>
    <n v="177.4"/>
    <d v="2025-02-20T00:00:00"/>
    <d v="2025-02-21T00:00:00"/>
    <s v=""/>
    <x v="3"/>
    <n v="5"/>
    <s v="California"/>
    <s v="Los Angeles County"/>
    <n v="1"/>
    <n v="8"/>
    <x v="0"/>
  </r>
  <r>
    <s v="TX501331"/>
    <s v="Graphic Tees"/>
    <n v="2"/>
    <n v="21.3"/>
    <n v="42.6"/>
    <d v="2025-02-20T00:00:00"/>
    <d v="2025-02-21T00:00:00"/>
    <s v="M"/>
    <x v="0"/>
    <n v="4"/>
    <s v="California"/>
    <s v="Los Angeles County"/>
    <n v="1"/>
    <n v="8"/>
    <x v="1"/>
  </r>
  <r>
    <s v="TX501332"/>
    <s v="Graphic Tees"/>
    <n v="6"/>
    <n v="50.6"/>
    <n v="303.60000000000002"/>
    <d v="2025-02-20T00:00:00"/>
    <d v="2025-02-24T00:00:00"/>
    <s v="F"/>
    <x v="2"/>
    <n v="4"/>
    <s v="California"/>
    <s v="Los Angeles County"/>
    <n v="4"/>
    <n v="8"/>
    <x v="2"/>
  </r>
  <r>
    <s v="TX501333"/>
    <s v="Sundresses"/>
    <n v="21"/>
    <n v="86.9"/>
    <n v="1824.9"/>
    <d v="2025-02-20T00:00:00"/>
    <d v="2025-02-23T00:00:00"/>
    <s v="F"/>
    <x v="0"/>
    <n v="3"/>
    <s v="California"/>
    <s v="Los Angeles County"/>
    <n v="3"/>
    <n v="8"/>
    <x v="2"/>
  </r>
  <r>
    <s v="TX501334"/>
    <s v="Maxi Dresses"/>
    <n v="3"/>
    <n v="31.8"/>
    <n v="95.4"/>
    <d v="2025-02-20T00:00:00"/>
    <d v="2025-02-22T00:00:00"/>
    <s v="M"/>
    <x v="0"/>
    <n v="5"/>
    <s v="California"/>
    <s v="Los Angeles County"/>
    <n v="2"/>
    <n v="8"/>
    <x v="1"/>
  </r>
  <r>
    <s v="TX501335"/>
    <s v="T-Shirts"/>
    <n v="1"/>
    <n v="19"/>
    <n v="19"/>
    <d v="2025-02-20T00:00:00"/>
    <d v="2025-02-21T00:00:00"/>
    <s v="F"/>
    <x v="0"/>
    <n v="5"/>
    <s v="California"/>
    <s v="Los Angeles County"/>
    <n v="1"/>
    <n v="8"/>
    <x v="2"/>
  </r>
  <r>
    <s v="TX501336"/>
    <s v="Sandals"/>
    <n v="1"/>
    <n v="54.5"/>
    <n v="54.5"/>
    <d v="2025-02-20T00:00:00"/>
    <d v="2025-02-22T00:00:00"/>
    <s v="M"/>
    <x v="0"/>
    <n v="4"/>
    <s v="California"/>
    <s v="Los Angeles County"/>
    <n v="2"/>
    <n v="8"/>
    <x v="1"/>
  </r>
  <r>
    <s v="TX501337"/>
    <s v="Sundresses"/>
    <n v="5"/>
    <n v="68.900000000000006"/>
    <n v="344.5"/>
    <d v="2025-02-20T00:00:00"/>
    <d v="2025-02-22T00:00:00"/>
    <s v="M"/>
    <x v="4"/>
    <n v="3"/>
    <s v="California"/>
    <s v="Los Angeles County"/>
    <n v="2"/>
    <n v="8"/>
    <x v="1"/>
  </r>
  <r>
    <s v="TX501338"/>
    <s v="Jeans"/>
    <n v="3"/>
    <n v="84"/>
    <n v="252"/>
    <d v="2025-02-20T00:00:00"/>
    <d v="2025-02-21T00:00:00"/>
    <s v="M"/>
    <x v="1"/>
    <n v="2"/>
    <s v="California"/>
    <s v="Napa County"/>
    <n v="1"/>
    <n v="8"/>
    <x v="1"/>
  </r>
  <r>
    <s v="TX501339"/>
    <s v="Crop Tops"/>
    <n v="8"/>
    <n v="23.1"/>
    <n v="184.8"/>
    <d v="2025-02-20T00:00:00"/>
    <d v="2025-02-25T00:00:00"/>
    <s v="M"/>
    <x v="0"/>
    <n v="5"/>
    <s v="California"/>
    <s v="Riverside County"/>
    <n v="5"/>
    <n v="8"/>
    <x v="1"/>
  </r>
  <r>
    <s v="TX501340"/>
    <s v="Hoodies &amp; Sweatshirts"/>
    <n v="2"/>
    <n v="62.4"/>
    <n v="124.8"/>
    <d v="2025-02-20T00:00:00"/>
    <d v="2025-02-21T00:00:00"/>
    <s v="F"/>
    <x v="0"/>
    <n v="3"/>
    <s v="California"/>
    <s v="Sacramento County"/>
    <n v="1"/>
    <n v="8"/>
    <x v="2"/>
  </r>
  <r>
    <s v="TX501341"/>
    <s v="Jeans"/>
    <n v="12"/>
    <n v="40.700000000000003"/>
    <n v="488.40000000000003"/>
    <d v="2025-02-20T00:00:00"/>
    <d v="2025-02-22T00:00:00"/>
    <s v="M"/>
    <x v="1"/>
    <n v="5"/>
    <s v="California"/>
    <s v="Sacramento County"/>
    <n v="2"/>
    <n v="8"/>
    <x v="1"/>
  </r>
  <r>
    <s v="TX501342"/>
    <s v="Jeans"/>
    <n v="1"/>
    <n v="49.6"/>
    <n v="49.6"/>
    <d v="2025-02-20T00:00:00"/>
    <d v="2025-02-23T00:00:00"/>
    <s v="M"/>
    <x v="2"/>
    <n v="4"/>
    <s v="California"/>
    <s v="San Bernardino County"/>
    <n v="3"/>
    <n v="8"/>
    <x v="1"/>
  </r>
  <r>
    <s v="TX501343"/>
    <s v="Hoodies &amp; Sweatshirts"/>
    <n v="45"/>
    <n v="66.599999999999994"/>
    <n v="2996.9999999999995"/>
    <d v="2025-02-20T00:00:00"/>
    <d v="2025-02-23T00:00:00"/>
    <s v="M"/>
    <x v="2"/>
    <n v="4"/>
    <s v="California"/>
    <s v="San Diego County"/>
    <n v="3"/>
    <n v="8"/>
    <x v="1"/>
  </r>
  <r>
    <s v="TX501344"/>
    <s v="T-Shirts"/>
    <n v="3"/>
    <n v="26.4"/>
    <n v="79.199999999999989"/>
    <d v="2025-02-20T00:00:00"/>
    <d v="2025-02-21T00:00:00"/>
    <s v="F"/>
    <x v="1"/>
    <n v="3"/>
    <s v="California"/>
    <s v="San Diego County"/>
    <n v="1"/>
    <n v="8"/>
    <x v="2"/>
  </r>
  <r>
    <s v="TX501345"/>
    <s v="Shorts"/>
    <n v="2"/>
    <n v="17.2"/>
    <n v="34.4"/>
    <d v="2025-02-20T00:00:00"/>
    <d v="2025-02-23T00:00:00"/>
    <s v="M"/>
    <x v="2"/>
    <n v="3"/>
    <s v="California"/>
    <s v="San Diego County"/>
    <n v="3"/>
    <n v="8"/>
    <x v="1"/>
  </r>
  <r>
    <s v="TX501346"/>
    <s v="Sandals"/>
    <n v="8"/>
    <n v="58.1"/>
    <n v="464.8"/>
    <d v="2025-02-20T00:00:00"/>
    <d v="2025-02-23T00:00:00"/>
    <s v="F"/>
    <x v="4"/>
    <n v="4"/>
    <s v="California"/>
    <s v="San Diego County"/>
    <n v="3"/>
    <n v="8"/>
    <x v="2"/>
  </r>
  <r>
    <s v="TX501347"/>
    <s v="Crop Tops"/>
    <n v="4"/>
    <n v="31.5"/>
    <n v="126"/>
    <d v="2025-02-20T00:00:00"/>
    <d v="2025-02-23T00:00:00"/>
    <s v="F"/>
    <x v="4"/>
    <n v="2"/>
    <s v="California"/>
    <s v="San Diego County"/>
    <n v="3"/>
    <n v="8"/>
    <x v="2"/>
  </r>
  <r>
    <s v="TX501348"/>
    <s v="Shorts"/>
    <n v="1"/>
    <n v="27.1"/>
    <n v="27.1"/>
    <d v="2025-02-20T00:00:00"/>
    <d v="2025-02-22T00:00:00"/>
    <s v="F"/>
    <x v="0"/>
    <n v="3"/>
    <s v="California"/>
    <s v="San Francisco"/>
    <n v="2"/>
    <n v="8"/>
    <x v="2"/>
  </r>
  <r>
    <s v="TX501349"/>
    <s v="Leggings"/>
    <n v="4"/>
    <n v="28.5"/>
    <n v="114"/>
    <d v="2025-02-20T00:00:00"/>
    <d v="2025-02-22T00:00:00"/>
    <s v="M"/>
    <x v="1"/>
    <n v="5"/>
    <s v="California"/>
    <s v="San Mateo County"/>
    <n v="2"/>
    <n v="8"/>
    <x v="1"/>
  </r>
  <r>
    <s v="TX501350"/>
    <s v="Bikinis"/>
    <n v="1"/>
    <n v="40.5"/>
    <n v="40.5"/>
    <d v="2025-02-21T00:00:00"/>
    <d v="2025-02-23T00:00:00"/>
    <s v="O"/>
    <x v="2"/>
    <n v="4"/>
    <s v="California"/>
    <s v="San Mateo County"/>
    <n v="2"/>
    <n v="8"/>
    <x v="3"/>
  </r>
  <r>
    <s v="TX501351"/>
    <s v="Sneakers"/>
    <n v="3"/>
    <n v="77.900000000000006"/>
    <n v="233.70000000000002"/>
    <d v="2025-02-21T00:00:00"/>
    <d v="2025-02-25T00:00:00"/>
    <s v="F"/>
    <x v="1"/>
    <n v="5"/>
    <s v="California"/>
    <s v="Stanislaus County"/>
    <n v="4"/>
    <n v="8"/>
    <x v="2"/>
  </r>
  <r>
    <s v="TX501352"/>
    <s v="Leggings"/>
    <n v="4"/>
    <n v="37.1"/>
    <n v="148.4"/>
    <d v="2025-02-21T00:00:00"/>
    <d v="2025-02-23T00:00:00"/>
    <s v="M"/>
    <x v="4"/>
    <n v="5"/>
    <s v="California"/>
    <s v="Stanislaus County"/>
    <n v="2"/>
    <n v="8"/>
    <x v="1"/>
  </r>
  <r>
    <s v="TX501353"/>
    <s v="Sunglasses"/>
    <n v="3"/>
    <n v="51.6"/>
    <n v="154.80000000000001"/>
    <d v="2025-02-21T00:00:00"/>
    <d v="2025-03-01T00:00:00"/>
    <s v="F"/>
    <x v="0"/>
    <n v="2"/>
    <s v="California"/>
    <s v="Stanislaus County"/>
    <n v="8"/>
    <n v="8"/>
    <x v="2"/>
  </r>
  <r>
    <s v="TX501354"/>
    <s v="Hoodies &amp; Sweatshirts"/>
    <n v="3"/>
    <n v="98"/>
    <n v="294"/>
    <d v="2025-02-21T00:00:00"/>
    <d v="2025-02-22T00:00:00"/>
    <s v="M"/>
    <x v="1"/>
    <n v="3"/>
    <s v="California"/>
    <s v="Stanislaus County"/>
    <n v="1"/>
    <n v="8"/>
    <x v="1"/>
  </r>
  <r>
    <s v="TX501355"/>
    <s v="Jeans"/>
    <n v="7"/>
    <n v="41.4"/>
    <n v="289.8"/>
    <d v="2025-02-21T00:00:00"/>
    <d v="2025-02-22T00:00:00"/>
    <s v="M"/>
    <x v="1"/>
    <n v="4"/>
    <s v="California"/>
    <s v="Tulare County"/>
    <n v="1"/>
    <n v="8"/>
    <x v="1"/>
  </r>
  <r>
    <s v="TX501356"/>
    <s v="Maxi Dresses"/>
    <n v="8"/>
    <n v="34"/>
    <n v="272"/>
    <d v="2025-02-21T00:00:00"/>
    <d v="2025-02-26T00:00:00"/>
    <s v="F"/>
    <x v="0"/>
    <n v="5"/>
    <s v="California"/>
    <s v="Tuolumne County"/>
    <n v="5"/>
    <n v="8"/>
    <x v="2"/>
  </r>
  <r>
    <s v="TX501357"/>
    <s v="Jeans"/>
    <n v="1"/>
    <n v="66.3"/>
    <n v="66.3"/>
    <d v="2025-02-21T00:00:00"/>
    <d v="2025-02-22T00:00:00"/>
    <s v="F"/>
    <x v="1"/>
    <n v="4"/>
    <s v="California"/>
    <s v="Ventura County"/>
    <n v="1"/>
    <n v="8"/>
    <x v="2"/>
  </r>
  <r>
    <s v="TX501358"/>
    <s v="Hoodies &amp; Sweatshirts"/>
    <n v="1"/>
    <n v="33.5"/>
    <n v="33.5"/>
    <d v="2025-02-21T00:00:00"/>
    <d v="2025-02-25T00:00:00"/>
    <s v="M"/>
    <x v="2"/>
    <n v="4"/>
    <s v="California"/>
    <s v="Ventura County"/>
    <n v="4"/>
    <n v="8"/>
    <x v="1"/>
  </r>
  <r>
    <s v="TX501359"/>
    <s v="Casual Dresses"/>
    <n v="2"/>
    <n v="70.8"/>
    <n v="141.6"/>
    <d v="2025-02-21T00:00:00"/>
    <d v="2025-02-22T00:00:00"/>
    <s v=""/>
    <x v="0"/>
    <n v="4"/>
    <s v="California"/>
    <s v="Yolo County"/>
    <n v="1"/>
    <n v="8"/>
    <x v="0"/>
  </r>
  <r>
    <s v="TX501360"/>
    <s v="Jeans"/>
    <n v="2"/>
    <n v="127.6"/>
    <n v="255.2"/>
    <d v="2025-02-21T00:00:00"/>
    <d v="2025-02-22T00:00:00"/>
    <s v="M"/>
    <x v="0"/>
    <n v="4"/>
    <s v="California"/>
    <s v="Alameda County"/>
    <n v="1"/>
    <n v="8"/>
    <x v="1"/>
  </r>
  <r>
    <s v="TX501361"/>
    <s v="Jeans"/>
    <n v="3"/>
    <n v="95.9"/>
    <n v="287.70000000000005"/>
    <d v="2025-02-21T00:00:00"/>
    <d v="2025-02-22T00:00:00"/>
    <s v="F"/>
    <x v="1"/>
    <n v="3"/>
    <s v="California"/>
    <s v="Alameda County"/>
    <n v="1"/>
    <n v="8"/>
    <x v="2"/>
  </r>
  <r>
    <s v="TX501362"/>
    <s v="Sneakers"/>
    <n v="2"/>
    <n v="78.099999999999994"/>
    <n v="156.19999999999999"/>
    <d v="2025-02-21T00:00:00"/>
    <d v="2025-02-22T00:00:00"/>
    <s v="M"/>
    <x v="0"/>
    <n v="4"/>
    <s v="California"/>
    <s v="Contra Costa County"/>
    <n v="1"/>
    <n v="8"/>
    <x v="1"/>
  </r>
  <r>
    <s v="TX501363"/>
    <s v="Tote Bags"/>
    <n v="2"/>
    <n v="43.2"/>
    <n v="86.4"/>
    <d v="2025-02-21T00:00:00"/>
    <d v="2025-02-22T00:00:00"/>
    <s v=""/>
    <x v="1"/>
    <n v="3"/>
    <s v="California"/>
    <s v="Contra Costa County"/>
    <n v="1"/>
    <n v="8"/>
    <x v="0"/>
  </r>
  <r>
    <s v="TX501364"/>
    <s v="T-Shirts"/>
    <n v="4"/>
    <n v="28.4"/>
    <n v="113.6"/>
    <d v="2025-02-21T00:00:00"/>
    <d v="2025-02-27T00:00:00"/>
    <s v="M"/>
    <x v="2"/>
    <n v="4"/>
    <s v="California"/>
    <s v="Los Angeles County"/>
    <n v="6"/>
    <n v="8"/>
    <x v="1"/>
  </r>
  <r>
    <s v="TX501365"/>
    <s v="Sneakers"/>
    <n v="2"/>
    <n v="81.7"/>
    <n v="163.4"/>
    <d v="2025-02-21T00:00:00"/>
    <d v="2025-02-21T00:00:00"/>
    <s v="M"/>
    <x v="0"/>
    <n v="4"/>
    <s v="California"/>
    <s v="Los Angeles County"/>
    <n v="0"/>
    <n v="8"/>
    <x v="1"/>
  </r>
  <r>
    <s v="TX501366"/>
    <s v="Leggings"/>
    <n v="2"/>
    <n v="56.7"/>
    <n v="113.4"/>
    <d v="2025-02-21T00:00:00"/>
    <d v="2025-02-23T00:00:00"/>
    <s v=""/>
    <x v="0"/>
    <n v="5"/>
    <s v="California"/>
    <s v="Los Angeles County"/>
    <n v="2"/>
    <n v="8"/>
    <x v="0"/>
  </r>
  <r>
    <s v="TX501367"/>
    <s v="Workout Tops"/>
    <n v="4"/>
    <n v="66.5"/>
    <n v="266"/>
    <d v="2025-02-21T00:00:00"/>
    <d v="2025-02-21T00:00:00"/>
    <s v="F"/>
    <x v="0"/>
    <n v="5"/>
    <s v="California"/>
    <s v="Los Angeles County"/>
    <n v="0"/>
    <n v="8"/>
    <x v="2"/>
  </r>
  <r>
    <s v="TX501368"/>
    <s v="Tank Tops"/>
    <n v="2"/>
    <n v="105.3"/>
    <n v="210.6"/>
    <d v="2025-02-21T00:00:00"/>
    <d v="2025-02-25T00:00:00"/>
    <s v="M"/>
    <x v="0"/>
    <n v="3"/>
    <s v="California"/>
    <s v="Los Angeles County"/>
    <n v="4"/>
    <n v="8"/>
    <x v="1"/>
  </r>
  <r>
    <s v="TX501369"/>
    <s v="Bikinis"/>
    <n v="5"/>
    <n v="33.799999999999997"/>
    <n v="169"/>
    <d v="2025-02-21T00:00:00"/>
    <d v="2025-02-26T00:00:00"/>
    <s v="M"/>
    <x v="0"/>
    <n v="4"/>
    <s v="California"/>
    <s v="Los Angeles County"/>
    <n v="5"/>
    <n v="8"/>
    <x v="1"/>
  </r>
  <r>
    <s v="TX501370"/>
    <s v="Jeans"/>
    <n v="3"/>
    <n v="63.4"/>
    <n v="190.2"/>
    <d v="2025-02-21T00:00:00"/>
    <d v="2025-02-26T00:00:00"/>
    <s v="M"/>
    <x v="3"/>
    <n v="3"/>
    <s v="California"/>
    <s v="Merced County"/>
    <n v="5"/>
    <n v="8"/>
    <x v="1"/>
  </r>
  <r>
    <s v="TX501371"/>
    <s v="Jeans"/>
    <n v="3"/>
    <n v="49"/>
    <n v="147"/>
    <d v="2025-02-21T00:00:00"/>
    <d v="2025-02-25T00:00:00"/>
    <s v="M"/>
    <x v="3"/>
    <n v="4"/>
    <s v="California"/>
    <s v="Monterey County"/>
    <n v="4"/>
    <n v="8"/>
    <x v="1"/>
  </r>
  <r>
    <s v="TX501372"/>
    <s v="Tank Tops"/>
    <n v="2"/>
    <n v="40"/>
    <n v="80"/>
    <d v="2025-02-21T00:00:00"/>
    <d v="2025-02-22T00:00:00"/>
    <s v="F"/>
    <x v="4"/>
    <n v="3"/>
    <s v="California"/>
    <s v="Riverside County"/>
    <n v="1"/>
    <n v="8"/>
    <x v="2"/>
  </r>
  <r>
    <s v="TX501373"/>
    <s v="Jeans"/>
    <n v="4"/>
    <n v="86.3"/>
    <n v="345.2"/>
    <d v="2025-02-21T00:00:00"/>
    <d v="2025-02-22T00:00:00"/>
    <s v="O"/>
    <x v="0"/>
    <n v="4"/>
    <s v="California"/>
    <s v="Sacramento County"/>
    <n v="1"/>
    <n v="8"/>
    <x v="3"/>
  </r>
  <r>
    <s v="TX501374"/>
    <s v="Jeans"/>
    <n v="1"/>
    <n v="51.6"/>
    <n v="51.6"/>
    <d v="2025-02-21T00:00:00"/>
    <d v="2025-02-23T00:00:00"/>
    <s v="F"/>
    <x v="2"/>
    <n v="5"/>
    <s v="California"/>
    <s v="Sacramento County"/>
    <n v="2"/>
    <n v="8"/>
    <x v="2"/>
  </r>
  <r>
    <s v="TX501375"/>
    <s v="Bikinis"/>
    <n v="3"/>
    <n v="26.7"/>
    <n v="80.099999999999994"/>
    <d v="2025-02-21T00:00:00"/>
    <d v="2025-02-26T00:00:00"/>
    <s v="F"/>
    <x v="2"/>
    <n v="3"/>
    <s v="California"/>
    <s v="Sacramento County"/>
    <n v="5"/>
    <n v="8"/>
    <x v="2"/>
  </r>
  <r>
    <s v="TX501376"/>
    <s v="Leggings"/>
    <n v="2"/>
    <n v="68.099999999999994"/>
    <n v="136.19999999999999"/>
    <d v="2025-02-21T00:00:00"/>
    <d v="2025-02-22T00:00:00"/>
    <s v="M"/>
    <x v="0"/>
    <n v="3"/>
    <s v="California"/>
    <s v="Sacramento County"/>
    <n v="1"/>
    <n v="8"/>
    <x v="1"/>
  </r>
  <r>
    <s v="TX501377"/>
    <s v="Tank Tops"/>
    <n v="1"/>
    <n v="81.7"/>
    <n v="81.7"/>
    <d v="2025-02-21T00:00:00"/>
    <d v="2025-02-22T00:00:00"/>
    <s v="M"/>
    <x v="0"/>
    <n v="4"/>
    <s v="California"/>
    <s v="San Bernardino County"/>
    <n v="1"/>
    <n v="8"/>
    <x v="1"/>
  </r>
  <r>
    <s v="TX501378"/>
    <s v="Leggings"/>
    <n v="10"/>
    <n v="25.1"/>
    <n v="251"/>
    <d v="2025-02-21T00:00:00"/>
    <d v="2025-02-24T00:00:00"/>
    <s v="M"/>
    <x v="3"/>
    <n v="3"/>
    <s v="California"/>
    <s v="San Diego County"/>
    <n v="3"/>
    <n v="8"/>
    <x v="1"/>
  </r>
  <r>
    <s v="TX501379"/>
    <s v="T-Shirts"/>
    <n v="1"/>
    <n v="20.2"/>
    <n v="20.2"/>
    <d v="2025-02-21T00:00:00"/>
    <d v="2025-02-25T00:00:00"/>
    <s v="F"/>
    <x v="0"/>
    <n v="4"/>
    <s v="California"/>
    <s v="San Diego County"/>
    <n v="4"/>
    <n v="8"/>
    <x v="2"/>
  </r>
  <r>
    <s v="TX501380"/>
    <s v="T-Shirts"/>
    <n v="3"/>
    <n v="15.4"/>
    <n v="46.2"/>
    <d v="2025-02-21T00:00:00"/>
    <d v="2025-02-22T00:00:00"/>
    <s v="M"/>
    <x v="1"/>
    <n v="5"/>
    <s v="California"/>
    <s v="San Diego County"/>
    <n v="1"/>
    <n v="8"/>
    <x v="1"/>
  </r>
  <r>
    <s v="TX501381"/>
    <s v="Bikinis"/>
    <n v="1"/>
    <n v="59.2"/>
    <n v="59.2"/>
    <d v="2025-02-21T00:00:00"/>
    <d v="2025-02-22T00:00:00"/>
    <s v="M"/>
    <x v="2"/>
    <n v="5"/>
    <s v="California"/>
    <s v="San Francisco"/>
    <n v="1"/>
    <n v="8"/>
    <x v="1"/>
  </r>
  <r>
    <s v="TX501382"/>
    <s v="Shorts"/>
    <n v="1"/>
    <n v="46.7"/>
    <n v="46.7"/>
    <d v="2025-02-21T00:00:00"/>
    <d v="2025-02-26T00:00:00"/>
    <s v="M"/>
    <x v="0"/>
    <n v="4"/>
    <s v="California"/>
    <s v="San Francisco"/>
    <n v="5"/>
    <n v="8"/>
    <x v="1"/>
  </r>
  <r>
    <s v="TX501383"/>
    <s v="Jeans"/>
    <n v="15"/>
    <n v="41.6"/>
    <n v="624"/>
    <d v="2025-02-21T00:00:00"/>
    <d v="2025-02-23T00:00:00"/>
    <s v="M"/>
    <x v="1"/>
    <n v="4"/>
    <s v="California"/>
    <s v="San Joaquin County"/>
    <n v="2"/>
    <n v="8"/>
    <x v="1"/>
  </r>
  <r>
    <s v="TX501384"/>
    <s v="T-Shirts"/>
    <n v="2"/>
    <n v="19.2"/>
    <n v="38.4"/>
    <d v="2025-02-21T00:00:00"/>
    <d v="2025-02-24T00:00:00"/>
    <s v="M"/>
    <x v="4"/>
    <n v="5"/>
    <s v="California"/>
    <s v="San Mateo County"/>
    <n v="3"/>
    <n v="8"/>
    <x v="1"/>
  </r>
  <r>
    <s v="TX501385"/>
    <s v="Pajama Sets"/>
    <n v="7"/>
    <n v="41.8"/>
    <n v="292.59999999999997"/>
    <d v="2025-02-21T00:00:00"/>
    <d v="2025-02-23T00:00:00"/>
    <s v="F"/>
    <x v="2"/>
    <n v="4"/>
    <s v="California"/>
    <s v="Santa Clara County"/>
    <n v="2"/>
    <n v="8"/>
    <x v="2"/>
  </r>
  <r>
    <s v="TX501386"/>
    <s v="T-Shirts"/>
    <n v="6"/>
    <n v="37.4"/>
    <n v="224.39999999999998"/>
    <d v="2025-02-21T00:00:00"/>
    <d v="2025-02-23T00:00:00"/>
    <s v="M"/>
    <x v="0"/>
    <n v="5"/>
    <s v="California"/>
    <s v="Santa Clara County"/>
    <n v="2"/>
    <n v="8"/>
    <x v="1"/>
  </r>
  <r>
    <s v="TX501387"/>
    <s v="Bikinis"/>
    <n v="3"/>
    <n v="60.2"/>
    <n v="180.60000000000002"/>
    <d v="2025-02-21T00:00:00"/>
    <d v="2025-02-24T00:00:00"/>
    <s v="M"/>
    <x v="4"/>
    <n v="3"/>
    <s v="California"/>
    <s v="Solano County"/>
    <n v="3"/>
    <n v="8"/>
    <x v="1"/>
  </r>
  <r>
    <s v="TX501388"/>
    <s v="Sundresses"/>
    <n v="2"/>
    <n v="91.5"/>
    <n v="183"/>
    <d v="2025-02-22T00:00:00"/>
    <d v="2025-02-23T00:00:00"/>
    <s v="M"/>
    <x v="0"/>
    <n v="4"/>
    <s v="California"/>
    <s v="Ventura County"/>
    <n v="1"/>
    <n v="8"/>
    <x v="1"/>
  </r>
  <r>
    <s v="TX501389"/>
    <s v="Workout Tops"/>
    <n v="5"/>
    <n v="55.7"/>
    <n v="278.5"/>
    <d v="2025-02-22T00:00:00"/>
    <d v="2025-02-24T00:00:00"/>
    <s v=""/>
    <x v="1"/>
    <n v="5"/>
    <s v="California"/>
    <s v="Alameda County"/>
    <n v="2"/>
    <n v="8"/>
    <x v="0"/>
  </r>
  <r>
    <s v="TX501390"/>
    <s v="Hoodies &amp; Sweatshirts"/>
    <n v="2"/>
    <n v="76.7"/>
    <n v="153.4"/>
    <d v="2025-02-22T00:00:00"/>
    <d v="2025-02-24T00:00:00"/>
    <s v="M"/>
    <x v="0"/>
    <n v="3"/>
    <s v="California"/>
    <s v="Alameda County"/>
    <n v="2"/>
    <n v="8"/>
    <x v="1"/>
  </r>
  <r>
    <s v="TX501391"/>
    <s v="T-Shirts"/>
    <n v="21"/>
    <n v="28.2"/>
    <n v="592.19999999999993"/>
    <d v="2025-02-22T00:00:00"/>
    <d v="2025-02-27T00:00:00"/>
    <s v="M"/>
    <x v="2"/>
    <n v="4"/>
    <s v="California"/>
    <s v="Contra Costa County"/>
    <n v="5"/>
    <n v="8"/>
    <x v="1"/>
  </r>
  <r>
    <s v="TX501392"/>
    <s v="Hoodies &amp; Sweatshirts"/>
    <n v="5"/>
    <n v="93.2"/>
    <n v="466"/>
    <d v="2025-02-22T00:00:00"/>
    <d v="2025-02-24T00:00:00"/>
    <s v="F"/>
    <x v="4"/>
    <n v="5"/>
    <s v="California"/>
    <s v="Contra Costa County"/>
    <n v="2"/>
    <n v="8"/>
    <x v="2"/>
  </r>
  <r>
    <s v="TX501393"/>
    <s v="Pajama Sets"/>
    <n v="1"/>
    <n v="33.299999999999997"/>
    <n v="33.299999999999997"/>
    <d v="2025-02-22T00:00:00"/>
    <d v="2025-02-23T00:00:00"/>
    <s v="M"/>
    <x v="4"/>
    <n v="4"/>
    <s v="California"/>
    <s v="Fresno County"/>
    <n v="1"/>
    <n v="8"/>
    <x v="1"/>
  </r>
  <r>
    <s v="TX501394"/>
    <s v="Bikinis"/>
    <n v="2"/>
    <n v="39.1"/>
    <n v="78.2"/>
    <d v="2025-02-22T00:00:00"/>
    <d v="2025-02-25T00:00:00"/>
    <s v="M"/>
    <x v="0"/>
    <n v="4"/>
    <s v="California"/>
    <s v="Humboldt County"/>
    <n v="3"/>
    <n v="8"/>
    <x v="1"/>
  </r>
  <r>
    <s v="TX501395"/>
    <s v="Hoodies &amp; Sweatshirts"/>
    <n v="12"/>
    <n v="45.3"/>
    <n v="543.59999999999991"/>
    <d v="2025-02-22T00:00:00"/>
    <d v="2025-02-23T00:00:00"/>
    <s v="M"/>
    <x v="2"/>
    <n v="4"/>
    <s v="California"/>
    <s v="Imperial County"/>
    <n v="1"/>
    <n v="8"/>
    <x v="1"/>
  </r>
  <r>
    <s v="TX501396"/>
    <s v="Sundresses"/>
    <n v="7"/>
    <n v="33.9"/>
    <n v="237.29999999999998"/>
    <d v="2025-02-22T00:00:00"/>
    <d v="2025-02-23T00:00:00"/>
    <s v="M"/>
    <x v="4"/>
    <n v="4"/>
    <s v="California"/>
    <s v="Imperial County"/>
    <n v="1"/>
    <n v="8"/>
    <x v="1"/>
  </r>
  <r>
    <s v="TX501397"/>
    <s v="T-Shirts"/>
    <n v="3"/>
    <n v="19"/>
    <n v="57"/>
    <d v="2025-02-22T00:00:00"/>
    <d v="2025-02-23T00:00:00"/>
    <s v="M"/>
    <x v="0"/>
    <n v="5"/>
    <s v="California"/>
    <s v="Inyo County"/>
    <n v="1"/>
    <n v="8"/>
    <x v="1"/>
  </r>
  <r>
    <s v="TX501398"/>
    <s v="Graphic Tees"/>
    <n v="1"/>
    <n v="41.9"/>
    <n v="41.9"/>
    <d v="2025-02-22T00:00:00"/>
    <d v="2025-02-25T00:00:00"/>
    <s v="F"/>
    <x v="2"/>
    <n v="4"/>
    <s v="California"/>
    <s v="Kern County"/>
    <n v="3"/>
    <n v="8"/>
    <x v="2"/>
  </r>
  <r>
    <s v="TX501399"/>
    <s v="Tank Tops"/>
    <n v="4"/>
    <n v="37.5"/>
    <n v="150"/>
    <d v="2025-02-22T00:00:00"/>
    <d v="2025-02-22T00:00:00"/>
    <s v="F"/>
    <x v="0"/>
    <n v="4"/>
    <s v="California"/>
    <s v="Los Angeles County"/>
    <n v="0"/>
    <n v="8"/>
    <x v="2"/>
  </r>
  <r>
    <s v="TX501400"/>
    <s v="Shorts"/>
    <n v="2"/>
    <n v="40.799999999999997"/>
    <n v="81.599999999999994"/>
    <d v="2025-02-22T00:00:00"/>
    <d v="2025-02-25T00:00:00"/>
    <s v="M"/>
    <x v="0"/>
    <n v="4"/>
    <s v="California"/>
    <s v="Los Angeles County"/>
    <n v="3"/>
    <n v="8"/>
    <x v="1"/>
  </r>
  <r>
    <s v="TX501401"/>
    <s v="Shorts"/>
    <n v="4"/>
    <n v="23.1"/>
    <n v="92.4"/>
    <d v="2025-02-22T00:00:00"/>
    <d v="2025-02-23T00:00:00"/>
    <s v="F"/>
    <x v="4"/>
    <n v="4"/>
    <s v="California"/>
    <s v="Los Angeles County"/>
    <n v="1"/>
    <n v="8"/>
    <x v="2"/>
  </r>
  <r>
    <s v="TX501402"/>
    <s v="T-Shirts"/>
    <n v="5"/>
    <n v="39.299999999999997"/>
    <n v="196.5"/>
    <d v="2025-02-22T00:00:00"/>
    <d v="2025-02-23T00:00:00"/>
    <s v="F"/>
    <x v="0"/>
    <n v="4"/>
    <s v="California"/>
    <s v="Los Angeles County"/>
    <n v="1"/>
    <n v="8"/>
    <x v="2"/>
  </r>
  <r>
    <s v="TX501403"/>
    <s v="Sneakers"/>
    <n v="4"/>
    <n v="85.2"/>
    <n v="340.8"/>
    <d v="2025-02-22T00:00:00"/>
    <d v="2025-02-27T00:00:00"/>
    <s v="M"/>
    <x v="2"/>
    <n v="4"/>
    <s v="California"/>
    <s v="Los Angeles County"/>
    <n v="5"/>
    <n v="8"/>
    <x v="1"/>
  </r>
  <r>
    <s v="TX501404"/>
    <s v="T-Shirts"/>
    <n v="6"/>
    <n v="16"/>
    <n v="96"/>
    <d v="2025-02-22T00:00:00"/>
    <d v="2025-02-25T00:00:00"/>
    <s v="M"/>
    <x v="1"/>
    <n v="4"/>
    <s v="California"/>
    <s v="Los Angeles County"/>
    <n v="3"/>
    <n v="8"/>
    <x v="1"/>
  </r>
  <r>
    <s v="TX501405"/>
    <s v="Tank Tops"/>
    <n v="2"/>
    <n v="33.799999999999997"/>
    <n v="67.599999999999994"/>
    <d v="2025-02-22T00:00:00"/>
    <d v="2025-02-26T00:00:00"/>
    <s v="F"/>
    <x v="1"/>
    <n v="4"/>
    <s v="California"/>
    <s v="Los Angeles County"/>
    <n v="4"/>
    <n v="8"/>
    <x v="2"/>
  </r>
  <r>
    <s v="TX501406"/>
    <s v="Workout Tops"/>
    <n v="1"/>
    <n v="70"/>
    <n v="70"/>
    <d v="2025-02-22T00:00:00"/>
    <d v="2025-02-23T00:00:00"/>
    <s v="F"/>
    <x v="0"/>
    <n v="4"/>
    <s v="California"/>
    <s v="Los Angeles County"/>
    <n v="1"/>
    <n v="8"/>
    <x v="2"/>
  </r>
  <r>
    <s v="TX501407"/>
    <s v="Sundresses"/>
    <n v="1"/>
    <n v="88"/>
    <n v="88"/>
    <d v="2025-02-22T00:00:00"/>
    <d v="2025-02-27T00:00:00"/>
    <s v="F"/>
    <x v="3"/>
    <n v="4"/>
    <s v="California"/>
    <s v="Los Angeles County"/>
    <n v="5"/>
    <n v="8"/>
    <x v="2"/>
  </r>
  <r>
    <s v="TX501408"/>
    <s v="Sneakers"/>
    <n v="3"/>
    <n v="74.099999999999994"/>
    <n v="222.29999999999998"/>
    <d v="2025-02-22T00:00:00"/>
    <d v="2025-02-22T00:00:00"/>
    <s v="M"/>
    <x v="4"/>
    <n v="3"/>
    <s v="California"/>
    <s v="Los Angeles County"/>
    <n v="0"/>
    <n v="8"/>
    <x v="1"/>
  </r>
  <r>
    <s v="TX501409"/>
    <s v="Sneakers"/>
    <n v="1"/>
    <n v="161.9"/>
    <n v="161.9"/>
    <d v="2025-02-22T00:00:00"/>
    <d v="2025-02-24T00:00:00"/>
    <s v="M"/>
    <x v="2"/>
    <n v="4"/>
    <s v="California"/>
    <s v="Los Angeles County"/>
    <n v="2"/>
    <n v="8"/>
    <x v="1"/>
  </r>
  <r>
    <s v="TX501410"/>
    <s v="Graphic Tees"/>
    <n v="2"/>
    <n v="44"/>
    <n v="88"/>
    <d v="2025-02-22T00:00:00"/>
    <d v="2025-02-23T00:00:00"/>
    <s v="O"/>
    <x v="4"/>
    <n v="3"/>
    <s v="California"/>
    <s v="Los Angeles County"/>
    <n v="1"/>
    <n v="8"/>
    <x v="3"/>
  </r>
  <r>
    <s v="TX501411"/>
    <s v="Maxi Dresses"/>
    <n v="1"/>
    <n v="32.1"/>
    <n v="32.1"/>
    <d v="2025-02-22T00:00:00"/>
    <d v="2025-02-22T00:00:00"/>
    <s v="F"/>
    <x v="3"/>
    <n v="1"/>
    <s v="California"/>
    <s v="Los Angeles County"/>
    <n v="0"/>
    <n v="8"/>
    <x v="2"/>
  </r>
  <r>
    <s v="TX501412"/>
    <s v="Sneakers"/>
    <n v="4"/>
    <n v="104.8"/>
    <n v="419.2"/>
    <d v="2025-02-23T00:00:00"/>
    <d v="2025-02-25T00:00:00"/>
    <s v="O"/>
    <x v="0"/>
    <n v="4"/>
    <s v="California"/>
    <s v="Los Angeles County"/>
    <n v="2"/>
    <n v="9"/>
    <x v="3"/>
  </r>
  <r>
    <s v="TX501413"/>
    <s v="Sundresses"/>
    <n v="6"/>
    <n v="67.400000000000006"/>
    <n v="404.40000000000003"/>
    <d v="2025-02-23T00:00:00"/>
    <d v="2025-02-24T00:00:00"/>
    <s v="F"/>
    <x v="3"/>
    <n v="4"/>
    <s v="California"/>
    <s v="Los Angeles County"/>
    <n v="1"/>
    <n v="9"/>
    <x v="2"/>
  </r>
  <r>
    <s v="TX501414"/>
    <s v="Jeans"/>
    <n v="2"/>
    <n v="115.2"/>
    <n v="230.4"/>
    <d v="2025-02-23T00:00:00"/>
    <d v="2025-02-24T00:00:00"/>
    <s v="F"/>
    <x v="1"/>
    <n v="4"/>
    <s v="California"/>
    <s v="Nevada County"/>
    <n v="1"/>
    <n v="9"/>
    <x v="2"/>
  </r>
  <r>
    <s v="TX501415"/>
    <s v="T-Shirts"/>
    <n v="29"/>
    <n v="15.5"/>
    <n v="449.5"/>
    <d v="2025-02-23T00:00:00"/>
    <d v="2025-02-25T00:00:00"/>
    <s v="F"/>
    <x v="0"/>
    <n v="3"/>
    <s v="California"/>
    <s v="Riverside County"/>
    <n v="2"/>
    <n v="9"/>
    <x v="2"/>
  </r>
  <r>
    <s v="TX501416"/>
    <s v="Jeans"/>
    <n v="11"/>
    <n v="66.400000000000006"/>
    <n v="730.40000000000009"/>
    <d v="2025-02-23T00:00:00"/>
    <d v="2025-02-25T00:00:00"/>
    <s v="F"/>
    <x v="0"/>
    <n v="4"/>
    <s v="California"/>
    <s v="Sacramento County"/>
    <n v="2"/>
    <n v="9"/>
    <x v="2"/>
  </r>
  <r>
    <s v="TX501417"/>
    <s v="Sundresses"/>
    <n v="12"/>
    <n v="68.099999999999994"/>
    <n v="817.19999999999993"/>
    <d v="2025-02-23T00:00:00"/>
    <d v="2025-02-24T00:00:00"/>
    <s v="F"/>
    <x v="2"/>
    <n v="4"/>
    <s v="California"/>
    <s v="San Diego County"/>
    <n v="1"/>
    <n v="9"/>
    <x v="2"/>
  </r>
  <r>
    <s v="TX501418"/>
    <s v="T-Shirts"/>
    <n v="5"/>
    <n v="32.5"/>
    <n v="162.5"/>
    <d v="2025-02-23T00:00:00"/>
    <d v="2025-02-27T00:00:00"/>
    <s v="M"/>
    <x v="2"/>
    <n v="3"/>
    <s v="California"/>
    <s v="San Diego County"/>
    <n v="4"/>
    <n v="9"/>
    <x v="1"/>
  </r>
  <r>
    <s v="TX501419"/>
    <s v="Crop Tops"/>
    <n v="3"/>
    <n v="61.2"/>
    <n v="183.60000000000002"/>
    <d v="2025-02-23T00:00:00"/>
    <d v="2025-02-25T00:00:00"/>
    <s v="F"/>
    <x v="1"/>
    <n v="3"/>
    <s v="California"/>
    <s v="San Diego County"/>
    <n v="2"/>
    <n v="9"/>
    <x v="2"/>
  </r>
  <r>
    <s v="TX501420"/>
    <s v="Sundresses"/>
    <n v="2"/>
    <n v="54.2"/>
    <n v="108.4"/>
    <d v="2025-02-23T00:00:00"/>
    <d v="2025-02-24T00:00:00"/>
    <s v="F"/>
    <x v="1"/>
    <n v="4"/>
    <s v="California"/>
    <s v="San Diego County"/>
    <n v="1"/>
    <n v="9"/>
    <x v="2"/>
  </r>
  <r>
    <s v="TX501421"/>
    <s v="Maxi Dresses"/>
    <n v="8"/>
    <n v="28.7"/>
    <n v="229.6"/>
    <d v="2025-02-23T00:00:00"/>
    <d v="2025-02-25T00:00:00"/>
    <s v="M"/>
    <x v="1"/>
    <n v="4"/>
    <s v="California"/>
    <s v="San Mateo County"/>
    <n v="2"/>
    <n v="9"/>
    <x v="1"/>
  </r>
  <r>
    <s v="TX501422"/>
    <s v="Casual Dresses"/>
    <n v="6"/>
    <n v="38.200000000000003"/>
    <n v="229.20000000000002"/>
    <d v="2025-02-23T00:00:00"/>
    <d v="2025-02-27T00:00:00"/>
    <s v="F"/>
    <x v="0"/>
    <n v="3"/>
    <s v="California"/>
    <s v="San Mateo County"/>
    <n v="4"/>
    <n v="9"/>
    <x v="2"/>
  </r>
  <r>
    <s v="TX501423"/>
    <s v="T-Shirts"/>
    <n v="12"/>
    <n v="17.600000000000001"/>
    <n v="211.20000000000002"/>
    <d v="2025-02-23T00:00:00"/>
    <d v="2025-02-24T00:00:00"/>
    <s v="F"/>
    <x v="2"/>
    <n v="3"/>
    <s v="California"/>
    <s v="San Mateo County"/>
    <n v="1"/>
    <n v="9"/>
    <x v="2"/>
  </r>
  <r>
    <s v="TX501424"/>
    <s v="Bikinis"/>
    <n v="3"/>
    <n v="74.599999999999994"/>
    <n v="223.79999999999998"/>
    <d v="2025-02-23T00:00:00"/>
    <d v="2025-02-23T00:00:00"/>
    <s v="F"/>
    <x v="2"/>
    <n v="4"/>
    <s v="California"/>
    <s v="Santa Clara County"/>
    <n v="0"/>
    <n v="9"/>
    <x v="2"/>
  </r>
  <r>
    <s v="TX501425"/>
    <s v="Sunglasses"/>
    <n v="15"/>
    <n v="72.599999999999994"/>
    <n v="1089"/>
    <d v="2025-02-23T00:00:00"/>
    <d v="2025-02-23T00:00:00"/>
    <s v=""/>
    <x v="1"/>
    <n v="3"/>
    <s v="California"/>
    <s v="Santa Clara County"/>
    <n v="0"/>
    <n v="9"/>
    <x v="0"/>
  </r>
  <r>
    <s v="TX501426"/>
    <s v="Hoodies &amp; Sweatshirts"/>
    <n v="1"/>
    <n v="62.3"/>
    <n v="62.3"/>
    <d v="2025-02-23T00:00:00"/>
    <d v="2025-02-24T00:00:00"/>
    <s v="F"/>
    <x v="1"/>
    <n v="4"/>
    <s v="California"/>
    <s v="Santa Clara County"/>
    <n v="1"/>
    <n v="9"/>
    <x v="2"/>
  </r>
  <r>
    <s v="TX501427"/>
    <s v="Workout Tops"/>
    <n v="3"/>
    <n v="33.799999999999997"/>
    <n v="101.39999999999999"/>
    <d v="2025-02-23T00:00:00"/>
    <d v="2025-02-25T00:00:00"/>
    <s v="M"/>
    <x v="0"/>
    <n v="5"/>
    <s v="California"/>
    <s v="Tulare County"/>
    <n v="2"/>
    <n v="9"/>
    <x v="1"/>
  </r>
  <r>
    <s v="TX501428"/>
    <s v="Sundresses"/>
    <n v="1"/>
    <n v="85.7"/>
    <n v="85.7"/>
    <d v="2025-02-23T00:00:00"/>
    <d v="2025-02-26T00:00:00"/>
    <s v="M"/>
    <x v="3"/>
    <n v="3"/>
    <s v="California"/>
    <s v="Alameda County"/>
    <n v="3"/>
    <n v="9"/>
    <x v="1"/>
  </r>
  <r>
    <s v="TX501429"/>
    <s v="Jeans"/>
    <n v="2"/>
    <n v="92.1"/>
    <n v="184.2"/>
    <d v="2025-02-23T00:00:00"/>
    <d v="2025-02-25T00:00:00"/>
    <s v="M"/>
    <x v="1"/>
    <n v="4"/>
    <s v="California"/>
    <s v="Alameda County"/>
    <n v="2"/>
    <n v="9"/>
    <x v="1"/>
  </r>
  <r>
    <s v="TX501430"/>
    <s v="Sunglasses"/>
    <n v="3"/>
    <n v="65.099999999999994"/>
    <n v="195.29999999999998"/>
    <d v="2025-02-23T00:00:00"/>
    <d v="2025-02-26T00:00:00"/>
    <s v="M"/>
    <x v="0"/>
    <n v="4"/>
    <s v="California"/>
    <s v="Contra Costa County"/>
    <n v="3"/>
    <n v="9"/>
    <x v="1"/>
  </r>
  <r>
    <s v="TX501431"/>
    <s v="Sundresses"/>
    <n v="7"/>
    <n v="20.3"/>
    <n v="142.1"/>
    <d v="2025-02-23T00:00:00"/>
    <d v="2025-02-24T00:00:00"/>
    <s v="F"/>
    <x v="2"/>
    <n v="5"/>
    <s v="California"/>
    <s v="Fresno County"/>
    <n v="1"/>
    <n v="9"/>
    <x v="2"/>
  </r>
  <r>
    <s v="TX501432"/>
    <s v="Jewelry"/>
    <n v="2"/>
    <n v="29.8"/>
    <n v="59.6"/>
    <d v="2025-02-23T00:00:00"/>
    <d v="2025-02-25T00:00:00"/>
    <s v="F"/>
    <x v="1"/>
    <n v="5"/>
    <s v="California"/>
    <s v="Kings County"/>
    <n v="2"/>
    <n v="9"/>
    <x v="2"/>
  </r>
  <r>
    <s v="TX501433"/>
    <s v="Shorts"/>
    <n v="2"/>
    <n v="24.2"/>
    <n v="48.4"/>
    <d v="2025-02-23T00:00:00"/>
    <d v="2025-02-25T00:00:00"/>
    <s v="F"/>
    <x v="3"/>
    <n v="5"/>
    <s v="California"/>
    <s v="Los Angeles County"/>
    <n v="2"/>
    <n v="9"/>
    <x v="2"/>
  </r>
  <r>
    <s v="TX501434"/>
    <s v="Workout Tops"/>
    <n v="1"/>
    <n v="57.3"/>
    <n v="57.3"/>
    <d v="2025-02-23T00:00:00"/>
    <d v="2025-02-25T00:00:00"/>
    <s v="M"/>
    <x v="0"/>
    <n v="4"/>
    <s v="California"/>
    <s v="Los Angeles County"/>
    <n v="2"/>
    <n v="9"/>
    <x v="1"/>
  </r>
  <r>
    <s v="TX501435"/>
    <s v="Sneakers"/>
    <n v="1"/>
    <n v="108.9"/>
    <n v="108.9"/>
    <d v="2025-02-23T00:00:00"/>
    <d v="2025-02-25T00:00:00"/>
    <s v="F"/>
    <x v="1"/>
    <n v="4"/>
    <s v="California"/>
    <s v="Los Angeles County"/>
    <n v="2"/>
    <n v="9"/>
    <x v="2"/>
  </r>
  <r>
    <s v="TX501436"/>
    <s v="Hoodies &amp; Sweatshirts"/>
    <n v="5"/>
    <n v="50.7"/>
    <n v="253.5"/>
    <d v="2025-02-23T00:00:00"/>
    <d v="2025-02-24T00:00:00"/>
    <s v="F"/>
    <x v="0"/>
    <n v="4"/>
    <s v="California"/>
    <s v="Los Angeles County"/>
    <n v="1"/>
    <n v="9"/>
    <x v="2"/>
  </r>
  <r>
    <s v="TX501437"/>
    <s v="Hoodies &amp; Sweatshirts"/>
    <n v="9"/>
    <n v="66.099999999999994"/>
    <n v="594.9"/>
    <d v="2025-02-23T00:00:00"/>
    <d v="2025-03-09T00:00:00"/>
    <s v="F"/>
    <x v="1"/>
    <n v="4"/>
    <s v="California"/>
    <s v="Los Angeles County"/>
    <n v="14"/>
    <n v="9"/>
    <x v="2"/>
  </r>
  <r>
    <s v="TX501438"/>
    <s v="Casual Dresses"/>
    <n v="5"/>
    <n v="36.700000000000003"/>
    <n v="183.5"/>
    <d v="2025-02-23T00:00:00"/>
    <d v="2025-02-27T00:00:00"/>
    <s v="F"/>
    <x v="4"/>
    <n v="4"/>
    <s v="California"/>
    <s v="Los Angeles County"/>
    <n v="4"/>
    <n v="9"/>
    <x v="2"/>
  </r>
  <r>
    <s v="TX501439"/>
    <s v="T-Shirts"/>
    <n v="17"/>
    <n v="19.3"/>
    <n v="328.1"/>
    <d v="2025-02-23T00:00:00"/>
    <d v="2025-02-25T00:00:00"/>
    <s v="M"/>
    <x v="0"/>
    <n v="4"/>
    <s v="California"/>
    <s v="Marin County"/>
    <n v="2"/>
    <n v="9"/>
    <x v="1"/>
  </r>
  <r>
    <s v="TX501440"/>
    <s v="T-Shirts"/>
    <n v="4"/>
    <n v="20.7"/>
    <n v="82.8"/>
    <d v="2025-02-23T00:00:00"/>
    <d v="2025-02-24T00:00:00"/>
    <s v="M"/>
    <x v="1"/>
    <n v="5"/>
    <s v="California"/>
    <s v="Sacramento County"/>
    <n v="1"/>
    <n v="9"/>
    <x v="1"/>
  </r>
  <r>
    <s v="TX501441"/>
    <s v="Sandals"/>
    <n v="3"/>
    <n v="54.7"/>
    <n v="164.10000000000002"/>
    <d v="2025-02-23T00:00:00"/>
    <d v="2025-02-23T00:00:00"/>
    <s v="O"/>
    <x v="1"/>
    <n v="2"/>
    <s v="California"/>
    <s v="Sacramento County"/>
    <n v="0"/>
    <n v="9"/>
    <x v="3"/>
  </r>
  <r>
    <s v="TX501442"/>
    <s v="Graphic Tees"/>
    <n v="2"/>
    <n v="19.8"/>
    <n v="39.6"/>
    <d v="2025-02-23T00:00:00"/>
    <d v="2025-02-27T00:00:00"/>
    <s v="F"/>
    <x v="4"/>
    <n v="3"/>
    <s v="California"/>
    <s v="San Diego County"/>
    <n v="4"/>
    <n v="9"/>
    <x v="2"/>
  </r>
  <r>
    <s v="TX501443"/>
    <s v="Hoodies &amp; Sweatshirts"/>
    <n v="1"/>
    <n v="41.1"/>
    <n v="41.1"/>
    <d v="2025-02-23T00:00:00"/>
    <d v="2025-02-25T00:00:00"/>
    <s v="F"/>
    <x v="0"/>
    <n v="5"/>
    <s v="California"/>
    <s v="San Diego County"/>
    <n v="2"/>
    <n v="9"/>
    <x v="2"/>
  </r>
  <r>
    <s v="TX501444"/>
    <s v="Maxi Dresses"/>
    <n v="8"/>
    <n v="43.5"/>
    <n v="348"/>
    <d v="2025-02-23T00:00:00"/>
    <d v="2025-02-27T00:00:00"/>
    <s v="F"/>
    <x v="3"/>
    <n v="4"/>
    <s v="California"/>
    <s v="San Diego County"/>
    <n v="4"/>
    <n v="9"/>
    <x v="2"/>
  </r>
  <r>
    <s v="TX501445"/>
    <s v="T-Shirts"/>
    <n v="14"/>
    <n v="19"/>
    <n v="266"/>
    <d v="2025-02-23T00:00:00"/>
    <d v="2025-02-24T00:00:00"/>
    <s v="M"/>
    <x v="0"/>
    <n v="4"/>
    <s v="California"/>
    <s v="San Joaquin County"/>
    <n v="1"/>
    <n v="9"/>
    <x v="1"/>
  </r>
  <r>
    <s v="TX501446"/>
    <s v="Sneakers"/>
    <n v="4"/>
    <n v="51.4"/>
    <n v="205.6"/>
    <d v="2025-02-23T00:00:00"/>
    <d v="2025-02-23T00:00:00"/>
    <s v="F"/>
    <x v="0"/>
    <n v="4"/>
    <s v="California"/>
    <s v="San Joaquin County"/>
    <n v="0"/>
    <n v="9"/>
    <x v="2"/>
  </r>
  <r>
    <s v="TX501447"/>
    <s v="Bikinis"/>
    <n v="2"/>
    <n v="39.799999999999997"/>
    <n v="79.599999999999994"/>
    <d v="2025-02-23T00:00:00"/>
    <d v="2025-02-26T00:00:00"/>
    <s v="M"/>
    <x v="3"/>
    <n v="3"/>
    <s v="California"/>
    <s v="Ventura County"/>
    <n v="3"/>
    <n v="9"/>
    <x v="1"/>
  </r>
  <r>
    <s v="TX501448"/>
    <s v="Jeans"/>
    <n v="5"/>
    <n v="61"/>
    <n v="305"/>
    <d v="2025-02-23T00:00:00"/>
    <d v="2025-02-24T00:00:00"/>
    <s v=""/>
    <x v="0"/>
    <n v="5"/>
    <s v="California"/>
    <s v="Alameda County"/>
    <n v="1"/>
    <n v="9"/>
    <x v="0"/>
  </r>
  <r>
    <s v="TX501449"/>
    <s v="T-Shirts"/>
    <n v="11"/>
    <n v="15.1"/>
    <n v="166.1"/>
    <d v="2025-02-24T00:00:00"/>
    <d v="2025-03-01T00:00:00"/>
    <s v="M"/>
    <x v="3"/>
    <n v="5"/>
    <s v="California"/>
    <s v="Fresno County"/>
    <n v="5"/>
    <n v="9"/>
    <x v="1"/>
  </r>
  <r>
    <s v="TX501450"/>
    <s v="Tank Tops"/>
    <n v="7"/>
    <n v="71.3"/>
    <n v="499.09999999999997"/>
    <d v="2025-02-24T00:00:00"/>
    <d v="2025-02-25T00:00:00"/>
    <s v="M"/>
    <x v="4"/>
    <n v="4"/>
    <s v="California"/>
    <s v="Los Angeles County"/>
    <n v="1"/>
    <n v="9"/>
    <x v="1"/>
  </r>
  <r>
    <s v="TX501451"/>
    <s v="Bikinis"/>
    <n v="1"/>
    <n v="25.8"/>
    <n v="25.8"/>
    <d v="2025-02-24T00:00:00"/>
    <d v="2025-02-26T00:00:00"/>
    <s v="F"/>
    <x v="0"/>
    <n v="5"/>
    <s v="California"/>
    <s v="Los Angeles County"/>
    <n v="2"/>
    <n v="9"/>
    <x v="2"/>
  </r>
  <r>
    <s v="TX501452"/>
    <s v="T-Shirts"/>
    <n v="5"/>
    <n v="39.6"/>
    <n v="198"/>
    <d v="2025-02-24T00:00:00"/>
    <d v="2025-02-26T00:00:00"/>
    <s v="M"/>
    <x v="1"/>
    <n v="5"/>
    <s v="California"/>
    <s v="Los Angeles County"/>
    <n v="2"/>
    <n v="9"/>
    <x v="1"/>
  </r>
  <r>
    <s v="TX501453"/>
    <s v="Sandals"/>
    <n v="2"/>
    <n v="64"/>
    <n v="128"/>
    <d v="2025-02-24T00:00:00"/>
    <d v="2025-02-24T00:00:00"/>
    <s v="M"/>
    <x v="1"/>
    <n v="3"/>
    <s v="California"/>
    <s v="Los Angeles County"/>
    <n v="0"/>
    <n v="9"/>
    <x v="1"/>
  </r>
  <r>
    <s v="TX501454"/>
    <s v="T-Shirts"/>
    <n v="2"/>
    <n v="30.6"/>
    <n v="61.2"/>
    <d v="2025-02-24T00:00:00"/>
    <d v="2025-02-27T00:00:00"/>
    <s v="M"/>
    <x v="0"/>
    <n v="5"/>
    <s v="California"/>
    <s v="Los Angeles County"/>
    <n v="3"/>
    <n v="9"/>
    <x v="1"/>
  </r>
  <r>
    <s v="TX501455"/>
    <s v="T-Shirts"/>
    <n v="2"/>
    <n v="21.3"/>
    <n v="42.6"/>
    <d v="2025-02-24T00:00:00"/>
    <d v="2025-02-25T00:00:00"/>
    <s v="M"/>
    <x v="0"/>
    <n v="3"/>
    <s v="California"/>
    <s v="Los Angeles County"/>
    <n v="1"/>
    <n v="9"/>
    <x v="1"/>
  </r>
  <r>
    <s v="TX501456"/>
    <s v="Hoodies &amp; Sweatshirts"/>
    <n v="1"/>
    <n v="40.799999999999997"/>
    <n v="40.799999999999997"/>
    <d v="2025-02-24T00:00:00"/>
    <d v="2025-02-26T00:00:00"/>
    <s v="F"/>
    <x v="4"/>
    <n v="4"/>
    <s v="California"/>
    <s v="Los Angeles County"/>
    <n v="2"/>
    <n v="9"/>
    <x v="2"/>
  </r>
  <r>
    <s v="TX501457"/>
    <s v="Sundresses"/>
    <n v="4"/>
    <n v="27.7"/>
    <n v="110.8"/>
    <d v="2025-02-24T00:00:00"/>
    <d v="2025-02-25T00:00:00"/>
    <s v="F"/>
    <x v="0"/>
    <n v="3"/>
    <s v="California"/>
    <s v="Los Angeles County"/>
    <n v="1"/>
    <n v="9"/>
    <x v="2"/>
  </r>
  <r>
    <s v="TX501458"/>
    <s v="Jeans"/>
    <n v="2"/>
    <n v="64.599999999999994"/>
    <n v="129.19999999999999"/>
    <d v="2025-02-24T00:00:00"/>
    <d v="2025-02-25T00:00:00"/>
    <s v="M"/>
    <x v="0"/>
    <n v="3"/>
    <s v="California"/>
    <s v="Los Angeles County"/>
    <n v="1"/>
    <n v="9"/>
    <x v="1"/>
  </r>
  <r>
    <s v="TX501459"/>
    <s v="Jeans"/>
    <n v="16"/>
    <n v="91.1"/>
    <n v="1457.6"/>
    <d v="2025-02-24T00:00:00"/>
    <d v="2025-02-25T00:00:00"/>
    <s v="F"/>
    <x v="1"/>
    <n v="5"/>
    <s v="California"/>
    <s v="Los Angeles County"/>
    <n v="1"/>
    <n v="9"/>
    <x v="2"/>
  </r>
  <r>
    <s v="TX501460"/>
    <s v="Tank Tops"/>
    <n v="1"/>
    <n v="39.5"/>
    <n v="39.5"/>
    <d v="2025-02-24T00:00:00"/>
    <d v="2025-03-04T00:00:00"/>
    <s v="F"/>
    <x v="0"/>
    <n v="4"/>
    <s v="California"/>
    <s v="Los Angeles County"/>
    <n v="8"/>
    <n v="9"/>
    <x v="2"/>
  </r>
  <r>
    <s v="TX501461"/>
    <s v="Sundresses"/>
    <n v="2"/>
    <n v="21.8"/>
    <n v="43.6"/>
    <d v="2025-02-24T00:00:00"/>
    <d v="2025-02-28T00:00:00"/>
    <s v="M"/>
    <x v="4"/>
    <n v="5"/>
    <s v="California"/>
    <s v="Los Angeles County"/>
    <n v="4"/>
    <n v="9"/>
    <x v="1"/>
  </r>
  <r>
    <s v="TX501462"/>
    <s v="T-Shirts"/>
    <n v="2"/>
    <n v="51"/>
    <n v="102"/>
    <d v="2025-02-24T00:00:00"/>
    <d v="2025-02-27T00:00:00"/>
    <s v="M"/>
    <x v="3"/>
    <n v="5"/>
    <s v="California"/>
    <s v="Los Angeles County"/>
    <n v="3"/>
    <n v="9"/>
    <x v="1"/>
  </r>
  <r>
    <s v="TX501463"/>
    <s v="Sneakers"/>
    <n v="1"/>
    <n v="92.6"/>
    <n v="92.6"/>
    <d v="2025-02-24T00:00:00"/>
    <d v="2025-02-27T00:00:00"/>
    <s v="F"/>
    <x v="0"/>
    <n v="5"/>
    <s v="California"/>
    <s v="Plumas County"/>
    <n v="3"/>
    <n v="9"/>
    <x v="2"/>
  </r>
  <r>
    <s v="TX501464"/>
    <s v="Sundresses"/>
    <n v="2"/>
    <n v="31.1"/>
    <n v="62.2"/>
    <d v="2025-02-24T00:00:00"/>
    <d v="2025-03-01T00:00:00"/>
    <s v=""/>
    <x v="1"/>
    <n v="1"/>
    <s v="California"/>
    <s v="Riverside County"/>
    <n v="5"/>
    <n v="9"/>
    <x v="0"/>
  </r>
  <r>
    <s v="TX501465"/>
    <s v="Sandals"/>
    <n v="3"/>
    <n v="56.4"/>
    <n v="169.2"/>
    <d v="2025-02-24T00:00:00"/>
    <d v="2025-02-25T00:00:00"/>
    <s v=""/>
    <x v="1"/>
    <n v="4"/>
    <s v="California"/>
    <s v="Sacramento County"/>
    <n v="1"/>
    <n v="9"/>
    <x v="0"/>
  </r>
  <r>
    <s v="TX501466"/>
    <s v="Sundresses"/>
    <n v="1"/>
    <n v="41.9"/>
    <n v="41.9"/>
    <d v="2025-02-24T00:00:00"/>
    <d v="2025-02-24T00:00:00"/>
    <s v="M"/>
    <x v="1"/>
    <n v="4"/>
    <s v="California"/>
    <s v="Sacramento County"/>
    <n v="0"/>
    <n v="9"/>
    <x v="1"/>
  </r>
  <r>
    <s v="TX501467"/>
    <s v="Bikinis"/>
    <n v="7"/>
    <n v="45.9"/>
    <n v="321.3"/>
    <d v="2025-02-24T00:00:00"/>
    <d v="2025-02-25T00:00:00"/>
    <s v="M"/>
    <x v="3"/>
    <n v="5"/>
    <s v="California"/>
    <s v="San Diego County"/>
    <n v="1"/>
    <n v="9"/>
    <x v="1"/>
  </r>
  <r>
    <s v="TX501468"/>
    <s v="Baseball Caps"/>
    <n v="9"/>
    <n v="24.4"/>
    <n v="219.6"/>
    <d v="2025-02-24T00:00:00"/>
    <d v="2025-02-28T00:00:00"/>
    <s v="M"/>
    <x v="3"/>
    <n v="5"/>
    <s v="California"/>
    <s v="San Diego County"/>
    <n v="4"/>
    <n v="9"/>
    <x v="1"/>
  </r>
  <r>
    <s v="TX501469"/>
    <s v="T-Shirts"/>
    <n v="1"/>
    <n v="18.2"/>
    <n v="18.2"/>
    <d v="2025-02-24T00:00:00"/>
    <d v="2025-02-25T00:00:00"/>
    <s v="F"/>
    <x v="2"/>
    <n v="5"/>
    <s v="California"/>
    <s v="San Diego County"/>
    <n v="1"/>
    <n v="9"/>
    <x v="2"/>
  </r>
  <r>
    <s v="TX501470"/>
    <s v="T-Shirts"/>
    <n v="4"/>
    <n v="51.2"/>
    <n v="204.8"/>
    <d v="2025-02-24T00:00:00"/>
    <d v="2025-02-25T00:00:00"/>
    <s v="F"/>
    <x v="0"/>
    <n v="4"/>
    <s v="California"/>
    <s v="San Diego County"/>
    <n v="1"/>
    <n v="9"/>
    <x v="2"/>
  </r>
  <r>
    <s v="TX501471"/>
    <s v="Jeans"/>
    <n v="1"/>
    <n v="59.7"/>
    <n v="59.7"/>
    <d v="2025-02-24T00:00:00"/>
    <d v="2025-02-27T00:00:00"/>
    <s v="M"/>
    <x v="0"/>
    <n v="5"/>
    <s v="California"/>
    <s v="San Diego County"/>
    <n v="3"/>
    <n v="9"/>
    <x v="1"/>
  </r>
  <r>
    <s v="TX501472"/>
    <s v="Graphic Tees"/>
    <n v="2"/>
    <n v="33.6"/>
    <n v="67.2"/>
    <d v="2025-02-24T00:00:00"/>
    <d v="2025-02-26T00:00:00"/>
    <s v="F"/>
    <x v="0"/>
    <n v="4"/>
    <s v="California"/>
    <s v="San Francisco"/>
    <n v="2"/>
    <n v="9"/>
    <x v="2"/>
  </r>
  <r>
    <s v="TX501473"/>
    <s v="Casual Dresses"/>
    <n v="1"/>
    <n v="90.4"/>
    <n v="90.4"/>
    <d v="2025-02-24T00:00:00"/>
    <d v="2025-02-28T00:00:00"/>
    <s v="M"/>
    <x v="1"/>
    <n v="5"/>
    <s v="California"/>
    <s v="Santa Barbara County"/>
    <n v="4"/>
    <n v="9"/>
    <x v="1"/>
  </r>
  <r>
    <s v="TX501474"/>
    <s v="Maxi Dresses"/>
    <n v="3"/>
    <n v="70.3"/>
    <n v="210.89999999999998"/>
    <d v="2025-02-24T00:00:00"/>
    <d v="2025-02-24T00:00:00"/>
    <s v="M"/>
    <x v="1"/>
    <n v="5"/>
    <s v="California"/>
    <s v="Santa Clara County"/>
    <n v="0"/>
    <n v="9"/>
    <x v="1"/>
  </r>
  <r>
    <s v="TX501475"/>
    <s v="Graphic Tees"/>
    <n v="2"/>
    <n v="20.5"/>
    <n v="41"/>
    <d v="2025-02-24T00:00:00"/>
    <d v="2025-02-27T00:00:00"/>
    <s v="F"/>
    <x v="0"/>
    <n v="3"/>
    <s v="California"/>
    <s v="Santa Clara County"/>
    <n v="3"/>
    <n v="9"/>
    <x v="2"/>
  </r>
  <r>
    <s v="TX501476"/>
    <s v="Sandals"/>
    <n v="11"/>
    <n v="37.6"/>
    <n v="413.6"/>
    <d v="2025-02-24T00:00:00"/>
    <d v="2025-02-25T00:00:00"/>
    <s v="M"/>
    <x v="0"/>
    <n v="4"/>
    <s v="California"/>
    <s v="Solano County"/>
    <n v="1"/>
    <n v="9"/>
    <x v="1"/>
  </r>
  <r>
    <s v="TX501477"/>
    <s v="Sandals"/>
    <n v="4"/>
    <n v="61.5"/>
    <n v="246"/>
    <d v="2025-02-24T00:00:00"/>
    <d v="2025-03-03T00:00:00"/>
    <s v="F"/>
    <x v="1"/>
    <n v="2"/>
    <s v="California"/>
    <s v="Ventura County"/>
    <n v="7"/>
    <n v="9"/>
    <x v="2"/>
  </r>
  <r>
    <s v="TX501478"/>
    <s v="Sundresses"/>
    <n v="1"/>
    <n v="33.5"/>
    <n v="33.5"/>
    <d v="2025-02-25T00:00:00"/>
    <d v="2025-03-01T00:00:00"/>
    <s v="M"/>
    <x v="4"/>
    <n v="3"/>
    <s v="California"/>
    <s v="Alameda County"/>
    <n v="4"/>
    <n v="9"/>
    <x v="1"/>
  </r>
  <r>
    <s v="TX501479"/>
    <s v="Graphic Tees"/>
    <n v="3"/>
    <n v="29.3"/>
    <n v="87.9"/>
    <d v="2025-02-25T00:00:00"/>
    <d v="2025-02-27T00:00:00"/>
    <s v="F"/>
    <x v="1"/>
    <n v="5"/>
    <s v="California"/>
    <s v="Contra Costa County"/>
    <n v="2"/>
    <n v="9"/>
    <x v="2"/>
  </r>
  <r>
    <s v="TX501480"/>
    <s v="Sneakers"/>
    <n v="2"/>
    <n v="125.9"/>
    <n v="251.8"/>
    <d v="2025-02-25T00:00:00"/>
    <d v="2025-03-02T00:00:00"/>
    <s v="F"/>
    <x v="4"/>
    <n v="3"/>
    <s v="California"/>
    <s v="Contra Costa County"/>
    <n v="5"/>
    <n v="9"/>
    <x v="2"/>
  </r>
  <r>
    <s v="TX501481"/>
    <s v="Sandals"/>
    <n v="5"/>
    <n v="29.3"/>
    <n v="146.5"/>
    <d v="2025-02-25T00:00:00"/>
    <d v="2025-02-25T00:00:00"/>
    <s v="M"/>
    <x v="2"/>
    <n v="4"/>
    <s v="California"/>
    <s v="Humboldt County"/>
    <n v="0"/>
    <n v="9"/>
    <x v="1"/>
  </r>
  <r>
    <s v="TX501482"/>
    <s v="Sundresses"/>
    <n v="1"/>
    <n v="37.799999999999997"/>
    <n v="37.799999999999997"/>
    <d v="2025-02-25T00:00:00"/>
    <d v="2025-02-28T00:00:00"/>
    <s v="F"/>
    <x v="0"/>
    <n v="5"/>
    <s v="California"/>
    <s v="Los Angeles County"/>
    <n v="3"/>
    <n v="9"/>
    <x v="2"/>
  </r>
  <r>
    <s v="TX501483"/>
    <s v="Shorts"/>
    <n v="4"/>
    <n v="31.7"/>
    <n v="126.8"/>
    <d v="2025-02-25T00:00:00"/>
    <d v="2025-02-26T00:00:00"/>
    <s v="M"/>
    <x v="2"/>
    <n v="5"/>
    <s v="California"/>
    <s v="Los Angeles County"/>
    <n v="1"/>
    <n v="9"/>
    <x v="1"/>
  </r>
  <r>
    <s v="TX501484"/>
    <s v="T-Shirts"/>
    <n v="5"/>
    <n v="26.3"/>
    <n v="131.5"/>
    <d v="2025-02-25T00:00:00"/>
    <d v="2025-02-26T00:00:00"/>
    <s v="F"/>
    <x v="3"/>
    <n v="5"/>
    <s v="California"/>
    <s v="Los Angeles County"/>
    <n v="1"/>
    <n v="9"/>
    <x v="2"/>
  </r>
  <r>
    <s v="TX501485"/>
    <s v="T-Shirts"/>
    <n v="3"/>
    <n v="23.1"/>
    <n v="69.300000000000011"/>
    <d v="2025-02-25T00:00:00"/>
    <d v="2025-02-26T00:00:00"/>
    <s v="O"/>
    <x v="2"/>
    <n v="3"/>
    <s v="California"/>
    <s v="Los Angeles County"/>
    <n v="1"/>
    <n v="9"/>
    <x v="3"/>
  </r>
  <r>
    <s v="TX501486"/>
    <s v="Graphic Tees"/>
    <n v="1"/>
    <n v="22.3"/>
    <n v="22.3"/>
    <d v="2025-02-25T00:00:00"/>
    <d v="2025-02-27T00:00:00"/>
    <s v="F"/>
    <x v="2"/>
    <n v="4"/>
    <s v="California"/>
    <s v="Los Angeles County"/>
    <n v="2"/>
    <n v="9"/>
    <x v="2"/>
  </r>
  <r>
    <s v="TX501487"/>
    <s v="Casual Dresses"/>
    <n v="2"/>
    <n v="99.5"/>
    <n v="199"/>
    <d v="2025-02-25T00:00:00"/>
    <d v="2025-02-27T00:00:00"/>
    <s v="F"/>
    <x v="2"/>
    <n v="4"/>
    <s v="California"/>
    <s v="Los Angeles County"/>
    <n v="2"/>
    <n v="9"/>
    <x v="2"/>
  </r>
  <r>
    <s v="TX501488"/>
    <s v="Casual Dresses"/>
    <n v="4"/>
    <n v="47.4"/>
    <n v="189.6"/>
    <d v="2025-02-25T00:00:00"/>
    <d v="2025-02-28T00:00:00"/>
    <s v="F"/>
    <x v="1"/>
    <n v="4"/>
    <s v="California"/>
    <s v="Los Angeles County"/>
    <n v="3"/>
    <n v="9"/>
    <x v="2"/>
  </r>
  <r>
    <s v="TX501489"/>
    <s v="Shorts"/>
    <n v="11"/>
    <n v="37.5"/>
    <n v="412.5"/>
    <d v="2025-02-25T00:00:00"/>
    <d v="2025-02-27T00:00:00"/>
    <s v="F"/>
    <x v="0"/>
    <n v="1"/>
    <s v="California"/>
    <s v="Los Angeles County"/>
    <n v="2"/>
    <n v="9"/>
    <x v="2"/>
  </r>
  <r>
    <s v="TX501490"/>
    <s v="Bikinis"/>
    <n v="1"/>
    <n v="45.1"/>
    <n v="45.1"/>
    <d v="2025-02-25T00:00:00"/>
    <d v="2025-03-02T00:00:00"/>
    <s v="M"/>
    <x v="3"/>
    <n v="5"/>
    <s v="California"/>
    <s v="Merced County"/>
    <n v="5"/>
    <n v="9"/>
    <x v="1"/>
  </r>
  <r>
    <s v="TX501491"/>
    <s v="Sandals"/>
    <n v="10"/>
    <n v="34.4"/>
    <n v="344"/>
    <d v="2025-02-25T00:00:00"/>
    <d v="2025-02-28T00:00:00"/>
    <s v="M"/>
    <x v="2"/>
    <n v="4"/>
    <s v="California"/>
    <s v="Napa County"/>
    <n v="3"/>
    <n v="9"/>
    <x v="1"/>
  </r>
  <r>
    <s v="TX501492"/>
    <s v="Graphic Tees"/>
    <n v="2"/>
    <n v="38"/>
    <n v="76"/>
    <d v="2025-02-25T00:00:00"/>
    <d v="2025-02-27T00:00:00"/>
    <s v="F"/>
    <x v="1"/>
    <n v="4"/>
    <s v="California"/>
    <s v="Placer County"/>
    <n v="2"/>
    <n v="9"/>
    <x v="2"/>
  </r>
  <r>
    <s v="TX501493"/>
    <s v="Workout Tops"/>
    <n v="14"/>
    <n v="32.4"/>
    <n v="453.59999999999997"/>
    <d v="2025-02-25T00:00:00"/>
    <d v="2025-02-28T00:00:00"/>
    <s v="M"/>
    <x v="4"/>
    <n v="4"/>
    <s v="California"/>
    <s v="Sacramento County"/>
    <n v="3"/>
    <n v="9"/>
    <x v="1"/>
  </r>
  <r>
    <s v="TX501494"/>
    <s v="Jeans"/>
    <n v="3"/>
    <n v="40.9"/>
    <n v="122.69999999999999"/>
    <d v="2025-02-25T00:00:00"/>
    <d v="2025-02-25T00:00:00"/>
    <s v=""/>
    <x v="1"/>
    <n v="4"/>
    <s v="California"/>
    <s v="San Diego County"/>
    <n v="0"/>
    <n v="9"/>
    <x v="0"/>
  </r>
  <r>
    <s v="TX501495"/>
    <s v="Hoodies &amp; Sweatshirts"/>
    <n v="7"/>
    <n v="76.2"/>
    <n v="533.4"/>
    <d v="2025-02-25T00:00:00"/>
    <d v="2025-02-27T00:00:00"/>
    <s v="F"/>
    <x v="2"/>
    <n v="3"/>
    <s v="California"/>
    <s v="San Diego County"/>
    <n v="2"/>
    <n v="9"/>
    <x v="2"/>
  </r>
  <r>
    <s v="TX501496"/>
    <s v="Sneakers"/>
    <n v="1"/>
    <n v="85.6"/>
    <n v="85.6"/>
    <d v="2025-02-25T00:00:00"/>
    <d v="2025-02-27T00:00:00"/>
    <s v="M"/>
    <x v="2"/>
    <n v="4"/>
    <s v="California"/>
    <s v="San Diego County"/>
    <n v="2"/>
    <n v="9"/>
    <x v="1"/>
  </r>
  <r>
    <s v="TX501497"/>
    <s v="Graphic Tees"/>
    <n v="4"/>
    <n v="25"/>
    <n v="100"/>
    <d v="2025-02-25T00:00:00"/>
    <d v="2025-02-27T00:00:00"/>
    <s v="F"/>
    <x v="2"/>
    <n v="5"/>
    <s v="California"/>
    <s v="San Diego County"/>
    <n v="2"/>
    <n v="9"/>
    <x v="2"/>
  </r>
  <r>
    <s v="TX501498"/>
    <s v="Sneakers"/>
    <n v="5"/>
    <n v="150.69999999999999"/>
    <n v="753.5"/>
    <d v="2025-02-25T00:00:00"/>
    <d v="2025-02-26T00:00:00"/>
    <s v=""/>
    <x v="0"/>
    <n v="5"/>
    <s v="California"/>
    <s v="San Diego County"/>
    <n v="1"/>
    <n v="9"/>
    <x v="0"/>
  </r>
  <r>
    <s v="TX501499"/>
    <s v="T-Shirts"/>
    <n v="1"/>
    <n v="19.600000000000001"/>
    <n v="19.600000000000001"/>
    <d v="2025-02-25T00:00:00"/>
    <d v="2025-02-26T00:00:00"/>
    <s v="M"/>
    <x v="1"/>
    <n v="2"/>
    <s v="California"/>
    <s v="San Diego County"/>
    <n v="1"/>
    <n v="9"/>
    <x v="1"/>
  </r>
  <r>
    <s v="TX501500"/>
    <s v="Tote Bags"/>
    <n v="2"/>
    <n v="37.5"/>
    <n v="75"/>
    <d v="2025-02-25T00:00:00"/>
    <d v="2025-02-28T00:00:00"/>
    <s v="F"/>
    <x v="1"/>
    <n v="5"/>
    <s v="California"/>
    <s v="San Francisco"/>
    <n v="3"/>
    <n v="9"/>
    <x v="2"/>
  </r>
  <r>
    <s v="TX501501"/>
    <s v="Sundresses"/>
    <n v="3"/>
    <n v="51.9"/>
    <n v="155.69999999999999"/>
    <d v="2025-02-25T00:00:00"/>
    <d v="2025-03-03T00:00:00"/>
    <s v="F"/>
    <x v="0"/>
    <n v="2"/>
    <s v="California"/>
    <s v="Santa Clara County"/>
    <n v="6"/>
    <n v="9"/>
    <x v="2"/>
  </r>
  <r>
    <s v="TX501502"/>
    <s v="Tank Tops"/>
    <n v="2"/>
    <n v="30.9"/>
    <n v="61.8"/>
    <d v="2025-02-25T00:00:00"/>
    <d v="2025-02-27T00:00:00"/>
    <s v="F"/>
    <x v="1"/>
    <n v="4"/>
    <s v="California"/>
    <s v="Sonoma County"/>
    <n v="2"/>
    <n v="9"/>
    <x v="2"/>
  </r>
  <r>
    <s v="TX501503"/>
    <s v="Graphic Tees"/>
    <n v="3"/>
    <n v="21.2"/>
    <n v="63.599999999999994"/>
    <d v="2025-02-25T00:00:00"/>
    <d v="2025-02-28T00:00:00"/>
    <s v="F"/>
    <x v="1"/>
    <n v="4"/>
    <s v="California"/>
    <s v="Stanislaus County"/>
    <n v="3"/>
    <n v="9"/>
    <x v="2"/>
  </r>
  <r>
    <s v="TX501504"/>
    <s v="Tote Bags"/>
    <n v="17"/>
    <n v="17.5"/>
    <n v="297.5"/>
    <d v="2025-02-25T00:00:00"/>
    <d v="2025-02-26T00:00:00"/>
    <s v="M"/>
    <x v="1"/>
    <n v="3"/>
    <s v="California"/>
    <s v="Ventura County"/>
    <n v="1"/>
    <n v="9"/>
    <x v="1"/>
  </r>
  <r>
    <s v="TX501505"/>
    <s v="Casual Dresses"/>
    <n v="2"/>
    <n v="53.8"/>
    <n v="107.6"/>
    <d v="2025-02-25T00:00:00"/>
    <d v="2025-03-02T00:00:00"/>
    <s v="F"/>
    <x v="0"/>
    <n v="5"/>
    <s v="California"/>
    <s v="Alameda County"/>
    <n v="5"/>
    <n v="9"/>
    <x v="2"/>
  </r>
  <r>
    <s v="TX501506"/>
    <s v="Jewelry"/>
    <n v="2"/>
    <n v="17"/>
    <n v="34"/>
    <d v="2025-02-25T00:00:00"/>
    <d v="2025-02-26T00:00:00"/>
    <s v="M"/>
    <x v="3"/>
    <n v="4"/>
    <s v="California"/>
    <s v="Alameda County"/>
    <n v="1"/>
    <n v="9"/>
    <x v="1"/>
  </r>
  <r>
    <s v="TX501507"/>
    <s v="Jeans"/>
    <n v="1"/>
    <n v="103.2"/>
    <n v="103.2"/>
    <d v="2025-02-25T00:00:00"/>
    <d v="2025-03-05T00:00:00"/>
    <s v="M"/>
    <x v="2"/>
    <n v="3"/>
    <s v="California"/>
    <s v="Contra Costa County"/>
    <n v="8"/>
    <n v="9"/>
    <x v="1"/>
  </r>
  <r>
    <s v="TX501508"/>
    <s v="Jeans"/>
    <n v="4"/>
    <n v="70.3"/>
    <n v="281.2"/>
    <d v="2025-02-25T00:00:00"/>
    <d v="2025-02-26T00:00:00"/>
    <s v="M"/>
    <x v="0"/>
    <n v="4"/>
    <s v="California"/>
    <s v="Los Angeles County"/>
    <n v="1"/>
    <n v="9"/>
    <x v="1"/>
  </r>
  <r>
    <s v="TX501509"/>
    <s v="Sneakers"/>
    <n v="2"/>
    <n v="73.8"/>
    <n v="147.6"/>
    <d v="2025-02-25T00:00:00"/>
    <d v="2025-02-25T00:00:00"/>
    <s v="M"/>
    <x v="3"/>
    <n v="5"/>
    <s v="California"/>
    <s v="Los Angeles County"/>
    <n v="0"/>
    <n v="9"/>
    <x v="1"/>
  </r>
  <r>
    <s v="TX501510"/>
    <s v="Tank Tops"/>
    <n v="12"/>
    <n v="67.7"/>
    <n v="812.40000000000009"/>
    <d v="2025-02-25T00:00:00"/>
    <d v="2025-03-01T00:00:00"/>
    <s v="M"/>
    <x v="1"/>
    <n v="3"/>
    <s v="California"/>
    <s v="Los Angeles County"/>
    <n v="4"/>
    <n v="9"/>
    <x v="1"/>
  </r>
  <r>
    <s v="TX501511"/>
    <s v="Tote Bags"/>
    <n v="7"/>
    <n v="43.8"/>
    <n v="306.59999999999997"/>
    <d v="2025-02-25T00:00:00"/>
    <d v="2025-02-27T00:00:00"/>
    <s v="M"/>
    <x v="1"/>
    <n v="4"/>
    <s v="California"/>
    <s v="Los Angeles County"/>
    <n v="2"/>
    <n v="9"/>
    <x v="1"/>
  </r>
  <r>
    <s v="TX501512"/>
    <s v="Pajama Sets"/>
    <n v="6"/>
    <n v="71.900000000000006"/>
    <n v="431.40000000000003"/>
    <d v="2025-02-25T00:00:00"/>
    <d v="2025-02-26T00:00:00"/>
    <s v="F"/>
    <x v="2"/>
    <n v="4"/>
    <s v="California"/>
    <s v="Los Angeles County"/>
    <n v="1"/>
    <n v="9"/>
    <x v="2"/>
  </r>
  <r>
    <s v="TX501513"/>
    <s v="T-Shirts"/>
    <n v="2"/>
    <n v="26.3"/>
    <n v="52.6"/>
    <d v="2025-02-26T00:00:00"/>
    <d v="2025-02-28T00:00:00"/>
    <s v="F"/>
    <x v="0"/>
    <n v="3"/>
    <s v="California"/>
    <s v="Los Angeles County"/>
    <n v="2"/>
    <n v="9"/>
    <x v="2"/>
  </r>
  <r>
    <s v="TX501514"/>
    <s v="Jeans"/>
    <n v="4"/>
    <n v="52.6"/>
    <n v="210.4"/>
    <d v="2025-02-26T00:00:00"/>
    <d v="2025-02-28T00:00:00"/>
    <s v="F"/>
    <x v="2"/>
    <n v="3"/>
    <s v="California"/>
    <s v="Los Angeles County"/>
    <n v="2"/>
    <n v="9"/>
    <x v="2"/>
  </r>
  <r>
    <s v="TX501515"/>
    <s v="Bikinis"/>
    <n v="1"/>
    <n v="32.700000000000003"/>
    <n v="32.700000000000003"/>
    <d v="2025-02-26T00:00:00"/>
    <d v="2025-03-05T00:00:00"/>
    <s v="F"/>
    <x v="0"/>
    <n v="5"/>
    <s v="California"/>
    <s v="Los Angeles County"/>
    <n v="7"/>
    <n v="9"/>
    <x v="2"/>
  </r>
  <r>
    <s v="TX501516"/>
    <s v="Sandals"/>
    <n v="4"/>
    <n v="38.9"/>
    <n v="155.6"/>
    <d v="2025-02-26T00:00:00"/>
    <d v="2025-02-27T00:00:00"/>
    <s v="F"/>
    <x v="0"/>
    <n v="4"/>
    <s v="California"/>
    <s v="Los Angeles County"/>
    <n v="1"/>
    <n v="9"/>
    <x v="2"/>
  </r>
  <r>
    <s v="TX501517"/>
    <s v="Sundresses"/>
    <n v="5"/>
    <n v="35"/>
    <n v="175"/>
    <d v="2025-02-26T00:00:00"/>
    <d v="2025-02-28T00:00:00"/>
    <s v="M"/>
    <x v="0"/>
    <n v="4"/>
    <s v="California"/>
    <s v="Los Angeles County"/>
    <n v="2"/>
    <n v="9"/>
    <x v="1"/>
  </r>
  <r>
    <s v="TX501518"/>
    <s v="Sneakers"/>
    <n v="2"/>
    <n v="121"/>
    <n v="242"/>
    <d v="2025-02-26T00:00:00"/>
    <d v="2025-02-27T00:00:00"/>
    <s v="F"/>
    <x v="1"/>
    <n v="3"/>
    <s v="California"/>
    <s v="Los Angeles County"/>
    <n v="1"/>
    <n v="9"/>
    <x v="2"/>
  </r>
  <r>
    <s v="TX501519"/>
    <s v="Jeans"/>
    <n v="3"/>
    <n v="65.099999999999994"/>
    <n v="195.29999999999998"/>
    <d v="2025-02-26T00:00:00"/>
    <d v="2025-03-02T00:00:00"/>
    <s v="M"/>
    <x v="2"/>
    <n v="4"/>
    <s v="California"/>
    <s v="San Benito County"/>
    <n v="4"/>
    <n v="9"/>
    <x v="1"/>
  </r>
  <r>
    <s v="TX501520"/>
    <s v="Tank Tops"/>
    <n v="21"/>
    <n v="63.8"/>
    <n v="1339.8"/>
    <d v="2025-02-26T00:00:00"/>
    <d v="2025-02-28T00:00:00"/>
    <s v="F"/>
    <x v="0"/>
    <n v="4"/>
    <s v="California"/>
    <s v="San Diego County"/>
    <n v="2"/>
    <n v="9"/>
    <x v="2"/>
  </r>
  <r>
    <s v="TX501521"/>
    <s v="Hoodies &amp; Sweatshirts"/>
    <n v="1"/>
    <n v="77.7"/>
    <n v="77.7"/>
    <d v="2025-02-26T00:00:00"/>
    <d v="2025-02-28T00:00:00"/>
    <s v="M"/>
    <x v="0"/>
    <n v="4"/>
    <s v="California"/>
    <s v="San Diego County"/>
    <n v="2"/>
    <n v="9"/>
    <x v="1"/>
  </r>
  <r>
    <s v="TX501522"/>
    <s v="Sandals"/>
    <n v="4"/>
    <n v="60.3"/>
    <n v="241.2"/>
    <d v="2025-02-26T00:00:00"/>
    <d v="2025-02-26T00:00:00"/>
    <s v="M"/>
    <x v="0"/>
    <n v="5"/>
    <s v="California"/>
    <s v="San Diego County"/>
    <n v="0"/>
    <n v="9"/>
    <x v="1"/>
  </r>
  <r>
    <s v="TX501523"/>
    <s v="Sandals"/>
    <n v="2"/>
    <n v="124.1"/>
    <n v="248.2"/>
    <d v="2025-02-26T00:00:00"/>
    <d v="2025-03-01T00:00:00"/>
    <s v="F"/>
    <x v="0"/>
    <n v="5"/>
    <s v="California"/>
    <s v="San Diego County"/>
    <n v="3"/>
    <n v="9"/>
    <x v="2"/>
  </r>
  <r>
    <s v="TX501524"/>
    <s v="Sunglasses"/>
    <n v="7"/>
    <n v="66"/>
    <n v="462"/>
    <d v="2025-02-26T00:00:00"/>
    <d v="2025-02-26T00:00:00"/>
    <s v=""/>
    <x v="3"/>
    <n v="4"/>
    <s v="California"/>
    <s v="San Francisco"/>
    <n v="0"/>
    <n v="9"/>
    <x v="0"/>
  </r>
  <r>
    <s v="TX501525"/>
    <s v="Sneakers"/>
    <n v="63"/>
    <n v="118.2"/>
    <n v="7446.6"/>
    <d v="2025-02-26T00:00:00"/>
    <d v="2025-03-03T00:00:00"/>
    <s v=""/>
    <x v="0"/>
    <n v="4"/>
    <s v="California"/>
    <s v="San Francisco"/>
    <n v="5"/>
    <n v="9"/>
    <x v="0"/>
  </r>
  <r>
    <s v="TX501526"/>
    <s v="Sandals"/>
    <n v="5"/>
    <n v="64.3"/>
    <n v="321.5"/>
    <d v="2025-02-26T00:00:00"/>
    <d v="2025-02-27T00:00:00"/>
    <s v="M"/>
    <x v="4"/>
    <n v="2"/>
    <s v="California"/>
    <s v="San Joaquin County"/>
    <n v="1"/>
    <n v="9"/>
    <x v="1"/>
  </r>
  <r>
    <s v="TX501527"/>
    <s v="Tank Tops"/>
    <n v="2"/>
    <n v="54.8"/>
    <n v="109.6"/>
    <d v="2025-02-26T00:00:00"/>
    <d v="2025-02-26T00:00:00"/>
    <s v="M"/>
    <x v="0"/>
    <n v="3"/>
    <s v="California"/>
    <s v="San Joaquin County"/>
    <n v="0"/>
    <n v="9"/>
    <x v="1"/>
  </r>
  <r>
    <s v="TX501528"/>
    <s v="Hoodies &amp; Sweatshirts"/>
    <n v="2"/>
    <n v="78.599999999999994"/>
    <n v="157.19999999999999"/>
    <d v="2025-02-26T00:00:00"/>
    <d v="2025-02-27T00:00:00"/>
    <s v="M"/>
    <x v="0"/>
    <n v="5"/>
    <s v="California"/>
    <s v="San Mateo County"/>
    <n v="1"/>
    <n v="9"/>
    <x v="1"/>
  </r>
  <r>
    <s v="TX501529"/>
    <s v="Sneakers"/>
    <n v="5"/>
    <n v="158.5"/>
    <n v="792.5"/>
    <d v="2025-02-26T00:00:00"/>
    <d v="2025-02-28T00:00:00"/>
    <s v=""/>
    <x v="2"/>
    <n v="5"/>
    <s v="California"/>
    <s v="San Mateo County"/>
    <n v="2"/>
    <n v="9"/>
    <x v="0"/>
  </r>
  <r>
    <s v="TX501530"/>
    <s v="Graphic Tees"/>
    <n v="10"/>
    <n v="23.5"/>
    <n v="235"/>
    <d v="2025-02-26T00:00:00"/>
    <d v="2025-03-01T00:00:00"/>
    <s v="M"/>
    <x v="0"/>
    <n v="2"/>
    <s v="California"/>
    <s v="Santa Barbara County"/>
    <n v="3"/>
    <n v="9"/>
    <x v="1"/>
  </r>
  <r>
    <s v="TX501531"/>
    <s v="Sandals"/>
    <n v="2"/>
    <n v="32.1"/>
    <n v="64.2"/>
    <d v="2025-02-26T00:00:00"/>
    <d v="2025-02-28T00:00:00"/>
    <s v=""/>
    <x v="3"/>
    <n v="4"/>
    <s v="California"/>
    <s v="Santa Barbara County"/>
    <n v="2"/>
    <n v="9"/>
    <x v="0"/>
  </r>
  <r>
    <s v="TX501532"/>
    <s v="Pajama Sets"/>
    <n v="4"/>
    <n v="71.900000000000006"/>
    <n v="287.60000000000002"/>
    <d v="2025-02-26T00:00:00"/>
    <d v="2025-02-26T00:00:00"/>
    <s v="M"/>
    <x v="2"/>
    <n v="4"/>
    <s v="California"/>
    <s v="Stanislaus County"/>
    <n v="0"/>
    <n v="9"/>
    <x v="1"/>
  </r>
  <r>
    <s v="TX501533"/>
    <s v="Graphic Tees"/>
    <n v="6"/>
    <n v="22.3"/>
    <n v="133.80000000000001"/>
    <d v="2025-02-26T00:00:00"/>
    <d v="2025-02-27T00:00:00"/>
    <s v=""/>
    <x v="3"/>
    <n v="5"/>
    <s v="California"/>
    <s v="Ventura County"/>
    <n v="1"/>
    <n v="9"/>
    <x v="0"/>
  </r>
  <r>
    <s v="TX501534"/>
    <s v="Maxi Dresses"/>
    <n v="2"/>
    <n v="29.5"/>
    <n v="59"/>
    <d v="2025-02-26T00:00:00"/>
    <d v="2025-02-27T00:00:00"/>
    <s v="F"/>
    <x v="0"/>
    <n v="5"/>
    <s v="California"/>
    <s v="Ventura County"/>
    <n v="1"/>
    <n v="9"/>
    <x v="2"/>
  </r>
  <r>
    <s v="TX501535"/>
    <s v="Jeans"/>
    <n v="4"/>
    <n v="41.9"/>
    <n v="167.6"/>
    <d v="2025-02-26T00:00:00"/>
    <d v="2025-03-02T00:00:00"/>
    <s v="F"/>
    <x v="0"/>
    <n v="3"/>
    <s v="California"/>
    <s v="Alameda County"/>
    <n v="4"/>
    <n v="9"/>
    <x v="2"/>
  </r>
  <r>
    <s v="TX501536"/>
    <s v="Jeans"/>
    <n v="3"/>
    <n v="107.8"/>
    <n v="323.39999999999998"/>
    <d v="2025-02-26T00:00:00"/>
    <d v="2025-02-27T00:00:00"/>
    <s v="M"/>
    <x v="1"/>
    <n v="5"/>
    <s v="California"/>
    <s v="Amador County"/>
    <n v="1"/>
    <n v="9"/>
    <x v="1"/>
  </r>
  <r>
    <s v="TX501537"/>
    <s v="Graphic Tees"/>
    <n v="5"/>
    <n v="18.100000000000001"/>
    <n v="90.5"/>
    <d v="2025-02-26T00:00:00"/>
    <d v="2025-03-01T00:00:00"/>
    <s v="M"/>
    <x v="0"/>
    <n v="5"/>
    <s v="California"/>
    <s v="Fresno County"/>
    <n v="3"/>
    <n v="9"/>
    <x v="1"/>
  </r>
  <r>
    <s v="TX501538"/>
    <s v="Casual Dresses"/>
    <n v="9"/>
    <n v="79.8"/>
    <n v="718.19999999999993"/>
    <d v="2025-02-26T00:00:00"/>
    <d v="2025-02-27T00:00:00"/>
    <s v="F"/>
    <x v="1"/>
    <n v="3"/>
    <s v="California"/>
    <s v="Kern County"/>
    <n v="1"/>
    <n v="9"/>
    <x v="2"/>
  </r>
  <r>
    <s v="TX501539"/>
    <s v="Shorts"/>
    <n v="3"/>
    <n v="22.3"/>
    <n v="66.900000000000006"/>
    <d v="2025-02-26T00:00:00"/>
    <d v="2025-03-01T00:00:00"/>
    <s v="F"/>
    <x v="0"/>
    <n v="5"/>
    <s v="California"/>
    <s v="Kern County"/>
    <n v="3"/>
    <n v="9"/>
    <x v="2"/>
  </r>
  <r>
    <s v="TX501540"/>
    <s v="T-Shirts"/>
    <n v="1"/>
    <n v="22.9"/>
    <n v="22.9"/>
    <d v="2025-02-26T00:00:00"/>
    <d v="2025-02-26T00:00:00"/>
    <s v="F"/>
    <x v="1"/>
    <n v="4"/>
    <s v="California"/>
    <s v="Kern County"/>
    <n v="0"/>
    <n v="9"/>
    <x v="2"/>
  </r>
  <r>
    <s v="TX501541"/>
    <s v="Shorts"/>
    <n v="3"/>
    <n v="16.2"/>
    <n v="48.599999999999994"/>
    <d v="2025-02-27T00:00:00"/>
    <d v="2025-02-27T00:00:00"/>
    <s v="M"/>
    <x v="4"/>
    <n v="5"/>
    <s v="California"/>
    <s v="Los Angeles County"/>
    <n v="0"/>
    <n v="9"/>
    <x v="1"/>
  </r>
  <r>
    <s v="TX501542"/>
    <s v="Bikinis"/>
    <n v="4"/>
    <n v="59.5"/>
    <n v="238"/>
    <d v="2025-02-27T00:00:00"/>
    <d v="2025-02-28T00:00:00"/>
    <s v="M"/>
    <x v="1"/>
    <n v="5"/>
    <s v="California"/>
    <s v="Los Angeles County"/>
    <n v="1"/>
    <n v="9"/>
    <x v="1"/>
  </r>
  <r>
    <s v="TX501543"/>
    <s v="Leggings"/>
    <n v="5"/>
    <n v="26.2"/>
    <n v="131"/>
    <d v="2025-02-27T00:00:00"/>
    <d v="2025-03-02T00:00:00"/>
    <s v="M"/>
    <x v="3"/>
    <n v="2"/>
    <s v="California"/>
    <s v="Los Angeles County"/>
    <n v="3"/>
    <n v="9"/>
    <x v="1"/>
  </r>
  <r>
    <s v="TX501544"/>
    <s v="Workout Tops"/>
    <n v="1"/>
    <n v="44.2"/>
    <n v="44.2"/>
    <d v="2025-02-27T00:00:00"/>
    <d v="2025-03-02T00:00:00"/>
    <s v="F"/>
    <x v="1"/>
    <n v="4"/>
    <s v="California"/>
    <s v="Los Angeles County"/>
    <n v="3"/>
    <n v="9"/>
    <x v="2"/>
  </r>
  <r>
    <s v="TX501545"/>
    <s v="Sundresses"/>
    <n v="2"/>
    <n v="59.2"/>
    <n v="118.4"/>
    <d v="2025-02-27T00:00:00"/>
    <d v="2025-02-27T00:00:00"/>
    <s v="F"/>
    <x v="1"/>
    <n v="2"/>
    <s v="California"/>
    <s v="Los Angeles County"/>
    <n v="0"/>
    <n v="9"/>
    <x v="2"/>
  </r>
  <r>
    <s v="TX501546"/>
    <s v="Crop Tops"/>
    <n v="4"/>
    <n v="41.5"/>
    <n v="166"/>
    <d v="2025-02-27T00:00:00"/>
    <d v="2025-03-01T00:00:00"/>
    <s v="F"/>
    <x v="0"/>
    <n v="4"/>
    <s v="California"/>
    <s v="Napa County"/>
    <n v="2"/>
    <n v="9"/>
    <x v="2"/>
  </r>
  <r>
    <s v="TX501547"/>
    <s v="Jeans"/>
    <n v="12"/>
    <n v="67.099999999999994"/>
    <n v="805.19999999999993"/>
    <d v="2025-02-27T00:00:00"/>
    <d v="2025-03-13T00:00:00"/>
    <s v="F"/>
    <x v="0"/>
    <n v="5"/>
    <s v="California"/>
    <s v="Riverside County"/>
    <n v="14"/>
    <n v="9"/>
    <x v="2"/>
  </r>
  <r>
    <s v="TX501548"/>
    <s v="T-Shirts"/>
    <n v="2"/>
    <n v="28.7"/>
    <n v="57.4"/>
    <d v="2025-02-27T00:00:00"/>
    <d v="2025-03-03T00:00:00"/>
    <s v="F"/>
    <x v="1"/>
    <n v="4"/>
    <s v="California"/>
    <s v="Sacramento County"/>
    <n v="4"/>
    <n v="9"/>
    <x v="2"/>
  </r>
  <r>
    <s v="TX501549"/>
    <s v="Sneakers"/>
    <n v="4"/>
    <n v="132.1"/>
    <n v="528.4"/>
    <d v="2025-02-27T00:00:00"/>
    <d v="2025-02-28T00:00:00"/>
    <s v="F"/>
    <x v="0"/>
    <n v="3"/>
    <s v="California"/>
    <s v="Sacramento County"/>
    <n v="1"/>
    <n v="9"/>
    <x v="2"/>
  </r>
  <r>
    <s v="TX501550"/>
    <s v="Leggings"/>
    <n v="2"/>
    <n v="47"/>
    <n v="94"/>
    <d v="2025-02-27T00:00:00"/>
    <d v="2025-03-01T00:00:00"/>
    <s v="M"/>
    <x v="4"/>
    <n v="4"/>
    <s v="California"/>
    <s v="San Diego County"/>
    <n v="2"/>
    <n v="9"/>
    <x v="1"/>
  </r>
  <r>
    <s v="TX501551"/>
    <s v="T-Shirts"/>
    <n v="2"/>
    <n v="41.6"/>
    <n v="83.2"/>
    <d v="2025-02-27T00:00:00"/>
    <d v="2025-03-03T00:00:00"/>
    <s v="M"/>
    <x v="1"/>
    <n v="5"/>
    <s v="California"/>
    <s v="San Diego County"/>
    <n v="4"/>
    <n v="9"/>
    <x v="1"/>
  </r>
  <r>
    <s v="TX501552"/>
    <s v="T-Shirts"/>
    <n v="38"/>
    <n v="17.3"/>
    <n v="657.4"/>
    <d v="2025-02-27T00:00:00"/>
    <d v="2025-03-01T00:00:00"/>
    <s v="M"/>
    <x v="2"/>
    <n v="5"/>
    <s v="California"/>
    <s v="San Diego County"/>
    <n v="2"/>
    <n v="9"/>
    <x v="1"/>
  </r>
  <r>
    <s v="TX501553"/>
    <s v="Tote Bags"/>
    <n v="3"/>
    <n v="41.8"/>
    <n v="125.39999999999999"/>
    <d v="2025-02-27T00:00:00"/>
    <d v="2025-03-02T00:00:00"/>
    <s v="M"/>
    <x v="0"/>
    <n v="5"/>
    <s v="California"/>
    <s v="San Diego County"/>
    <n v="3"/>
    <n v="9"/>
    <x v="1"/>
  </r>
  <r>
    <s v="TX501554"/>
    <s v="Bikinis"/>
    <n v="1"/>
    <n v="24"/>
    <n v="24"/>
    <d v="2025-02-27T00:00:00"/>
    <d v="2025-02-28T00:00:00"/>
    <s v="F"/>
    <x v="0"/>
    <n v="4"/>
    <s v="California"/>
    <s v="San Francisco"/>
    <n v="1"/>
    <n v="9"/>
    <x v="2"/>
  </r>
  <r>
    <s v="TX501555"/>
    <s v="Baseball Caps"/>
    <n v="9"/>
    <n v="18.5"/>
    <n v="166.5"/>
    <d v="2025-02-27T00:00:00"/>
    <d v="2025-03-01T00:00:00"/>
    <s v="F"/>
    <x v="0"/>
    <n v="4"/>
    <s v="California"/>
    <s v="San Mateo County"/>
    <n v="2"/>
    <n v="9"/>
    <x v="2"/>
  </r>
  <r>
    <s v="TX501556"/>
    <s v="Workout Tops"/>
    <n v="12"/>
    <n v="66.7"/>
    <n v="800.40000000000009"/>
    <d v="2025-02-27T00:00:00"/>
    <d v="2025-03-02T00:00:00"/>
    <s v=""/>
    <x v="0"/>
    <n v="5"/>
    <s v="California"/>
    <s v="Santa Clara County"/>
    <n v="3"/>
    <n v="9"/>
    <x v="0"/>
  </r>
  <r>
    <s v="TX501557"/>
    <s v="Tank Tops"/>
    <n v="4"/>
    <n v="33.1"/>
    <n v="132.4"/>
    <d v="2025-02-27T00:00:00"/>
    <d v="2025-03-04T00:00:00"/>
    <s v="M"/>
    <x v="3"/>
    <n v="4"/>
    <s v="California"/>
    <s v="Santa Clara County"/>
    <n v="5"/>
    <n v="9"/>
    <x v="1"/>
  </r>
  <r>
    <s v="TX501558"/>
    <s v="Jewelry"/>
    <n v="9"/>
    <n v="42.1"/>
    <n v="378.90000000000003"/>
    <d v="2025-02-27T00:00:00"/>
    <d v="2025-03-10T00:00:00"/>
    <s v="M"/>
    <x v="1"/>
    <n v="4"/>
    <s v="California"/>
    <s v="Sonoma County"/>
    <n v="11"/>
    <n v="9"/>
    <x v="1"/>
  </r>
  <r>
    <s v="TX501559"/>
    <s v="Leggings"/>
    <n v="7"/>
    <n v="58.7"/>
    <n v="410.90000000000003"/>
    <d v="2025-02-27T00:00:00"/>
    <d v="2025-02-27T00:00:00"/>
    <s v="O"/>
    <x v="3"/>
    <n v="4"/>
    <s v="California"/>
    <s v="Sutter County"/>
    <n v="0"/>
    <n v="9"/>
    <x v="3"/>
  </r>
  <r>
    <s v="TX501560"/>
    <s v="Jeans"/>
    <n v="4"/>
    <n v="54"/>
    <n v="216"/>
    <d v="2025-02-27T00:00:00"/>
    <d v="2025-03-01T00:00:00"/>
    <s v="F"/>
    <x v="1"/>
    <n v="4"/>
    <s v="California"/>
    <s v="Contra Costa County"/>
    <n v="2"/>
    <n v="9"/>
    <x v="2"/>
  </r>
  <r>
    <s v="TX501561"/>
    <s v="T-Shirts"/>
    <n v="1"/>
    <n v="52.1"/>
    <n v="52.1"/>
    <d v="2025-02-27T00:00:00"/>
    <d v="2025-02-28T00:00:00"/>
    <s v="F"/>
    <x v="2"/>
    <n v="5"/>
    <s v="California"/>
    <s v="Fresno County"/>
    <n v="1"/>
    <n v="9"/>
    <x v="2"/>
  </r>
  <r>
    <s v="TX501562"/>
    <s v="Jewelry"/>
    <n v="2"/>
    <n v="27"/>
    <n v="54"/>
    <d v="2025-02-27T00:00:00"/>
    <d v="2025-03-02T00:00:00"/>
    <s v="O"/>
    <x v="2"/>
    <n v="4"/>
    <s v="California"/>
    <s v="Kern County"/>
    <n v="3"/>
    <n v="9"/>
    <x v="3"/>
  </r>
  <r>
    <s v="TX501563"/>
    <s v="Casual Dresses"/>
    <n v="10"/>
    <n v="31"/>
    <n v="310"/>
    <d v="2025-02-28T00:00:00"/>
    <d v="2025-03-01T00:00:00"/>
    <s v="F"/>
    <x v="3"/>
    <n v="5"/>
    <s v="California"/>
    <s v="Kern County"/>
    <n v="1"/>
    <n v="9"/>
    <x v="2"/>
  </r>
  <r>
    <s v="TX501564"/>
    <s v="Bikinis"/>
    <n v="2"/>
    <n v="46.7"/>
    <n v="93.4"/>
    <d v="2025-02-28T00:00:00"/>
    <d v="2025-02-28T00:00:00"/>
    <s v="F"/>
    <x v="0"/>
    <n v="4"/>
    <s v="California"/>
    <s v="Kings County"/>
    <n v="0"/>
    <n v="9"/>
    <x v="2"/>
  </r>
  <r>
    <s v="TX501565"/>
    <s v="Jeans"/>
    <n v="1"/>
    <n v="144.69999999999999"/>
    <n v="144.69999999999999"/>
    <d v="2025-02-28T00:00:00"/>
    <d v="2025-03-03T00:00:00"/>
    <s v="M"/>
    <x v="0"/>
    <n v="5"/>
    <s v="California"/>
    <s v="Los Angeles County"/>
    <n v="3"/>
    <n v="9"/>
    <x v="1"/>
  </r>
  <r>
    <s v="TX501566"/>
    <s v="Sneakers"/>
    <n v="9"/>
    <n v="90.9"/>
    <n v="818.1"/>
    <d v="2025-02-28T00:00:00"/>
    <d v="2025-03-01T00:00:00"/>
    <s v="M"/>
    <x v="0"/>
    <n v="5"/>
    <s v="California"/>
    <s v="Los Angeles County"/>
    <n v="1"/>
    <n v="9"/>
    <x v="1"/>
  </r>
  <r>
    <s v="TX501567"/>
    <s v="Tank Tops"/>
    <n v="2"/>
    <n v="75.8"/>
    <n v="151.6"/>
    <d v="2025-02-28T00:00:00"/>
    <d v="2025-03-01T00:00:00"/>
    <s v="F"/>
    <x v="2"/>
    <n v="3"/>
    <s v="California"/>
    <s v="Los Angeles County"/>
    <n v="1"/>
    <n v="9"/>
    <x v="2"/>
  </r>
  <r>
    <s v="TX501568"/>
    <s v="Hoodies &amp; Sweatshirts"/>
    <n v="5"/>
    <n v="57.9"/>
    <n v="289.5"/>
    <d v="2025-02-28T00:00:00"/>
    <d v="2025-03-02T00:00:00"/>
    <s v="M"/>
    <x v="2"/>
    <n v="5"/>
    <s v="California"/>
    <s v="Los Angeles County"/>
    <n v="2"/>
    <n v="9"/>
    <x v="1"/>
  </r>
  <r>
    <s v="TX501569"/>
    <s v="T-Shirts"/>
    <n v="5"/>
    <n v="44.8"/>
    <n v="224"/>
    <d v="2025-02-28T00:00:00"/>
    <d v="2025-03-01T00:00:00"/>
    <s v="F"/>
    <x v="3"/>
    <n v="5"/>
    <s v="California"/>
    <s v="Los Angeles County"/>
    <n v="1"/>
    <n v="9"/>
    <x v="2"/>
  </r>
  <r>
    <s v="TX501570"/>
    <s v="Sundresses"/>
    <n v="3"/>
    <n v="44.2"/>
    <n v="132.60000000000002"/>
    <d v="2025-02-28T00:00:00"/>
    <d v="2025-03-04T00:00:00"/>
    <s v="M"/>
    <x v="2"/>
    <n v="5"/>
    <s v="California"/>
    <s v="Los Angeles County"/>
    <n v="4"/>
    <n v="9"/>
    <x v="1"/>
  </r>
  <r>
    <s v="TX501571"/>
    <s v="Sandals"/>
    <n v="5"/>
    <n v="53.5"/>
    <n v="267.5"/>
    <d v="2025-02-28T00:00:00"/>
    <d v="2025-03-02T00:00:00"/>
    <s v="M"/>
    <x v="0"/>
    <n v="4"/>
    <s v="California"/>
    <s v="Madera County"/>
    <n v="2"/>
    <n v="9"/>
    <x v="1"/>
  </r>
  <r>
    <s v="TX501572"/>
    <s v="Jeans"/>
    <n v="2"/>
    <n v="72.2"/>
    <n v="144.4"/>
    <d v="2025-02-28T00:00:00"/>
    <d v="2025-03-01T00:00:00"/>
    <s v="M"/>
    <x v="0"/>
    <n v="5"/>
    <s v="California"/>
    <s v="Orange County"/>
    <n v="1"/>
    <n v="9"/>
    <x v="1"/>
  </r>
  <r>
    <s v="TX501573"/>
    <s v="Jeans"/>
    <n v="4"/>
    <n v="62.4"/>
    <n v="249.6"/>
    <d v="2025-02-28T00:00:00"/>
    <d v="2025-03-03T00:00:00"/>
    <s v="F"/>
    <x v="0"/>
    <n v="3"/>
    <s v="California"/>
    <s v="Riverside County"/>
    <n v="3"/>
    <n v="9"/>
    <x v="2"/>
  </r>
  <r>
    <s v="TX501574"/>
    <s v="Bikinis"/>
    <n v="5"/>
    <n v="24.7"/>
    <n v="123.5"/>
    <d v="2025-02-28T00:00:00"/>
    <d v="2025-03-01T00:00:00"/>
    <s v="F"/>
    <x v="0"/>
    <n v="4"/>
    <s v="California"/>
    <s v="Sacramento County"/>
    <n v="1"/>
    <n v="9"/>
    <x v="2"/>
  </r>
  <r>
    <s v="TX501575"/>
    <s v="Tank Tops"/>
    <n v="5"/>
    <n v="61.7"/>
    <n v="308.5"/>
    <d v="2025-02-28T00:00:00"/>
    <d v="2025-03-02T00:00:00"/>
    <s v="F"/>
    <x v="2"/>
    <n v="4"/>
    <s v="California"/>
    <s v="San Diego County"/>
    <n v="2"/>
    <n v="9"/>
    <x v="2"/>
  </r>
  <r>
    <s v="TX501576"/>
    <s v="T-Shirts"/>
    <n v="5"/>
    <n v="18.2"/>
    <n v="91"/>
    <d v="2025-02-28T00:00:00"/>
    <d v="2025-03-02T00:00:00"/>
    <s v="F"/>
    <x v="3"/>
    <n v="4"/>
    <s v="California"/>
    <s v="San Diego County"/>
    <n v="2"/>
    <n v="9"/>
    <x v="2"/>
  </r>
  <r>
    <s v="TX501577"/>
    <s v="Bikinis"/>
    <n v="4"/>
    <n v="37.200000000000003"/>
    <n v="148.80000000000001"/>
    <d v="2025-02-28T00:00:00"/>
    <d v="2025-03-06T00:00:00"/>
    <s v="F"/>
    <x v="0"/>
    <n v="4"/>
    <s v="California"/>
    <s v="San Diego County"/>
    <n v="6"/>
    <n v="9"/>
    <x v="2"/>
  </r>
  <r>
    <s v="TX501578"/>
    <s v="Sundresses"/>
    <n v="3"/>
    <n v="53.5"/>
    <n v="160.5"/>
    <d v="2025-02-28T00:00:00"/>
    <d v="2025-03-02T00:00:00"/>
    <s v="F"/>
    <x v="1"/>
    <n v="5"/>
    <s v="California"/>
    <s v="San Mateo County"/>
    <n v="2"/>
    <n v="9"/>
    <x v="2"/>
  </r>
  <r>
    <s v="TX501579"/>
    <s v="T-Shirts"/>
    <n v="3"/>
    <n v="43.6"/>
    <n v="130.80000000000001"/>
    <d v="2025-02-28T00:00:00"/>
    <d v="2025-02-28T00:00:00"/>
    <s v="F"/>
    <x v="0"/>
    <n v="4"/>
    <s v="California"/>
    <s v="San Mateo County"/>
    <n v="0"/>
    <n v="9"/>
    <x v="2"/>
  </r>
  <r>
    <s v="TX501580"/>
    <s v="Tank Tops"/>
    <n v="10"/>
    <n v="135"/>
    <n v="1350"/>
    <d v="2025-02-28T00:00:00"/>
    <d v="2025-03-02T00:00:00"/>
    <s v="F"/>
    <x v="0"/>
    <n v="5"/>
    <s v="California"/>
    <s v="San Mateo County"/>
    <n v="2"/>
    <n v="9"/>
    <x v="2"/>
  </r>
  <r>
    <s v="TX501581"/>
    <s v="T-Shirts"/>
    <n v="5"/>
    <n v="38.5"/>
    <n v="192.5"/>
    <d v="2025-02-28T00:00:00"/>
    <d v="2025-02-28T00:00:00"/>
    <s v="M"/>
    <x v="4"/>
    <n v="5"/>
    <s v="California"/>
    <s v="Santa Barbara County"/>
    <n v="0"/>
    <n v="9"/>
    <x v="1"/>
  </r>
  <r>
    <s v="TX501582"/>
    <s v="Sundresses"/>
    <n v="2"/>
    <n v="24"/>
    <n v="48"/>
    <d v="2025-02-28T00:00:00"/>
    <d v="2025-03-05T00:00:00"/>
    <s v="F"/>
    <x v="0"/>
    <n v="4"/>
    <s v="California"/>
    <s v="Santa Clara County"/>
    <n v="5"/>
    <n v="9"/>
    <x v="2"/>
  </r>
  <r>
    <s v="TX501583"/>
    <s v="Graphic Tees"/>
    <n v="3"/>
    <n v="28.2"/>
    <n v="84.6"/>
    <d v="2025-02-28T00:00:00"/>
    <d v="2025-03-02T00:00:00"/>
    <s v="M"/>
    <x v="0"/>
    <n v="1"/>
    <s v="California"/>
    <s v="Sonoma County"/>
    <n v="2"/>
    <n v="9"/>
    <x v="1"/>
  </r>
  <r>
    <s v="TX501584"/>
    <s v="Hoodies &amp; Sweatshirts"/>
    <n v="3"/>
    <n v="37.4"/>
    <n v="112.19999999999999"/>
    <d v="2025-02-28T00:00:00"/>
    <d v="2025-03-01T00:00:00"/>
    <s v="F"/>
    <x v="3"/>
    <n v="4"/>
    <s v="California"/>
    <s v="Contra Costa County"/>
    <n v="1"/>
    <n v="9"/>
    <x v="2"/>
  </r>
  <r>
    <s v="TX501585"/>
    <s v="Jeans"/>
    <n v="3"/>
    <n v="53.5"/>
    <n v="160.5"/>
    <d v="2025-02-28T00:00:00"/>
    <d v="2025-03-03T00:00:00"/>
    <s v=""/>
    <x v="4"/>
    <n v="2"/>
    <s v="California"/>
    <s v="Contra Costa County"/>
    <n v="3"/>
    <n v="9"/>
    <x v="0"/>
  </r>
  <r>
    <s v="TX501586"/>
    <s v="Maxi Dresses"/>
    <n v="5"/>
    <n v="36.200000000000003"/>
    <n v="181"/>
    <d v="2025-02-28T00:00:00"/>
    <d v="2025-03-01T00:00:00"/>
    <s v="M"/>
    <x v="1"/>
    <n v="5"/>
    <s v="California"/>
    <s v="Imperial County"/>
    <n v="1"/>
    <n v="9"/>
    <x v="1"/>
  </r>
  <r>
    <s v="TX501587"/>
    <s v="Shorts"/>
    <n v="8"/>
    <n v="31.9"/>
    <n v="255.2"/>
    <d v="2025-02-28T00:00:00"/>
    <d v="2025-03-01T00:00:00"/>
    <s v="F"/>
    <x v="4"/>
    <n v="4"/>
    <s v="California"/>
    <s v="Los Angeles County"/>
    <n v="1"/>
    <n v="9"/>
    <x v="2"/>
  </r>
  <r>
    <s v="TX501588"/>
    <s v="T-Shirts"/>
    <n v="3"/>
    <n v="21.3"/>
    <n v="63.900000000000006"/>
    <d v="2025-02-28T00:00:00"/>
    <d v="2025-03-01T00:00:00"/>
    <s v="M"/>
    <x v="0"/>
    <n v="5"/>
    <s v="California"/>
    <s v="Los Angeles County"/>
    <n v="1"/>
    <n v="9"/>
    <x v="1"/>
  </r>
  <r>
    <s v="TX501589"/>
    <s v="T-Shirts"/>
    <n v="1"/>
    <n v="36.299999999999997"/>
    <n v="36.299999999999997"/>
    <d v="2025-02-28T00:00:00"/>
    <d v="2025-03-02T00:00:00"/>
    <s v="O"/>
    <x v="4"/>
    <n v="4"/>
    <s v="California"/>
    <s v="Los Angeles County"/>
    <n v="2"/>
    <n v="9"/>
    <x v="3"/>
  </r>
  <r>
    <s v="TX501590"/>
    <s v="Jeans"/>
    <n v="3"/>
    <n v="110.5"/>
    <n v="331.5"/>
    <d v="2025-02-28T00:00:00"/>
    <d v="2025-03-01T00:00:00"/>
    <s v="F"/>
    <x v="0"/>
    <n v="1"/>
    <s v="California"/>
    <s v="Los Angeles County"/>
    <n v="1"/>
    <n v="9"/>
    <x v="2"/>
  </r>
  <r>
    <s v="TX501591"/>
    <s v="Bikinis"/>
    <n v="7"/>
    <n v="32.6"/>
    <n v="228.20000000000002"/>
    <d v="2025-02-28T00:00:00"/>
    <d v="2025-03-02T00:00:00"/>
    <s v="F"/>
    <x v="0"/>
    <n v="3"/>
    <s v="California"/>
    <s v="Los Angeles County"/>
    <n v="2"/>
    <n v="9"/>
    <x v="2"/>
  </r>
  <r>
    <s v="TX501592"/>
    <s v="Sandals"/>
    <n v="3"/>
    <n v="55.6"/>
    <n v="166.8"/>
    <d v="2025-03-01T00:00:00"/>
    <d v="2025-03-14T00:00:00"/>
    <s v="F"/>
    <x v="0"/>
    <n v="4"/>
    <s v="California"/>
    <s v="Los Angeles County"/>
    <n v="13"/>
    <n v="9"/>
    <x v="2"/>
  </r>
  <r>
    <s v="TX501593"/>
    <s v="Tank Tops"/>
    <n v="4"/>
    <n v="38"/>
    <n v="152"/>
    <d v="2025-03-01T00:00:00"/>
    <d v="2025-03-02T00:00:00"/>
    <s v="F"/>
    <x v="3"/>
    <n v="5"/>
    <s v="California"/>
    <s v="Placer County"/>
    <n v="1"/>
    <n v="9"/>
    <x v="2"/>
  </r>
  <r>
    <s v="TX501594"/>
    <s v="Bikinis"/>
    <n v="2"/>
    <n v="51.8"/>
    <n v="103.6"/>
    <d v="2025-03-01T00:00:00"/>
    <d v="2025-03-07T00:00:00"/>
    <s v="M"/>
    <x v="1"/>
    <n v="2"/>
    <s v="California"/>
    <s v="Sacramento County"/>
    <n v="6"/>
    <n v="9"/>
    <x v="1"/>
  </r>
  <r>
    <s v="TX501595"/>
    <s v="Maxi Dresses"/>
    <n v="8"/>
    <n v="28.7"/>
    <n v="229.6"/>
    <d v="2025-03-01T00:00:00"/>
    <d v="2025-03-06T00:00:00"/>
    <s v="F"/>
    <x v="0"/>
    <n v="4"/>
    <s v="California"/>
    <s v="Sacramento County"/>
    <n v="5"/>
    <n v="9"/>
    <x v="2"/>
  </r>
  <r>
    <s v="TX501596"/>
    <s v="Jeans"/>
    <n v="12"/>
    <n v="52.2"/>
    <n v="626.40000000000009"/>
    <d v="2025-03-01T00:00:00"/>
    <d v="2025-03-01T00:00:00"/>
    <s v="M"/>
    <x v="0"/>
    <n v="3"/>
    <s v="California"/>
    <s v="Sacramento County"/>
    <n v="0"/>
    <n v="9"/>
    <x v="1"/>
  </r>
  <r>
    <s v="TX501597"/>
    <s v="Tank Tops"/>
    <n v="2"/>
    <n v="68.2"/>
    <n v="136.4"/>
    <d v="2025-03-01T00:00:00"/>
    <d v="2025-03-02T00:00:00"/>
    <s v=""/>
    <x v="2"/>
    <n v="4"/>
    <s v="California"/>
    <s v="San Bernardino County"/>
    <n v="1"/>
    <n v="9"/>
    <x v="0"/>
  </r>
  <r>
    <s v="TX501598"/>
    <s v="Shorts"/>
    <n v="3"/>
    <n v="34"/>
    <n v="102"/>
    <d v="2025-03-01T00:00:00"/>
    <d v="2025-03-05T00:00:00"/>
    <s v="F"/>
    <x v="0"/>
    <n v="4"/>
    <s v="California"/>
    <s v="San Diego County"/>
    <n v="4"/>
    <n v="9"/>
    <x v="2"/>
  </r>
  <r>
    <s v="TX501599"/>
    <s v="T-Shirts"/>
    <n v="3"/>
    <n v="19.100000000000001"/>
    <n v="57.300000000000004"/>
    <d v="2025-03-01T00:00:00"/>
    <d v="2025-03-02T00:00:00"/>
    <s v="F"/>
    <x v="4"/>
    <n v="4"/>
    <s v="California"/>
    <s v="San Diego County"/>
    <n v="1"/>
    <n v="9"/>
    <x v="2"/>
  </r>
  <r>
    <s v="TX501600"/>
    <s v="Sandals"/>
    <n v="8"/>
    <n v="34"/>
    <n v="272"/>
    <d v="2025-03-01T00:00:00"/>
    <d v="2025-03-09T00:00:00"/>
    <s v="F"/>
    <x v="4"/>
    <n v="4"/>
    <s v="California"/>
    <s v="San Diego County"/>
    <n v="8"/>
    <n v="9"/>
    <x v="2"/>
  </r>
  <r>
    <s v="TX501601"/>
    <s v="Casual Dresses"/>
    <n v="2"/>
    <n v="109.1"/>
    <n v="218.2"/>
    <d v="2025-03-01T00:00:00"/>
    <d v="2025-03-03T00:00:00"/>
    <s v="M"/>
    <x v="0"/>
    <n v="5"/>
    <s v="California"/>
    <s v="San Diego County"/>
    <n v="2"/>
    <n v="9"/>
    <x v="1"/>
  </r>
  <r>
    <s v="TX501602"/>
    <s v="Leggings"/>
    <n v="2"/>
    <n v="64.8"/>
    <n v="129.6"/>
    <d v="2025-03-01T00:00:00"/>
    <d v="2025-03-03T00:00:00"/>
    <s v="M"/>
    <x v="0"/>
    <n v="5"/>
    <s v="California"/>
    <s v="San Diego County"/>
    <n v="2"/>
    <n v="9"/>
    <x v="1"/>
  </r>
  <r>
    <s v="TX501603"/>
    <s v="Bikinis"/>
    <n v="2"/>
    <n v="21.1"/>
    <n v="42.2"/>
    <d v="2025-03-01T00:00:00"/>
    <d v="2025-03-01T00:00:00"/>
    <s v="F"/>
    <x v="1"/>
    <n v="4"/>
    <s v="California"/>
    <s v="Santa Clara County"/>
    <n v="0"/>
    <n v="9"/>
    <x v="2"/>
  </r>
  <r>
    <s v="TX501604"/>
    <s v="Shorts"/>
    <n v="8"/>
    <n v="21.3"/>
    <n v="170.4"/>
    <d v="2025-03-01T00:00:00"/>
    <d v="2025-03-03T00:00:00"/>
    <s v="M"/>
    <x v="3"/>
    <n v="3"/>
    <s v="California"/>
    <s v="Sonoma County"/>
    <n v="2"/>
    <n v="9"/>
    <x v="1"/>
  </r>
  <r>
    <s v="TX501605"/>
    <s v="Sundresses"/>
    <n v="3"/>
    <n v="24.3"/>
    <n v="72.900000000000006"/>
    <d v="2025-03-01T00:00:00"/>
    <d v="2025-03-02T00:00:00"/>
    <s v="M"/>
    <x v="1"/>
    <n v="4"/>
    <s v="California"/>
    <s v="Stanislaus County"/>
    <n v="1"/>
    <n v="9"/>
    <x v="1"/>
  </r>
  <r>
    <s v="TX501606"/>
    <s v="T-Shirts"/>
    <n v="1"/>
    <n v="43.3"/>
    <n v="43.3"/>
    <d v="2025-03-01T00:00:00"/>
    <d v="2025-03-05T00:00:00"/>
    <s v="M"/>
    <x v="1"/>
    <n v="3"/>
    <s v="California"/>
    <s v="Ventura County"/>
    <n v="4"/>
    <n v="9"/>
    <x v="1"/>
  </r>
  <r>
    <s v="TX501607"/>
    <s v="Sundresses"/>
    <n v="3"/>
    <n v="41"/>
    <n v="123"/>
    <d v="2025-03-01T00:00:00"/>
    <d v="2025-03-02T00:00:00"/>
    <s v="F"/>
    <x v="3"/>
    <n v="2"/>
    <s v="California"/>
    <s v="Alameda County"/>
    <n v="1"/>
    <n v="9"/>
    <x v="2"/>
  </r>
  <r>
    <s v="TX501608"/>
    <s v="Sunglasses"/>
    <n v="3"/>
    <n v="54.1"/>
    <n v="162.30000000000001"/>
    <d v="2025-03-01T00:00:00"/>
    <d v="2025-03-03T00:00:00"/>
    <s v="F"/>
    <x v="4"/>
    <n v="4"/>
    <s v="California"/>
    <s v="Alameda County"/>
    <n v="2"/>
    <n v="9"/>
    <x v="2"/>
  </r>
  <r>
    <s v="TX501609"/>
    <s v="Maxi Dresses"/>
    <n v="2"/>
    <n v="39"/>
    <n v="78"/>
    <d v="2025-03-01T00:00:00"/>
    <d v="2025-03-02T00:00:00"/>
    <s v="M"/>
    <x v="1"/>
    <n v="5"/>
    <s v="California"/>
    <s v="Contra Costa County"/>
    <n v="1"/>
    <n v="9"/>
    <x v="1"/>
  </r>
  <r>
    <s v="TX501610"/>
    <s v="T-Shirts"/>
    <n v="2"/>
    <n v="40.299999999999997"/>
    <n v="80.599999999999994"/>
    <d v="2025-03-01T00:00:00"/>
    <d v="2025-03-03T00:00:00"/>
    <s v="M"/>
    <x v="3"/>
    <n v="4"/>
    <s v="California"/>
    <s v="Glenn County"/>
    <n v="2"/>
    <n v="9"/>
    <x v="1"/>
  </r>
  <r>
    <s v="TX501611"/>
    <s v="T-Shirts"/>
    <n v="3"/>
    <n v="24.1"/>
    <n v="72.300000000000011"/>
    <d v="2025-03-01T00:00:00"/>
    <d v="2025-03-02T00:00:00"/>
    <s v="M"/>
    <x v="0"/>
    <n v="5"/>
    <s v="California"/>
    <s v="Kings County"/>
    <n v="1"/>
    <n v="9"/>
    <x v="1"/>
  </r>
  <r>
    <s v="TX501612"/>
    <s v="Jeans"/>
    <n v="5"/>
    <n v="52.3"/>
    <n v="261.5"/>
    <d v="2025-03-01T00:00:00"/>
    <d v="2025-03-02T00:00:00"/>
    <s v="M"/>
    <x v="2"/>
    <n v="4"/>
    <s v="California"/>
    <s v="Los Angeles County"/>
    <n v="1"/>
    <n v="9"/>
    <x v="1"/>
  </r>
  <r>
    <s v="TX501613"/>
    <s v="Casual Dresses"/>
    <n v="4"/>
    <n v="68.8"/>
    <n v="275.2"/>
    <d v="2025-03-01T00:00:00"/>
    <d v="2025-03-05T00:00:00"/>
    <s v="F"/>
    <x v="4"/>
    <n v="5"/>
    <s v="California"/>
    <s v="Los Angeles County"/>
    <n v="4"/>
    <n v="9"/>
    <x v="2"/>
  </r>
  <r>
    <s v="TX501614"/>
    <s v="Sneakers"/>
    <n v="2"/>
    <n v="128.80000000000001"/>
    <n v="257.60000000000002"/>
    <d v="2025-03-02T00:00:00"/>
    <d v="2025-03-05T00:00:00"/>
    <s v="F"/>
    <x v="1"/>
    <n v="3"/>
    <s v="California"/>
    <s v="Los Angeles County"/>
    <n v="3"/>
    <n v="10"/>
    <x v="2"/>
  </r>
  <r>
    <s v="TX501615"/>
    <s v="Crop Tops"/>
    <n v="5"/>
    <n v="48.2"/>
    <n v="241"/>
    <d v="2025-03-02T00:00:00"/>
    <d v="2025-03-04T00:00:00"/>
    <s v="F"/>
    <x v="3"/>
    <n v="4"/>
    <s v="California"/>
    <s v="Los Angeles County"/>
    <n v="2"/>
    <n v="10"/>
    <x v="2"/>
  </r>
  <r>
    <s v="TX501616"/>
    <s v="Bikinis"/>
    <n v="1"/>
    <n v="39.700000000000003"/>
    <n v="39.700000000000003"/>
    <d v="2025-03-02T00:00:00"/>
    <d v="2025-03-04T00:00:00"/>
    <s v="F"/>
    <x v="0"/>
    <n v="3"/>
    <s v="California"/>
    <s v="Los Angeles County"/>
    <n v="2"/>
    <n v="10"/>
    <x v="2"/>
  </r>
  <r>
    <s v="TX501617"/>
    <s v="Sundresses"/>
    <n v="1"/>
    <n v="59.7"/>
    <n v="59.7"/>
    <d v="2025-03-02T00:00:00"/>
    <d v="2025-03-05T00:00:00"/>
    <s v="F"/>
    <x v="4"/>
    <n v="4"/>
    <s v="California"/>
    <s v="Los Angeles County"/>
    <n v="3"/>
    <n v="10"/>
    <x v="2"/>
  </r>
  <r>
    <s v="TX501618"/>
    <s v="Jeans"/>
    <n v="1"/>
    <n v="48.3"/>
    <n v="48.3"/>
    <d v="2025-03-02T00:00:00"/>
    <d v="2025-03-16T00:00:00"/>
    <s v="O"/>
    <x v="0"/>
    <n v="5"/>
    <s v="California"/>
    <s v="Los Angeles County"/>
    <n v="14"/>
    <n v="10"/>
    <x v="3"/>
  </r>
  <r>
    <s v="TX501619"/>
    <s v="T-Shirts"/>
    <n v="3"/>
    <n v="45.5"/>
    <n v="136.5"/>
    <d v="2025-03-02T00:00:00"/>
    <d v="2025-03-04T00:00:00"/>
    <s v="M"/>
    <x v="2"/>
    <n v="3"/>
    <s v="California"/>
    <s v="Los Angeles County"/>
    <n v="2"/>
    <n v="10"/>
    <x v="1"/>
  </r>
  <r>
    <s v="TX501620"/>
    <s v="Sundresses"/>
    <n v="27"/>
    <n v="51"/>
    <n v="1377"/>
    <d v="2025-03-02T00:00:00"/>
    <d v="2025-03-02T00:00:00"/>
    <s v="F"/>
    <x v="2"/>
    <n v="4"/>
    <s v="California"/>
    <s v="Los Angeles County"/>
    <n v="0"/>
    <n v="10"/>
    <x v="2"/>
  </r>
  <r>
    <s v="TX501621"/>
    <s v="Graphic Tees"/>
    <n v="6"/>
    <n v="20.399999999999999"/>
    <n v="122.39999999999999"/>
    <d v="2025-03-02T00:00:00"/>
    <d v="2025-03-03T00:00:00"/>
    <s v="M"/>
    <x v="2"/>
    <n v="4"/>
    <s v="California"/>
    <s v="Los Angeles County"/>
    <n v="1"/>
    <n v="10"/>
    <x v="1"/>
  </r>
  <r>
    <s v="TX501622"/>
    <s v="Bikinis"/>
    <n v="2"/>
    <n v="30.4"/>
    <n v="60.8"/>
    <d v="2025-03-02T00:00:00"/>
    <d v="2025-03-04T00:00:00"/>
    <s v="M"/>
    <x v="2"/>
    <n v="4"/>
    <s v="California"/>
    <s v="Los Angeles County"/>
    <n v="2"/>
    <n v="10"/>
    <x v="1"/>
  </r>
  <r>
    <s v="TX501623"/>
    <s v="Hoodies &amp; Sweatshirts"/>
    <n v="2"/>
    <n v="71.5"/>
    <n v="143"/>
    <d v="2025-03-02T00:00:00"/>
    <d v="2025-03-06T00:00:00"/>
    <s v="F"/>
    <x v="0"/>
    <n v="4"/>
    <s v="California"/>
    <s v="Los Angeles County"/>
    <n v="4"/>
    <n v="10"/>
    <x v="2"/>
  </r>
  <r>
    <s v="TX501624"/>
    <s v="T-Shirts"/>
    <n v="6"/>
    <n v="18"/>
    <n v="108"/>
    <d v="2025-03-02T00:00:00"/>
    <d v="2025-03-03T00:00:00"/>
    <s v="O"/>
    <x v="1"/>
    <n v="5"/>
    <s v="California"/>
    <s v="Sacramento County"/>
    <n v="1"/>
    <n v="10"/>
    <x v="3"/>
  </r>
  <r>
    <s v="TX501625"/>
    <s v="Crop Tops"/>
    <n v="11"/>
    <n v="45.6"/>
    <n v="501.6"/>
    <d v="2025-03-02T00:00:00"/>
    <d v="2025-03-03T00:00:00"/>
    <s v="O"/>
    <x v="1"/>
    <n v="3"/>
    <s v="California"/>
    <s v="San Bernardino County"/>
    <n v="1"/>
    <n v="10"/>
    <x v="3"/>
  </r>
  <r>
    <s v="TX501626"/>
    <s v="Sundresses"/>
    <n v="1"/>
    <n v="31.8"/>
    <n v="31.8"/>
    <d v="2025-03-02T00:00:00"/>
    <d v="2025-03-06T00:00:00"/>
    <s v="F"/>
    <x v="0"/>
    <n v="5"/>
    <s v="California"/>
    <s v="San Bernardino County"/>
    <n v="4"/>
    <n v="10"/>
    <x v="2"/>
  </r>
  <r>
    <s v="TX501627"/>
    <s v="T-Shirts"/>
    <n v="5"/>
    <n v="19.899999999999999"/>
    <n v="99.5"/>
    <d v="2025-03-02T00:00:00"/>
    <d v="2025-03-03T00:00:00"/>
    <s v="F"/>
    <x v="1"/>
    <n v="4"/>
    <s v="California"/>
    <s v="San Bernardino County"/>
    <n v="1"/>
    <n v="10"/>
    <x v="2"/>
  </r>
  <r>
    <s v="TX501628"/>
    <s v="Casual Dresses"/>
    <n v="9"/>
    <n v="52.1"/>
    <n v="468.90000000000003"/>
    <d v="2025-03-02T00:00:00"/>
    <d v="2025-03-04T00:00:00"/>
    <s v="M"/>
    <x v="0"/>
    <n v="4"/>
    <s v="California"/>
    <s v="San Diego County"/>
    <n v="2"/>
    <n v="10"/>
    <x v="1"/>
  </r>
  <r>
    <s v="TX501629"/>
    <s v="Tank Tops"/>
    <n v="7"/>
    <n v="45.9"/>
    <n v="321.3"/>
    <d v="2025-03-02T00:00:00"/>
    <d v="2025-03-03T00:00:00"/>
    <s v="M"/>
    <x v="0"/>
    <n v="3"/>
    <s v="California"/>
    <s v="San Diego County"/>
    <n v="1"/>
    <n v="10"/>
    <x v="1"/>
  </r>
  <r>
    <s v="TX501630"/>
    <s v="Tank Tops"/>
    <n v="10"/>
    <n v="115.9"/>
    <n v="1159"/>
    <d v="2025-03-02T00:00:00"/>
    <d v="2025-03-05T00:00:00"/>
    <s v="F"/>
    <x v="1"/>
    <n v="4"/>
    <s v="California"/>
    <s v="San Diego County"/>
    <n v="3"/>
    <n v="10"/>
    <x v="2"/>
  </r>
  <r>
    <s v="TX501631"/>
    <s v="Jeans"/>
    <n v="9"/>
    <n v="86"/>
    <n v="774"/>
    <d v="2025-03-02T00:00:00"/>
    <d v="2025-03-07T00:00:00"/>
    <s v="F"/>
    <x v="0"/>
    <n v="3"/>
    <s v="California"/>
    <s v="San Diego County"/>
    <n v="5"/>
    <n v="10"/>
    <x v="2"/>
  </r>
  <r>
    <s v="TX501632"/>
    <s v="Hoodies &amp; Sweatshirts"/>
    <n v="7"/>
    <n v="73.599999999999994"/>
    <n v="515.19999999999993"/>
    <d v="2025-03-02T00:00:00"/>
    <d v="2025-03-04T00:00:00"/>
    <s v="F"/>
    <x v="0"/>
    <n v="4"/>
    <s v="California"/>
    <s v="San Francisco"/>
    <n v="2"/>
    <n v="10"/>
    <x v="2"/>
  </r>
  <r>
    <s v="TX501633"/>
    <s v="Bikinis"/>
    <n v="3"/>
    <n v="26.7"/>
    <n v="80.099999999999994"/>
    <d v="2025-03-02T00:00:00"/>
    <d v="2025-03-06T00:00:00"/>
    <s v="F"/>
    <x v="0"/>
    <n v="4"/>
    <s v="California"/>
    <s v="Santa Clara County"/>
    <n v="4"/>
    <n v="10"/>
    <x v="2"/>
  </r>
  <r>
    <s v="TX501634"/>
    <s v="T-Shirts"/>
    <n v="7"/>
    <n v="46.6"/>
    <n v="326.2"/>
    <d v="2025-03-02T00:00:00"/>
    <d v="2025-03-04T00:00:00"/>
    <s v=""/>
    <x v="3"/>
    <n v="4"/>
    <s v="California"/>
    <s v="Santa Clara County"/>
    <n v="2"/>
    <n v="10"/>
    <x v="0"/>
  </r>
  <r>
    <s v="TX501635"/>
    <s v="Workout Tops"/>
    <n v="3"/>
    <n v="84.6"/>
    <n v="253.79999999999998"/>
    <d v="2025-03-02T00:00:00"/>
    <d v="2025-03-04T00:00:00"/>
    <s v="M"/>
    <x v="4"/>
    <n v="4"/>
    <s v="California"/>
    <s v="Santa Clara County"/>
    <n v="2"/>
    <n v="10"/>
    <x v="1"/>
  </r>
  <r>
    <s v="TX501636"/>
    <s v="Hoodies &amp; Sweatshirts"/>
    <n v="14"/>
    <n v="41.5"/>
    <n v="581"/>
    <d v="2025-03-02T00:00:00"/>
    <d v="2025-03-16T00:00:00"/>
    <s v="M"/>
    <x v="1"/>
    <n v="4"/>
    <s v="California"/>
    <s v="Shasta County"/>
    <n v="14"/>
    <n v="10"/>
    <x v="1"/>
  </r>
  <r>
    <s v="TX501637"/>
    <s v="T-Shirts"/>
    <n v="1"/>
    <n v="32.799999999999997"/>
    <n v="32.799999999999997"/>
    <d v="2025-03-02T00:00:00"/>
    <d v="2025-03-05T00:00:00"/>
    <s v="M"/>
    <x v="0"/>
    <n v="5"/>
    <s v="California"/>
    <s v="Siskiyou County"/>
    <n v="3"/>
    <n v="10"/>
    <x v="1"/>
  </r>
  <r>
    <s v="TX501638"/>
    <s v="Graphic Tees"/>
    <n v="7"/>
    <n v="46.7"/>
    <n v="326.90000000000003"/>
    <d v="2025-03-02T00:00:00"/>
    <d v="2025-03-04T00:00:00"/>
    <s v="O"/>
    <x v="0"/>
    <n v="5"/>
    <s v="California"/>
    <s v="Sonoma County"/>
    <n v="2"/>
    <n v="10"/>
    <x v="3"/>
  </r>
  <r>
    <s v="TX501639"/>
    <s v="Crop Tops"/>
    <n v="7"/>
    <n v="21"/>
    <n v="147"/>
    <d v="2025-03-02T00:00:00"/>
    <d v="2025-03-05T00:00:00"/>
    <s v="M"/>
    <x v="2"/>
    <n v="3"/>
    <s v="California"/>
    <s v="Alameda County"/>
    <n v="3"/>
    <n v="10"/>
    <x v="1"/>
  </r>
  <r>
    <s v="TX501640"/>
    <s v="Sandals"/>
    <n v="7"/>
    <n v="29.4"/>
    <n v="205.79999999999998"/>
    <d v="2025-03-02T00:00:00"/>
    <d v="2025-03-02T00:00:00"/>
    <s v="M"/>
    <x v="3"/>
    <n v="5"/>
    <s v="California"/>
    <s v="Alameda County"/>
    <n v="0"/>
    <n v="10"/>
    <x v="1"/>
  </r>
  <r>
    <s v="TX501641"/>
    <s v="Crop Tops"/>
    <n v="2"/>
    <n v="32.299999999999997"/>
    <n v="64.599999999999994"/>
    <d v="2025-03-02T00:00:00"/>
    <d v="2025-03-03T00:00:00"/>
    <s v="M"/>
    <x v="0"/>
    <n v="5"/>
    <s v="California"/>
    <s v="Alameda County"/>
    <n v="1"/>
    <n v="10"/>
    <x v="1"/>
  </r>
  <r>
    <s v="TX501642"/>
    <s v="Jeans"/>
    <n v="1"/>
    <n v="42.2"/>
    <n v="42.2"/>
    <d v="2025-03-03T00:00:00"/>
    <d v="2025-03-05T00:00:00"/>
    <s v="F"/>
    <x v="0"/>
    <n v="5"/>
    <s v="California"/>
    <s v="Alameda County"/>
    <n v="2"/>
    <n v="10"/>
    <x v="2"/>
  </r>
  <r>
    <s v="TX501643"/>
    <s v="Jeans"/>
    <n v="1"/>
    <n v="53.7"/>
    <n v="53.7"/>
    <d v="2025-03-03T00:00:00"/>
    <d v="2025-03-05T00:00:00"/>
    <s v="M"/>
    <x v="1"/>
    <n v="3"/>
    <s v="California"/>
    <s v="Contra Costa County"/>
    <n v="2"/>
    <n v="10"/>
    <x v="1"/>
  </r>
  <r>
    <s v="TX501644"/>
    <s v="Sneakers"/>
    <n v="2"/>
    <n v="123.9"/>
    <n v="247.8"/>
    <d v="2025-03-03T00:00:00"/>
    <d v="2025-03-06T00:00:00"/>
    <s v="M"/>
    <x v="2"/>
    <n v="4"/>
    <s v="California"/>
    <s v="Contra Costa County"/>
    <n v="3"/>
    <n v="10"/>
    <x v="1"/>
  </r>
  <r>
    <s v="TX501645"/>
    <s v="Graphic Tees"/>
    <n v="3"/>
    <n v="35.9"/>
    <n v="107.69999999999999"/>
    <d v="2025-03-03T00:00:00"/>
    <d v="2025-03-05T00:00:00"/>
    <s v="M"/>
    <x v="2"/>
    <n v="4"/>
    <s v="California"/>
    <s v="Kern County"/>
    <n v="2"/>
    <n v="10"/>
    <x v="1"/>
  </r>
  <r>
    <s v="TX501646"/>
    <s v="Graphic Tees"/>
    <n v="2"/>
    <n v="23.6"/>
    <n v="47.2"/>
    <d v="2025-03-03T00:00:00"/>
    <d v="2025-03-06T00:00:00"/>
    <s v="M"/>
    <x v="0"/>
    <n v="5"/>
    <s v="California"/>
    <s v="Los Angeles County"/>
    <n v="3"/>
    <n v="10"/>
    <x v="1"/>
  </r>
  <r>
    <s v="TX501647"/>
    <s v="Crop Tops"/>
    <n v="35"/>
    <n v="45.7"/>
    <n v="1599.5"/>
    <d v="2025-03-03T00:00:00"/>
    <d v="2025-03-04T00:00:00"/>
    <s v="M"/>
    <x v="0"/>
    <n v="3"/>
    <s v="California"/>
    <s v="Los Angeles County"/>
    <n v="1"/>
    <n v="10"/>
    <x v="1"/>
  </r>
  <r>
    <s v="TX501648"/>
    <s v="Jeans"/>
    <n v="11"/>
    <n v="118.3"/>
    <n v="1301.3"/>
    <d v="2025-03-03T00:00:00"/>
    <d v="2025-03-05T00:00:00"/>
    <s v="M"/>
    <x v="4"/>
    <n v="5"/>
    <s v="California"/>
    <s v="Los Angeles County"/>
    <n v="2"/>
    <n v="10"/>
    <x v="1"/>
  </r>
  <r>
    <s v="TX501649"/>
    <s v="Jewelry"/>
    <n v="1"/>
    <n v="36"/>
    <n v="36"/>
    <d v="2025-03-03T00:00:00"/>
    <d v="2025-03-04T00:00:00"/>
    <s v="F"/>
    <x v="0"/>
    <n v="3"/>
    <s v="California"/>
    <s v="Los Angeles County"/>
    <n v="1"/>
    <n v="10"/>
    <x v="2"/>
  </r>
  <r>
    <s v="TX501650"/>
    <s v="T-Shirts"/>
    <n v="2"/>
    <n v="37.1"/>
    <n v="74.2"/>
    <d v="2025-03-03T00:00:00"/>
    <d v="2025-03-06T00:00:00"/>
    <s v="F"/>
    <x v="2"/>
    <n v="4"/>
    <s v="California"/>
    <s v="Los Angeles County"/>
    <n v="3"/>
    <n v="10"/>
    <x v="2"/>
  </r>
  <r>
    <s v="TX501651"/>
    <s v="Leggings"/>
    <n v="3"/>
    <n v="45.1"/>
    <n v="135.30000000000001"/>
    <d v="2025-03-03T00:00:00"/>
    <d v="2025-03-05T00:00:00"/>
    <s v="F"/>
    <x v="1"/>
    <n v="5"/>
    <s v="California"/>
    <s v="Los Angeles County"/>
    <n v="2"/>
    <n v="10"/>
    <x v="2"/>
  </r>
  <r>
    <s v="TX501652"/>
    <s v="Sandals"/>
    <n v="16"/>
    <n v="37.9"/>
    <n v="606.4"/>
    <d v="2025-03-03T00:00:00"/>
    <d v="2025-03-04T00:00:00"/>
    <s v="F"/>
    <x v="3"/>
    <n v="5"/>
    <s v="California"/>
    <s v="Los Angeles County"/>
    <n v="1"/>
    <n v="10"/>
    <x v="2"/>
  </r>
  <r>
    <s v="TX501653"/>
    <s v="Sneakers"/>
    <n v="2"/>
    <n v="121.6"/>
    <n v="243.2"/>
    <d v="2025-03-03T00:00:00"/>
    <d v="2025-03-06T00:00:00"/>
    <s v="M"/>
    <x v="3"/>
    <n v="5"/>
    <s v="California"/>
    <s v="Los Angeles County"/>
    <n v="3"/>
    <n v="10"/>
    <x v="1"/>
  </r>
  <r>
    <s v="TX501654"/>
    <s v="Sandals"/>
    <n v="7"/>
    <n v="38.200000000000003"/>
    <n v="267.40000000000003"/>
    <d v="2025-03-03T00:00:00"/>
    <d v="2025-03-06T00:00:00"/>
    <s v="F"/>
    <x v="0"/>
    <n v="4"/>
    <s v="California"/>
    <s v="Los Angeles County"/>
    <n v="3"/>
    <n v="10"/>
    <x v="2"/>
  </r>
  <r>
    <s v="TX501655"/>
    <s v="Pajama Sets"/>
    <n v="2"/>
    <n v="37.200000000000003"/>
    <n v="74.400000000000006"/>
    <d v="2025-03-03T00:00:00"/>
    <d v="2025-03-06T00:00:00"/>
    <s v="M"/>
    <x v="4"/>
    <n v="4"/>
    <s v="California"/>
    <s v="Los Angeles County"/>
    <n v="3"/>
    <n v="10"/>
    <x v="1"/>
  </r>
  <r>
    <s v="TX501656"/>
    <s v="Sneakers"/>
    <n v="4"/>
    <n v="115.7"/>
    <n v="462.8"/>
    <d v="2025-03-03T00:00:00"/>
    <d v="2025-03-06T00:00:00"/>
    <s v="F"/>
    <x v="1"/>
    <n v="4"/>
    <s v="California"/>
    <s v="Los Angeles County"/>
    <n v="3"/>
    <n v="10"/>
    <x v="2"/>
  </r>
  <r>
    <s v="TX501657"/>
    <s v="Sneakers"/>
    <n v="6"/>
    <n v="99.4"/>
    <n v="596.40000000000009"/>
    <d v="2025-03-03T00:00:00"/>
    <d v="2025-03-06T00:00:00"/>
    <s v="M"/>
    <x v="0"/>
    <n v="5"/>
    <s v="California"/>
    <s v="Los Angeles County"/>
    <n v="3"/>
    <n v="10"/>
    <x v="1"/>
  </r>
  <r>
    <s v="TX501658"/>
    <s v="Maxi Dresses"/>
    <n v="1"/>
    <n v="38.700000000000003"/>
    <n v="38.700000000000003"/>
    <d v="2025-03-03T00:00:00"/>
    <d v="2025-03-04T00:00:00"/>
    <s v="F"/>
    <x v="2"/>
    <n v="4"/>
    <s v="California"/>
    <s v="Orange County"/>
    <n v="1"/>
    <n v="10"/>
    <x v="2"/>
  </r>
  <r>
    <s v="TX501659"/>
    <s v="Graphic Tees"/>
    <n v="2"/>
    <n v="35.5"/>
    <n v="71"/>
    <d v="2025-03-03T00:00:00"/>
    <d v="2025-03-06T00:00:00"/>
    <s v="M"/>
    <x v="0"/>
    <n v="5"/>
    <s v="California"/>
    <s v="Orange County"/>
    <n v="3"/>
    <n v="10"/>
    <x v="1"/>
  </r>
  <r>
    <s v="TX501660"/>
    <s v="Sneakers"/>
    <n v="4"/>
    <n v="93.3"/>
    <n v="373.2"/>
    <d v="2025-03-03T00:00:00"/>
    <d v="2025-03-06T00:00:00"/>
    <s v="F"/>
    <x v="0"/>
    <n v="5"/>
    <s v="California"/>
    <s v="Sacramento County"/>
    <n v="3"/>
    <n v="10"/>
    <x v="2"/>
  </r>
  <r>
    <s v="TX501661"/>
    <s v="Sunglasses"/>
    <n v="1"/>
    <n v="31.4"/>
    <n v="31.4"/>
    <d v="2025-03-03T00:00:00"/>
    <d v="2025-03-08T00:00:00"/>
    <s v="F"/>
    <x v="2"/>
    <n v="5"/>
    <s v="California"/>
    <s v="Sacramento County"/>
    <n v="5"/>
    <n v="10"/>
    <x v="2"/>
  </r>
  <r>
    <s v="TX501662"/>
    <s v="Tank Tops"/>
    <n v="1"/>
    <n v="85.9"/>
    <n v="85.9"/>
    <d v="2025-03-03T00:00:00"/>
    <d v="2025-03-06T00:00:00"/>
    <s v="M"/>
    <x v="1"/>
    <n v="4"/>
    <s v="California"/>
    <s v="Sacramento County"/>
    <n v="3"/>
    <n v="10"/>
    <x v="1"/>
  </r>
  <r>
    <s v="TX501663"/>
    <s v="Jeans"/>
    <n v="8"/>
    <n v="41.7"/>
    <n v="333.6"/>
    <d v="2025-03-03T00:00:00"/>
    <d v="2025-03-11T00:00:00"/>
    <s v="M"/>
    <x v="0"/>
    <n v="5"/>
    <s v="California"/>
    <s v="San Bernardino County"/>
    <n v="8"/>
    <n v="10"/>
    <x v="1"/>
  </r>
  <r>
    <s v="TX501664"/>
    <s v="T-Shirts"/>
    <n v="4"/>
    <n v="31.5"/>
    <n v="126"/>
    <d v="2025-03-03T00:00:00"/>
    <d v="2025-03-04T00:00:00"/>
    <s v="F"/>
    <x v="0"/>
    <n v="4"/>
    <s v="California"/>
    <s v="San Bernardino County"/>
    <n v="1"/>
    <n v="10"/>
    <x v="2"/>
  </r>
  <r>
    <s v="TX501665"/>
    <s v="T-Shirts"/>
    <n v="2"/>
    <n v="36.299999999999997"/>
    <n v="72.599999999999994"/>
    <d v="2025-03-03T00:00:00"/>
    <d v="2025-03-04T00:00:00"/>
    <s v="F"/>
    <x v="0"/>
    <n v="2"/>
    <s v="California"/>
    <s v="San Diego County"/>
    <n v="1"/>
    <n v="10"/>
    <x v="2"/>
  </r>
  <r>
    <s v="TX501666"/>
    <s v="T-Shirts"/>
    <n v="3"/>
    <n v="33.4"/>
    <n v="100.19999999999999"/>
    <d v="2025-03-03T00:00:00"/>
    <d v="2025-03-04T00:00:00"/>
    <s v="F"/>
    <x v="3"/>
    <n v="4"/>
    <s v="California"/>
    <s v="San Francisco"/>
    <n v="1"/>
    <n v="10"/>
    <x v="2"/>
  </r>
  <r>
    <s v="TX501667"/>
    <s v="Sneakers"/>
    <n v="3"/>
    <n v="65.2"/>
    <n v="195.60000000000002"/>
    <d v="2025-03-03T00:00:00"/>
    <d v="2025-03-04T00:00:00"/>
    <s v="F"/>
    <x v="2"/>
    <n v="5"/>
    <s v="California"/>
    <s v="San Joaquin County"/>
    <n v="1"/>
    <n v="10"/>
    <x v="2"/>
  </r>
  <r>
    <s v="TX501668"/>
    <s v="T-Shirts"/>
    <n v="9"/>
    <n v="65.5"/>
    <n v="589.5"/>
    <d v="2025-03-03T00:00:00"/>
    <d v="2025-03-06T00:00:00"/>
    <s v="F"/>
    <x v="0"/>
    <n v="5"/>
    <s v="California"/>
    <s v="San Mateo County"/>
    <n v="3"/>
    <n v="10"/>
    <x v="2"/>
  </r>
  <r>
    <s v="TX501669"/>
    <s v="Jeans"/>
    <n v="3"/>
    <n v="52.8"/>
    <n v="158.39999999999998"/>
    <d v="2025-03-03T00:00:00"/>
    <d v="2025-03-06T00:00:00"/>
    <s v="M"/>
    <x v="2"/>
    <n v="4"/>
    <s v="California"/>
    <s v="San Mateo County"/>
    <n v="3"/>
    <n v="10"/>
    <x v="1"/>
  </r>
  <r>
    <s v="TX501670"/>
    <s v="Sundresses"/>
    <n v="5"/>
    <n v="24"/>
    <n v="120"/>
    <d v="2025-03-03T00:00:00"/>
    <d v="2025-03-07T00:00:00"/>
    <s v="M"/>
    <x v="0"/>
    <n v="3"/>
    <s v="California"/>
    <s v="Santa Clara County"/>
    <n v="4"/>
    <n v="10"/>
    <x v="1"/>
  </r>
  <r>
    <s v="TX501671"/>
    <s v="Workout Tops"/>
    <n v="3"/>
    <n v="51.2"/>
    <n v="153.60000000000002"/>
    <d v="2025-03-03T00:00:00"/>
    <d v="2025-03-04T00:00:00"/>
    <s v="F"/>
    <x v="0"/>
    <n v="4"/>
    <s v="California"/>
    <s v="Santa Cruz County"/>
    <n v="1"/>
    <n v="10"/>
    <x v="2"/>
  </r>
  <r>
    <s v="TX501672"/>
    <s v="Sandals"/>
    <n v="3"/>
    <n v="28.3"/>
    <n v="84.9"/>
    <d v="2025-03-03T00:00:00"/>
    <d v="2025-03-05T00:00:00"/>
    <s v="M"/>
    <x v="4"/>
    <n v="4"/>
    <s v="California"/>
    <s v="Stanislaus County"/>
    <n v="2"/>
    <n v="10"/>
    <x v="1"/>
  </r>
  <r>
    <s v="TX501673"/>
    <s v="Jeans"/>
    <n v="3"/>
    <n v="42.3"/>
    <n v="126.89999999999999"/>
    <d v="2025-03-03T00:00:00"/>
    <d v="2025-03-03T00:00:00"/>
    <s v="F"/>
    <x v="2"/>
    <n v="3"/>
    <s v="California"/>
    <s v="Stanislaus County"/>
    <n v="0"/>
    <n v="10"/>
    <x v="2"/>
  </r>
  <r>
    <s v="TX501674"/>
    <s v="Sneakers"/>
    <n v="8"/>
    <n v="163.30000000000001"/>
    <n v="1306.4000000000001"/>
    <d v="2025-03-04T00:00:00"/>
    <d v="2025-03-05T00:00:00"/>
    <s v="F"/>
    <x v="1"/>
    <n v="4"/>
    <s v="California"/>
    <s v="Ventura County"/>
    <n v="1"/>
    <n v="10"/>
    <x v="2"/>
  </r>
  <r>
    <s v="TX501675"/>
    <s v="Jeans"/>
    <n v="7"/>
    <n v="47.3"/>
    <n v="331.09999999999997"/>
    <d v="2025-03-04T00:00:00"/>
    <d v="2025-03-07T00:00:00"/>
    <s v="F"/>
    <x v="4"/>
    <n v="3"/>
    <s v="California"/>
    <s v="Alameda County"/>
    <n v="3"/>
    <n v="10"/>
    <x v="2"/>
  </r>
  <r>
    <s v="TX501676"/>
    <s v="T-Shirts"/>
    <n v="16"/>
    <n v="27.3"/>
    <n v="436.8"/>
    <d v="2025-03-04T00:00:00"/>
    <d v="2025-03-05T00:00:00"/>
    <s v="F"/>
    <x v="2"/>
    <n v="4"/>
    <s v="California"/>
    <s v="Alameda County"/>
    <n v="1"/>
    <n v="10"/>
    <x v="2"/>
  </r>
  <r>
    <s v="TX501677"/>
    <s v="Bikinis"/>
    <n v="6"/>
    <n v="34.9"/>
    <n v="209.39999999999998"/>
    <d v="2025-03-04T00:00:00"/>
    <d v="2025-03-15T00:00:00"/>
    <s v="F"/>
    <x v="0"/>
    <n v="4"/>
    <s v="California"/>
    <s v="Alameda County"/>
    <n v="11"/>
    <n v="10"/>
    <x v="2"/>
  </r>
  <r>
    <s v="TX501678"/>
    <s v="Jeans"/>
    <n v="2"/>
    <n v="53.9"/>
    <n v="107.8"/>
    <d v="2025-03-04T00:00:00"/>
    <d v="2025-03-07T00:00:00"/>
    <s v="O"/>
    <x v="0"/>
    <n v="2"/>
    <s v="California"/>
    <s v="Contra Costa County"/>
    <n v="3"/>
    <n v="10"/>
    <x v="3"/>
  </r>
  <r>
    <s v="TX501679"/>
    <s v="Sneakers"/>
    <n v="2"/>
    <n v="87.2"/>
    <n v="174.4"/>
    <d v="2025-03-04T00:00:00"/>
    <d v="2025-03-05T00:00:00"/>
    <s v="F"/>
    <x v="0"/>
    <n v="3"/>
    <s v="California"/>
    <s v="Contra Costa County"/>
    <n v="1"/>
    <n v="10"/>
    <x v="2"/>
  </r>
  <r>
    <s v="TX501680"/>
    <s v="Crop Tops"/>
    <n v="1"/>
    <n v="58.8"/>
    <n v="58.8"/>
    <d v="2025-03-04T00:00:00"/>
    <d v="2025-03-06T00:00:00"/>
    <s v="F"/>
    <x v="2"/>
    <n v="4"/>
    <s v="California"/>
    <s v="Humboldt County"/>
    <n v="2"/>
    <n v="10"/>
    <x v="2"/>
  </r>
  <r>
    <s v="TX501681"/>
    <s v="Sneakers"/>
    <n v="7"/>
    <n v="125.5"/>
    <n v="878.5"/>
    <d v="2025-03-04T00:00:00"/>
    <d v="2025-03-05T00:00:00"/>
    <s v="M"/>
    <x v="2"/>
    <n v="2"/>
    <s v="California"/>
    <s v="Kern County"/>
    <n v="1"/>
    <n v="10"/>
    <x v="1"/>
  </r>
  <r>
    <s v="TX501682"/>
    <s v="Tank Tops"/>
    <n v="4"/>
    <n v="124.6"/>
    <n v="498.4"/>
    <d v="2025-03-04T00:00:00"/>
    <d v="2025-03-06T00:00:00"/>
    <s v="F"/>
    <x v="0"/>
    <n v="3"/>
    <s v="California"/>
    <s v="Kern County"/>
    <n v="2"/>
    <n v="10"/>
    <x v="2"/>
  </r>
  <r>
    <s v="TX501683"/>
    <s v="Tank Tops"/>
    <n v="7"/>
    <n v="39.9"/>
    <n v="279.3"/>
    <d v="2025-03-04T00:00:00"/>
    <d v="2025-03-05T00:00:00"/>
    <s v="M"/>
    <x v="2"/>
    <n v="3"/>
    <s v="California"/>
    <s v="Los Angeles County"/>
    <n v="1"/>
    <n v="10"/>
    <x v="1"/>
  </r>
  <r>
    <s v="TX501684"/>
    <s v="Jeans"/>
    <n v="1"/>
    <n v="94.6"/>
    <n v="94.6"/>
    <d v="2025-03-04T00:00:00"/>
    <d v="2025-03-18T00:00:00"/>
    <s v="F"/>
    <x v="0"/>
    <n v="3"/>
    <s v="California"/>
    <s v="Los Angeles County"/>
    <n v="14"/>
    <n v="10"/>
    <x v="2"/>
  </r>
  <r>
    <s v="TX501685"/>
    <s v="Sneakers"/>
    <n v="2"/>
    <n v="149.6"/>
    <n v="299.2"/>
    <d v="2025-03-04T00:00:00"/>
    <d v="2025-03-05T00:00:00"/>
    <s v="F"/>
    <x v="0"/>
    <n v="4"/>
    <s v="California"/>
    <s v="Los Angeles County"/>
    <n v="1"/>
    <n v="10"/>
    <x v="2"/>
  </r>
  <r>
    <s v="TX501686"/>
    <s v="T-Shirts"/>
    <n v="1"/>
    <n v="52.2"/>
    <n v="52.2"/>
    <d v="2025-03-04T00:00:00"/>
    <d v="2025-03-05T00:00:00"/>
    <s v=""/>
    <x v="1"/>
    <n v="4"/>
    <s v="California"/>
    <s v="Los Angeles County"/>
    <n v="1"/>
    <n v="10"/>
    <x v="0"/>
  </r>
  <r>
    <s v="TX501687"/>
    <s v="Jeans"/>
    <n v="2"/>
    <n v="96.5"/>
    <n v="193"/>
    <d v="2025-03-04T00:00:00"/>
    <d v="2025-03-05T00:00:00"/>
    <s v="F"/>
    <x v="1"/>
    <n v="3"/>
    <s v="California"/>
    <s v="Los Angeles County"/>
    <n v="1"/>
    <n v="10"/>
    <x v="2"/>
  </r>
  <r>
    <s v="TX501688"/>
    <s v="T-Shirts"/>
    <n v="2"/>
    <n v="79.8"/>
    <n v="159.6"/>
    <d v="2025-03-04T00:00:00"/>
    <d v="2025-03-06T00:00:00"/>
    <s v="F"/>
    <x v="0"/>
    <n v="3"/>
    <s v="California"/>
    <s v="Los Angeles County"/>
    <n v="2"/>
    <n v="10"/>
    <x v="2"/>
  </r>
  <r>
    <s v="TX501689"/>
    <s v="T-Shirts"/>
    <n v="3"/>
    <n v="35.6"/>
    <n v="106.80000000000001"/>
    <d v="2025-03-04T00:00:00"/>
    <d v="2025-03-05T00:00:00"/>
    <s v="F"/>
    <x v="2"/>
    <n v="4"/>
    <s v="California"/>
    <s v="Los Angeles County"/>
    <n v="1"/>
    <n v="10"/>
    <x v="2"/>
  </r>
  <r>
    <s v="TX501690"/>
    <s v="Sunglasses"/>
    <n v="1"/>
    <n v="50.2"/>
    <n v="50.2"/>
    <d v="2025-03-04T00:00:00"/>
    <d v="2025-03-05T00:00:00"/>
    <s v="F"/>
    <x v="1"/>
    <n v="5"/>
    <s v="California"/>
    <s v="Los Angeles County"/>
    <n v="1"/>
    <n v="10"/>
    <x v="2"/>
  </r>
  <r>
    <s v="TX501691"/>
    <s v="Tank Tops"/>
    <n v="3"/>
    <n v="55.3"/>
    <n v="165.89999999999998"/>
    <d v="2025-03-04T00:00:00"/>
    <d v="2025-03-07T00:00:00"/>
    <s v="F"/>
    <x v="0"/>
    <n v="2"/>
    <s v="California"/>
    <s v="Mariposa County"/>
    <n v="3"/>
    <n v="10"/>
    <x v="2"/>
  </r>
  <r>
    <s v="TX501692"/>
    <s v="Jeans"/>
    <n v="7"/>
    <n v="104.5"/>
    <n v="731.5"/>
    <d v="2025-03-04T00:00:00"/>
    <d v="2025-03-08T00:00:00"/>
    <s v="F"/>
    <x v="1"/>
    <n v="4"/>
    <s v="California"/>
    <s v="San Bernardino County"/>
    <n v="4"/>
    <n v="10"/>
    <x v="2"/>
  </r>
  <r>
    <s v="TX501693"/>
    <s v="Jeans"/>
    <n v="4"/>
    <n v="66.5"/>
    <n v="266"/>
    <d v="2025-03-04T00:00:00"/>
    <d v="2025-03-06T00:00:00"/>
    <s v="M"/>
    <x v="1"/>
    <n v="4"/>
    <s v="California"/>
    <s v="San Bernardino County"/>
    <n v="2"/>
    <n v="10"/>
    <x v="1"/>
  </r>
  <r>
    <s v="TX501694"/>
    <s v="Bikinis"/>
    <n v="8"/>
    <n v="38.299999999999997"/>
    <n v="306.39999999999998"/>
    <d v="2025-03-04T00:00:00"/>
    <d v="2025-03-05T00:00:00"/>
    <s v="F"/>
    <x v="0"/>
    <n v="4"/>
    <s v="California"/>
    <s v="San Bernardino County"/>
    <n v="1"/>
    <n v="10"/>
    <x v="2"/>
  </r>
  <r>
    <s v="TX501695"/>
    <s v="Jeans"/>
    <n v="3"/>
    <n v="63.8"/>
    <n v="191.39999999999998"/>
    <d v="2025-03-04T00:00:00"/>
    <d v="2025-03-07T00:00:00"/>
    <s v="F"/>
    <x v="1"/>
    <n v="4"/>
    <s v="California"/>
    <s v="San Diego County"/>
    <n v="3"/>
    <n v="10"/>
    <x v="2"/>
  </r>
  <r>
    <s v="TX501696"/>
    <s v="Crop Tops"/>
    <n v="1"/>
    <n v="21.4"/>
    <n v="21.4"/>
    <d v="2025-03-04T00:00:00"/>
    <d v="2025-03-04T00:00:00"/>
    <s v="M"/>
    <x v="4"/>
    <n v="4"/>
    <s v="California"/>
    <s v="San Diego County"/>
    <n v="0"/>
    <n v="10"/>
    <x v="1"/>
  </r>
  <r>
    <s v="TX501697"/>
    <s v="T-Shirts"/>
    <n v="4"/>
    <n v="44.1"/>
    <n v="176.4"/>
    <d v="2025-03-04T00:00:00"/>
    <d v="2025-03-06T00:00:00"/>
    <s v="F"/>
    <x v="2"/>
    <n v="4"/>
    <s v="California"/>
    <s v="San Diego County"/>
    <n v="2"/>
    <n v="10"/>
    <x v="2"/>
  </r>
  <r>
    <s v="TX501698"/>
    <s v="Sandals"/>
    <n v="8"/>
    <n v="57.6"/>
    <n v="460.8"/>
    <d v="2025-03-04T00:00:00"/>
    <d v="2025-03-06T00:00:00"/>
    <s v="M"/>
    <x v="1"/>
    <n v="5"/>
    <s v="California"/>
    <s v="San Diego County"/>
    <n v="2"/>
    <n v="10"/>
    <x v="1"/>
  </r>
  <r>
    <s v="TX501699"/>
    <s v="Sundresses"/>
    <n v="2"/>
    <n v="20.3"/>
    <n v="40.6"/>
    <d v="2025-03-04T00:00:00"/>
    <d v="2025-03-10T00:00:00"/>
    <s v="F"/>
    <x v="3"/>
    <n v="4"/>
    <s v="California"/>
    <s v="San Diego County"/>
    <n v="6"/>
    <n v="10"/>
    <x v="2"/>
  </r>
  <r>
    <s v="TX501700"/>
    <s v="T-Shirts"/>
    <n v="1"/>
    <n v="22.9"/>
    <n v="22.9"/>
    <d v="2025-03-04T00:00:00"/>
    <d v="2025-03-06T00:00:00"/>
    <s v="F"/>
    <x v="2"/>
    <n v="5"/>
    <s v="California"/>
    <s v="San Diego County"/>
    <n v="2"/>
    <n v="10"/>
    <x v="2"/>
  </r>
  <r>
    <s v="TX501701"/>
    <s v="Jeans"/>
    <n v="4"/>
    <n v="105.9"/>
    <n v="423.6"/>
    <d v="2025-03-04T00:00:00"/>
    <d v="2025-03-05T00:00:00"/>
    <s v="F"/>
    <x v="1"/>
    <n v="5"/>
    <s v="California"/>
    <s v="San Francisco"/>
    <n v="1"/>
    <n v="10"/>
    <x v="2"/>
  </r>
  <r>
    <s v="TX501702"/>
    <s v="Tank Tops"/>
    <n v="9"/>
    <n v="37.4"/>
    <n v="336.59999999999997"/>
    <d v="2025-03-04T00:00:00"/>
    <d v="2025-03-08T00:00:00"/>
    <s v="M"/>
    <x v="1"/>
    <n v="4"/>
    <s v="California"/>
    <s v="Santa Clara County"/>
    <n v="4"/>
    <n v="10"/>
    <x v="1"/>
  </r>
  <r>
    <s v="TX501703"/>
    <s v="Leggings"/>
    <n v="2"/>
    <n v="79"/>
    <n v="158"/>
    <d v="2025-03-04T00:00:00"/>
    <d v="2025-03-05T00:00:00"/>
    <s v="M"/>
    <x v="2"/>
    <n v="4"/>
    <s v="California"/>
    <s v="Yolo County"/>
    <n v="1"/>
    <n v="10"/>
    <x v="1"/>
  </r>
  <r>
    <s v="TX501704"/>
    <s v="Shorts"/>
    <n v="3"/>
    <n v="19.3"/>
    <n v="57.900000000000006"/>
    <d v="2025-03-04T00:00:00"/>
    <d v="2025-03-05T00:00:00"/>
    <s v="F"/>
    <x v="4"/>
    <n v="4"/>
    <s v="California"/>
    <s v="Alameda County"/>
    <n v="1"/>
    <n v="10"/>
    <x v="2"/>
  </r>
  <r>
    <s v="TX501705"/>
    <s v="Shorts"/>
    <n v="1"/>
    <n v="24"/>
    <n v="24"/>
    <d v="2025-03-04T00:00:00"/>
    <d v="2025-03-05T00:00:00"/>
    <s v="F"/>
    <x v="1"/>
    <n v="4"/>
    <s v="California"/>
    <s v="Contra Costa County"/>
    <n v="1"/>
    <n v="10"/>
    <x v="2"/>
  </r>
  <r>
    <s v="TX501706"/>
    <s v="Jeans"/>
    <n v="5"/>
    <n v="71.3"/>
    <n v="356.5"/>
    <d v="2025-03-04T00:00:00"/>
    <d v="2025-03-07T00:00:00"/>
    <s v="F"/>
    <x v="2"/>
    <n v="4"/>
    <s v="California"/>
    <s v="Fresno County"/>
    <n v="3"/>
    <n v="10"/>
    <x v="2"/>
  </r>
  <r>
    <s v="TX501707"/>
    <s v="Sandals"/>
    <n v="2"/>
    <n v="166.2"/>
    <n v="332.4"/>
    <d v="2025-03-04T00:00:00"/>
    <d v="2025-03-05T00:00:00"/>
    <s v="M"/>
    <x v="0"/>
    <n v="5"/>
    <s v="California"/>
    <s v="Lake County"/>
    <n v="1"/>
    <n v="10"/>
    <x v="1"/>
  </r>
  <r>
    <s v="TX501708"/>
    <s v="Jeans"/>
    <n v="1"/>
    <n v="81"/>
    <n v="81"/>
    <d v="2025-03-04T00:00:00"/>
    <d v="2025-03-05T00:00:00"/>
    <s v="F"/>
    <x v="2"/>
    <n v="3"/>
    <s v="California"/>
    <s v="Los Angeles County"/>
    <n v="1"/>
    <n v="10"/>
    <x v="2"/>
  </r>
  <r>
    <s v="TX501709"/>
    <s v="Bikinis"/>
    <n v="6"/>
    <n v="38.5"/>
    <n v="231"/>
    <d v="2025-03-04T00:00:00"/>
    <d v="2025-03-08T00:00:00"/>
    <s v="F"/>
    <x v="0"/>
    <n v="4"/>
    <s v="California"/>
    <s v="Los Angeles County"/>
    <n v="4"/>
    <n v="10"/>
    <x v="2"/>
  </r>
  <r>
    <s v="TX501710"/>
    <s v="Jeans"/>
    <n v="1"/>
    <n v="86.1"/>
    <n v="86.1"/>
    <d v="2025-03-04T00:00:00"/>
    <d v="2025-03-06T00:00:00"/>
    <s v="F"/>
    <x v="3"/>
    <n v="4"/>
    <s v="California"/>
    <s v="Los Angeles County"/>
    <n v="2"/>
    <n v="10"/>
    <x v="2"/>
  </r>
  <r>
    <s v="TX501711"/>
    <s v="Sneakers"/>
    <n v="5"/>
    <n v="51"/>
    <n v="255"/>
    <d v="2025-03-04T00:00:00"/>
    <d v="2025-03-05T00:00:00"/>
    <s v="M"/>
    <x v="0"/>
    <n v="3"/>
    <s v="California"/>
    <s v="Los Angeles County"/>
    <n v="1"/>
    <n v="10"/>
    <x v="1"/>
  </r>
  <r>
    <s v="TX501712"/>
    <s v="Workout Tops"/>
    <n v="5"/>
    <n v="115.4"/>
    <n v="577"/>
    <d v="2025-03-04T00:00:00"/>
    <d v="2025-03-05T00:00:00"/>
    <s v="M"/>
    <x v="0"/>
    <n v="4"/>
    <s v="California"/>
    <s v="Los Angeles County"/>
    <n v="1"/>
    <n v="10"/>
    <x v="1"/>
  </r>
  <r>
    <s v="TX501713"/>
    <s v="Jeans"/>
    <n v="4"/>
    <n v="176.5"/>
    <n v="706"/>
    <d v="2025-03-04T00:00:00"/>
    <d v="2025-03-05T00:00:00"/>
    <s v="F"/>
    <x v="2"/>
    <n v="5"/>
    <s v="California"/>
    <s v="Los Angeles County"/>
    <n v="1"/>
    <n v="10"/>
    <x v="2"/>
  </r>
  <r>
    <s v="TX501714"/>
    <s v="Hoodies &amp; Sweatshirts"/>
    <n v="3"/>
    <n v="48.9"/>
    <n v="146.69999999999999"/>
    <d v="2025-03-04T00:00:00"/>
    <d v="2025-03-05T00:00:00"/>
    <s v="M"/>
    <x v="4"/>
    <n v="4"/>
    <s v="California"/>
    <s v="Los Angeles County"/>
    <n v="1"/>
    <n v="10"/>
    <x v="1"/>
  </r>
  <r>
    <s v="TX501715"/>
    <s v="T-Shirts"/>
    <n v="3"/>
    <n v="18.100000000000001"/>
    <n v="54.300000000000004"/>
    <d v="2025-03-04T00:00:00"/>
    <d v="2025-03-11T00:00:00"/>
    <s v="F"/>
    <x v="1"/>
    <n v="5"/>
    <s v="California"/>
    <s v="Mendocino County"/>
    <n v="7"/>
    <n v="10"/>
    <x v="2"/>
  </r>
  <r>
    <s v="TX501716"/>
    <s v="Sneakers"/>
    <n v="2"/>
    <n v="118.5"/>
    <n v="237"/>
    <d v="2025-03-04T00:00:00"/>
    <d v="2025-03-07T00:00:00"/>
    <s v="M"/>
    <x v="1"/>
    <n v="5"/>
    <s v="California"/>
    <s v="Napa County"/>
    <n v="3"/>
    <n v="10"/>
    <x v="1"/>
  </r>
  <r>
    <s v="TX501717"/>
    <s v="Crop Tops"/>
    <n v="7"/>
    <n v="59.1"/>
    <n v="413.7"/>
    <d v="2025-03-04T00:00:00"/>
    <d v="2025-03-05T00:00:00"/>
    <s v="F"/>
    <x v="3"/>
    <n v="4"/>
    <s v="California"/>
    <s v="Orange County"/>
    <n v="1"/>
    <n v="10"/>
    <x v="2"/>
  </r>
  <r>
    <s v="TX501718"/>
    <s v="Graphic Tees"/>
    <n v="1"/>
    <n v="21.2"/>
    <n v="21.2"/>
    <d v="2025-03-04T00:00:00"/>
    <d v="2025-03-05T00:00:00"/>
    <s v="F"/>
    <x v="0"/>
    <n v="3"/>
    <s v="California"/>
    <s v="Sacramento County"/>
    <n v="1"/>
    <n v="10"/>
    <x v="2"/>
  </r>
  <r>
    <s v="TX501719"/>
    <s v="Jeans"/>
    <n v="2"/>
    <n v="68.8"/>
    <n v="137.6"/>
    <d v="2025-03-04T00:00:00"/>
    <d v="2025-03-09T00:00:00"/>
    <s v="F"/>
    <x v="3"/>
    <n v="5"/>
    <s v="California"/>
    <s v="Sacramento County"/>
    <n v="5"/>
    <n v="10"/>
    <x v="2"/>
  </r>
  <r>
    <s v="TX501720"/>
    <s v="Jeans"/>
    <n v="2"/>
    <n v="65.400000000000006"/>
    <n v="130.80000000000001"/>
    <d v="2025-03-04T00:00:00"/>
    <d v="2025-03-08T00:00:00"/>
    <s v="F"/>
    <x v="0"/>
    <n v="4"/>
    <s v="California"/>
    <s v="Sacramento County"/>
    <n v="4"/>
    <n v="10"/>
    <x v="2"/>
  </r>
  <r>
    <s v="TX501721"/>
    <s v="Casual Dresses"/>
    <n v="5"/>
    <n v="66.3"/>
    <n v="331.5"/>
    <d v="2025-03-05T00:00:00"/>
    <d v="2025-03-08T00:00:00"/>
    <s v="F"/>
    <x v="4"/>
    <n v="4"/>
    <s v="California"/>
    <s v="Sacramento County"/>
    <n v="3"/>
    <n v="10"/>
    <x v="2"/>
  </r>
  <r>
    <s v="TX501722"/>
    <s v="Jeans"/>
    <n v="3"/>
    <n v="97.5"/>
    <n v="292.5"/>
    <d v="2025-03-05T00:00:00"/>
    <d v="2025-03-05T00:00:00"/>
    <s v="M"/>
    <x v="3"/>
    <n v="4"/>
    <s v="California"/>
    <s v="San Diego County"/>
    <n v="0"/>
    <n v="10"/>
    <x v="1"/>
  </r>
  <r>
    <s v="TX501723"/>
    <s v="Tank Tops"/>
    <n v="2"/>
    <n v="44"/>
    <n v="88"/>
    <d v="2025-03-05T00:00:00"/>
    <d v="2025-03-08T00:00:00"/>
    <s v="F"/>
    <x v="1"/>
    <n v="5"/>
    <s v="California"/>
    <s v="San Diego County"/>
    <n v="3"/>
    <n v="10"/>
    <x v="2"/>
  </r>
  <r>
    <s v="TX501724"/>
    <s v="Shorts"/>
    <n v="1"/>
    <n v="21.9"/>
    <n v="21.9"/>
    <d v="2025-03-05T00:00:00"/>
    <d v="2025-03-06T00:00:00"/>
    <s v="M"/>
    <x v="0"/>
    <n v="4"/>
    <s v="California"/>
    <s v="San Diego County"/>
    <n v="1"/>
    <n v="10"/>
    <x v="1"/>
  </r>
  <r>
    <s v="TX501725"/>
    <s v="Graphic Tees"/>
    <n v="7"/>
    <n v="21.5"/>
    <n v="150.5"/>
    <d v="2025-03-05T00:00:00"/>
    <d v="2025-03-07T00:00:00"/>
    <s v="F"/>
    <x v="1"/>
    <n v="5"/>
    <s v="California"/>
    <s v="San Mateo County"/>
    <n v="2"/>
    <n v="10"/>
    <x v="2"/>
  </r>
  <r>
    <s v="TX501726"/>
    <s v="Casual Dresses"/>
    <n v="6"/>
    <n v="133"/>
    <n v="798"/>
    <d v="2025-03-05T00:00:00"/>
    <d v="2025-03-06T00:00:00"/>
    <s v="O"/>
    <x v="0"/>
    <n v="5"/>
    <s v="California"/>
    <s v="Santa Barbara County"/>
    <n v="1"/>
    <n v="10"/>
    <x v="3"/>
  </r>
  <r>
    <s v="TX501727"/>
    <s v="T-Shirts"/>
    <n v="2"/>
    <n v="47.7"/>
    <n v="95.4"/>
    <d v="2025-03-05T00:00:00"/>
    <d v="2025-03-09T00:00:00"/>
    <s v="M"/>
    <x v="0"/>
    <n v="5"/>
    <s v="California"/>
    <s v="Santa Barbara County"/>
    <n v="4"/>
    <n v="10"/>
    <x v="1"/>
  </r>
  <r>
    <s v="TX501728"/>
    <s v="Sunglasses"/>
    <n v="3"/>
    <n v="58.1"/>
    <n v="174.3"/>
    <d v="2025-03-05T00:00:00"/>
    <d v="2025-03-06T00:00:00"/>
    <s v="F"/>
    <x v="0"/>
    <n v="4"/>
    <s v="California"/>
    <s v="Santa Clara County"/>
    <n v="1"/>
    <n v="10"/>
    <x v="2"/>
  </r>
  <r>
    <s v="TX501729"/>
    <s v="Casual Dresses"/>
    <n v="4"/>
    <n v="66.599999999999994"/>
    <n v="266.39999999999998"/>
    <d v="2025-03-05T00:00:00"/>
    <d v="2025-03-06T00:00:00"/>
    <s v=""/>
    <x v="0"/>
    <n v="4"/>
    <s v="California"/>
    <s v="Santa Clara County"/>
    <n v="1"/>
    <n v="10"/>
    <x v="0"/>
  </r>
  <r>
    <s v="TX501730"/>
    <s v="Sundresses"/>
    <n v="1"/>
    <n v="24.1"/>
    <n v="24.1"/>
    <d v="2025-03-05T00:00:00"/>
    <d v="2025-03-08T00:00:00"/>
    <s v="M"/>
    <x v="2"/>
    <n v="3"/>
    <s v="California"/>
    <s v="Stanislaus County"/>
    <n v="3"/>
    <n v="10"/>
    <x v="1"/>
  </r>
  <r>
    <s v="TX501731"/>
    <s v="Bikinis"/>
    <n v="5"/>
    <n v="51.5"/>
    <n v="257.5"/>
    <d v="2025-03-05T00:00:00"/>
    <d v="2025-03-10T00:00:00"/>
    <s v="F"/>
    <x v="0"/>
    <n v="4"/>
    <s v="California"/>
    <s v="Ventura County"/>
    <n v="5"/>
    <n v="10"/>
    <x v="2"/>
  </r>
  <r>
    <s v="TX501732"/>
    <s v="Shorts"/>
    <n v="11"/>
    <n v="25.8"/>
    <n v="283.8"/>
    <d v="2025-03-05T00:00:00"/>
    <d v="2025-03-09T00:00:00"/>
    <s v="F"/>
    <x v="3"/>
    <n v="2"/>
    <s v="California"/>
    <s v="Alameda County"/>
    <n v="4"/>
    <n v="10"/>
    <x v="2"/>
  </r>
  <r>
    <s v="TX501733"/>
    <s v="Sundresses"/>
    <n v="4"/>
    <n v="47.7"/>
    <n v="190.8"/>
    <d v="2025-03-05T00:00:00"/>
    <d v="2025-03-05T00:00:00"/>
    <s v="F"/>
    <x v="0"/>
    <n v="3"/>
    <s v="California"/>
    <s v="Alameda County"/>
    <n v="0"/>
    <n v="10"/>
    <x v="2"/>
  </r>
  <r>
    <s v="TX501734"/>
    <s v="Hoodies &amp; Sweatshirts"/>
    <n v="5"/>
    <n v="73.599999999999994"/>
    <n v="368"/>
    <d v="2025-03-05T00:00:00"/>
    <d v="2025-03-09T00:00:00"/>
    <s v="M"/>
    <x v="1"/>
    <n v="4"/>
    <s v="California"/>
    <s v="Alameda County"/>
    <n v="4"/>
    <n v="10"/>
    <x v="1"/>
  </r>
  <r>
    <s v="TX501735"/>
    <s v="Sandals"/>
    <n v="7"/>
    <n v="91.2"/>
    <n v="638.4"/>
    <d v="2025-03-05T00:00:00"/>
    <d v="2025-03-06T00:00:00"/>
    <s v="M"/>
    <x v="1"/>
    <n v="5"/>
    <s v="California"/>
    <s v="Alameda County"/>
    <n v="1"/>
    <n v="10"/>
    <x v="1"/>
  </r>
  <r>
    <s v="TX501736"/>
    <s v="Tank Tops"/>
    <n v="8"/>
    <n v="36.200000000000003"/>
    <n v="289.60000000000002"/>
    <d v="2025-03-05T00:00:00"/>
    <d v="2025-03-05T00:00:00"/>
    <s v="M"/>
    <x v="2"/>
    <n v="5"/>
    <s v="California"/>
    <s v="Contra Costa County"/>
    <n v="0"/>
    <n v="10"/>
    <x v="1"/>
  </r>
  <r>
    <s v="TX501737"/>
    <s v="Sundresses"/>
    <n v="8"/>
    <n v="98"/>
    <n v="784"/>
    <d v="2025-03-05T00:00:00"/>
    <d v="2025-03-09T00:00:00"/>
    <s v="F"/>
    <x v="2"/>
    <n v="4"/>
    <s v="California"/>
    <s v="Fresno County"/>
    <n v="4"/>
    <n v="10"/>
    <x v="2"/>
  </r>
  <r>
    <s v="TX501738"/>
    <s v="Tank Tops"/>
    <n v="8"/>
    <n v="43.6"/>
    <n v="348.8"/>
    <d v="2025-03-05T00:00:00"/>
    <d v="2025-03-06T00:00:00"/>
    <s v="F"/>
    <x v="2"/>
    <n v="4"/>
    <s v="California"/>
    <s v="Kern County"/>
    <n v="1"/>
    <n v="10"/>
    <x v="2"/>
  </r>
  <r>
    <s v="TX501739"/>
    <s v="T-Shirts"/>
    <n v="10"/>
    <n v="37.799999999999997"/>
    <n v="378"/>
    <d v="2025-03-05T00:00:00"/>
    <d v="2025-03-05T00:00:00"/>
    <s v="O"/>
    <x v="0"/>
    <n v="4"/>
    <s v="California"/>
    <s v="Lake County"/>
    <n v="0"/>
    <n v="10"/>
    <x v="3"/>
  </r>
  <r>
    <s v="TX501740"/>
    <s v="Pajama Sets"/>
    <n v="5"/>
    <n v="63.7"/>
    <n v="318.5"/>
    <d v="2025-03-05T00:00:00"/>
    <d v="2025-03-08T00:00:00"/>
    <s v="F"/>
    <x v="2"/>
    <n v="3"/>
    <s v="California"/>
    <s v="Los Angeles County"/>
    <n v="3"/>
    <n v="10"/>
    <x v="2"/>
  </r>
  <r>
    <s v="TX501741"/>
    <s v="Sandals"/>
    <n v="9"/>
    <n v="62.9"/>
    <n v="566.1"/>
    <d v="2025-03-05T00:00:00"/>
    <d v="2025-03-10T00:00:00"/>
    <s v="M"/>
    <x v="3"/>
    <n v="5"/>
    <s v="California"/>
    <s v="Los Angeles County"/>
    <n v="5"/>
    <n v="10"/>
    <x v="1"/>
  </r>
  <r>
    <s v="TX501742"/>
    <s v="Jeans"/>
    <n v="7"/>
    <n v="61.7"/>
    <n v="431.90000000000003"/>
    <d v="2025-03-05T00:00:00"/>
    <d v="2025-03-08T00:00:00"/>
    <s v="F"/>
    <x v="2"/>
    <n v="5"/>
    <s v="California"/>
    <s v="Los Angeles County"/>
    <n v="3"/>
    <n v="10"/>
    <x v="2"/>
  </r>
  <r>
    <s v="TX501743"/>
    <s v="Leggings"/>
    <n v="14"/>
    <n v="36.5"/>
    <n v="511"/>
    <d v="2025-03-05T00:00:00"/>
    <d v="2025-03-06T00:00:00"/>
    <s v="M"/>
    <x v="0"/>
    <n v="5"/>
    <s v="California"/>
    <s v="Los Angeles County"/>
    <n v="1"/>
    <n v="10"/>
    <x v="1"/>
  </r>
  <r>
    <s v="TX501744"/>
    <s v="Maxi Dresses"/>
    <n v="3"/>
    <n v="98.6"/>
    <n v="295.79999999999995"/>
    <d v="2025-03-05T00:00:00"/>
    <d v="2025-03-08T00:00:00"/>
    <s v="O"/>
    <x v="0"/>
    <n v="2"/>
    <s v="California"/>
    <s v="Los Angeles County"/>
    <n v="3"/>
    <n v="10"/>
    <x v="3"/>
  </r>
  <r>
    <s v="TX501745"/>
    <s v="T-Shirts"/>
    <n v="2"/>
    <n v="19.2"/>
    <n v="38.4"/>
    <d v="2025-03-05T00:00:00"/>
    <d v="2025-03-15T00:00:00"/>
    <s v="M"/>
    <x v="0"/>
    <n v="4"/>
    <s v="California"/>
    <s v="Los Angeles County"/>
    <n v="10"/>
    <n v="10"/>
    <x v="1"/>
  </r>
  <r>
    <s v="TX501746"/>
    <s v="Workout Tops"/>
    <n v="6"/>
    <n v="55.6"/>
    <n v="333.6"/>
    <d v="2025-03-05T00:00:00"/>
    <d v="2025-03-09T00:00:00"/>
    <s v="F"/>
    <x v="0"/>
    <n v="5"/>
    <s v="California"/>
    <s v="Los Angeles County"/>
    <n v="4"/>
    <n v="10"/>
    <x v="2"/>
  </r>
  <r>
    <s v="TX501747"/>
    <s v="Sandals"/>
    <n v="6"/>
    <n v="56.4"/>
    <n v="338.4"/>
    <d v="2025-03-05T00:00:00"/>
    <d v="2025-03-06T00:00:00"/>
    <s v="F"/>
    <x v="1"/>
    <n v="4"/>
    <s v="California"/>
    <s v="Los Angeles County"/>
    <n v="1"/>
    <n v="10"/>
    <x v="2"/>
  </r>
  <r>
    <s v="TX501748"/>
    <s v="Graphic Tees"/>
    <n v="8"/>
    <n v="43.1"/>
    <n v="344.8"/>
    <d v="2025-03-05T00:00:00"/>
    <d v="2025-03-09T00:00:00"/>
    <s v="F"/>
    <x v="4"/>
    <n v="4"/>
    <s v="California"/>
    <s v="Los Angeles County"/>
    <n v="4"/>
    <n v="10"/>
    <x v="2"/>
  </r>
  <r>
    <s v="TX501749"/>
    <s v="Tank Tops"/>
    <n v="2"/>
    <n v="77.3"/>
    <n v="154.6"/>
    <d v="2025-03-05T00:00:00"/>
    <d v="2025-03-07T00:00:00"/>
    <s v="M"/>
    <x v="0"/>
    <n v="4"/>
    <s v="California"/>
    <s v="Sacramento County"/>
    <n v="2"/>
    <n v="10"/>
    <x v="1"/>
  </r>
  <r>
    <s v="TX501750"/>
    <s v="Sundresses"/>
    <n v="8"/>
    <n v="38.299999999999997"/>
    <n v="306.39999999999998"/>
    <d v="2025-03-05T00:00:00"/>
    <d v="2025-03-06T00:00:00"/>
    <s v="M"/>
    <x v="0"/>
    <n v="4"/>
    <s v="California"/>
    <s v="San Bernardino County"/>
    <n v="1"/>
    <n v="10"/>
    <x v="1"/>
  </r>
  <r>
    <s v="TX501751"/>
    <s v="Shorts"/>
    <n v="7"/>
    <n v="16.8"/>
    <n v="117.60000000000001"/>
    <d v="2025-03-05T00:00:00"/>
    <d v="2025-03-08T00:00:00"/>
    <s v="M"/>
    <x v="2"/>
    <n v="3"/>
    <s v="California"/>
    <s v="San Diego County"/>
    <n v="3"/>
    <n v="10"/>
    <x v="1"/>
  </r>
  <r>
    <s v="TX501752"/>
    <s v="Sneakers"/>
    <n v="3"/>
    <n v="63.2"/>
    <n v="189.60000000000002"/>
    <d v="2025-03-05T00:00:00"/>
    <d v="2025-03-06T00:00:00"/>
    <s v="F"/>
    <x v="0"/>
    <n v="5"/>
    <s v="California"/>
    <s v="San Diego County"/>
    <n v="1"/>
    <n v="10"/>
    <x v="2"/>
  </r>
  <r>
    <s v="TX501753"/>
    <s v="Baseball Caps"/>
    <n v="23"/>
    <n v="39.700000000000003"/>
    <n v="913.1"/>
    <d v="2025-03-05T00:00:00"/>
    <d v="2025-03-06T00:00:00"/>
    <s v="M"/>
    <x v="0"/>
    <n v="4"/>
    <s v="California"/>
    <s v="San Diego County"/>
    <n v="1"/>
    <n v="10"/>
    <x v="1"/>
  </r>
  <r>
    <s v="TX501754"/>
    <s v="Bikinis"/>
    <n v="3"/>
    <n v="45.8"/>
    <n v="137.39999999999998"/>
    <d v="2025-03-05T00:00:00"/>
    <d v="2025-03-06T00:00:00"/>
    <s v="F"/>
    <x v="1"/>
    <n v="5"/>
    <s v="California"/>
    <s v="San Diego County"/>
    <n v="1"/>
    <n v="10"/>
    <x v="2"/>
  </r>
  <r>
    <s v="TX501755"/>
    <s v="Shorts"/>
    <n v="6"/>
    <n v="12.4"/>
    <n v="74.400000000000006"/>
    <d v="2025-03-05T00:00:00"/>
    <d v="2025-03-08T00:00:00"/>
    <s v="M"/>
    <x v="0"/>
    <n v="4"/>
    <s v="California"/>
    <s v="San Diego County"/>
    <n v="3"/>
    <n v="10"/>
    <x v="1"/>
  </r>
  <r>
    <s v="TX501756"/>
    <s v="Baseball Caps"/>
    <n v="3"/>
    <n v="50.8"/>
    <n v="152.39999999999998"/>
    <d v="2025-03-06T00:00:00"/>
    <d v="2025-03-06T00:00:00"/>
    <s v="F"/>
    <x v="4"/>
    <n v="4"/>
    <s v="California"/>
    <s v="San Francisco"/>
    <n v="0"/>
    <n v="10"/>
    <x v="2"/>
  </r>
  <r>
    <s v="TX501757"/>
    <s v="Sundresses"/>
    <n v="1"/>
    <n v="76"/>
    <n v="76"/>
    <d v="2025-03-06T00:00:00"/>
    <d v="2025-03-10T00:00:00"/>
    <s v="O"/>
    <x v="2"/>
    <n v="5"/>
    <s v="California"/>
    <s v="San Francisco"/>
    <n v="4"/>
    <n v="10"/>
    <x v="3"/>
  </r>
  <r>
    <s v="TX501758"/>
    <s v="Tank Tops"/>
    <n v="2"/>
    <n v="51.9"/>
    <n v="103.8"/>
    <d v="2025-03-06T00:00:00"/>
    <d v="2025-03-07T00:00:00"/>
    <s v="M"/>
    <x v="1"/>
    <n v="5"/>
    <s v="California"/>
    <s v="San Joaquin County"/>
    <n v="1"/>
    <n v="10"/>
    <x v="1"/>
  </r>
  <r>
    <s v="TX501759"/>
    <s v="Sneakers"/>
    <n v="2"/>
    <n v="93.4"/>
    <n v="186.8"/>
    <d v="2025-03-06T00:00:00"/>
    <d v="2025-03-13T00:00:00"/>
    <s v="M"/>
    <x v="0"/>
    <n v="1"/>
    <s v="California"/>
    <s v="Santa Clara County"/>
    <n v="7"/>
    <n v="10"/>
    <x v="1"/>
  </r>
  <r>
    <s v="TX501760"/>
    <s v="Hoodies &amp; Sweatshirts"/>
    <n v="6"/>
    <n v="30.8"/>
    <n v="184.8"/>
    <d v="2025-03-06T00:00:00"/>
    <d v="2025-03-09T00:00:00"/>
    <s v="F"/>
    <x v="1"/>
    <n v="4"/>
    <s v="California"/>
    <s v="Santa Clara County"/>
    <n v="3"/>
    <n v="10"/>
    <x v="2"/>
  </r>
  <r>
    <s v="TX501761"/>
    <s v="Sneakers"/>
    <n v="1"/>
    <n v="143.19999999999999"/>
    <n v="143.19999999999999"/>
    <d v="2025-03-06T00:00:00"/>
    <d v="2025-03-09T00:00:00"/>
    <s v="M"/>
    <x v="2"/>
    <n v="4"/>
    <s v="California"/>
    <s v="Santa Clara County"/>
    <n v="3"/>
    <n v="10"/>
    <x v="1"/>
  </r>
  <r>
    <s v="TX501762"/>
    <s v="Jeans"/>
    <n v="11"/>
    <n v="40.4"/>
    <n v="444.4"/>
    <d v="2025-03-06T00:00:00"/>
    <d v="2025-03-08T00:00:00"/>
    <s v="M"/>
    <x v="2"/>
    <n v="5"/>
    <s v="California"/>
    <s v="Sonoma County"/>
    <n v="2"/>
    <n v="10"/>
    <x v="1"/>
  </r>
  <r>
    <s v="TX501763"/>
    <s v="Sneakers"/>
    <n v="19"/>
    <n v="131.5"/>
    <n v="2498.5"/>
    <d v="2025-03-06T00:00:00"/>
    <d v="2025-03-08T00:00:00"/>
    <s v="M"/>
    <x v="1"/>
    <n v="3"/>
    <s v="California"/>
    <s v="Sonoma County"/>
    <n v="2"/>
    <n v="10"/>
    <x v="1"/>
  </r>
  <r>
    <s v="TX501764"/>
    <s v="Leggings"/>
    <n v="7"/>
    <n v="61.6"/>
    <n v="431.2"/>
    <d v="2025-03-06T00:00:00"/>
    <d v="2025-03-07T00:00:00"/>
    <s v="M"/>
    <x v="2"/>
    <n v="4"/>
    <s v="California"/>
    <s v="Alameda County"/>
    <n v="1"/>
    <n v="10"/>
    <x v="1"/>
  </r>
  <r>
    <s v="TX501765"/>
    <s v="Sundresses"/>
    <n v="5"/>
    <n v="32.700000000000003"/>
    <n v="163.5"/>
    <d v="2025-03-06T00:00:00"/>
    <d v="2025-03-08T00:00:00"/>
    <s v="M"/>
    <x v="2"/>
    <n v="4"/>
    <s v="California"/>
    <s v="Contra Costa County"/>
    <n v="2"/>
    <n v="10"/>
    <x v="1"/>
  </r>
  <r>
    <s v="TX501766"/>
    <s v="Shorts"/>
    <n v="10"/>
    <n v="13.7"/>
    <n v="137"/>
    <d v="2025-03-06T00:00:00"/>
    <d v="2025-03-07T00:00:00"/>
    <s v="M"/>
    <x v="0"/>
    <n v="5"/>
    <s v="California"/>
    <s v="Los Angeles County"/>
    <n v="1"/>
    <n v="10"/>
    <x v="1"/>
  </r>
  <r>
    <s v="TX501767"/>
    <s v="Shorts"/>
    <n v="4"/>
    <n v="32.1"/>
    <n v="128.4"/>
    <d v="2025-03-06T00:00:00"/>
    <d v="2025-03-07T00:00:00"/>
    <s v="M"/>
    <x v="4"/>
    <n v="3"/>
    <s v="California"/>
    <s v="Los Angeles County"/>
    <n v="1"/>
    <n v="10"/>
    <x v="1"/>
  </r>
  <r>
    <s v="TX501768"/>
    <s v="Baseball Caps"/>
    <n v="8"/>
    <n v="12"/>
    <n v="96"/>
    <d v="2025-03-06T00:00:00"/>
    <d v="2025-03-07T00:00:00"/>
    <s v="M"/>
    <x v="1"/>
    <n v="4"/>
    <s v="California"/>
    <s v="Merced County"/>
    <n v="1"/>
    <n v="10"/>
    <x v="1"/>
  </r>
  <r>
    <s v="TX501769"/>
    <s v="Casual Dresses"/>
    <n v="1"/>
    <n v="64.3"/>
    <n v="64.3"/>
    <d v="2025-03-06T00:00:00"/>
    <d v="2025-03-08T00:00:00"/>
    <s v="F"/>
    <x v="2"/>
    <n v="5"/>
    <s v="California"/>
    <s v="Sacramento County"/>
    <n v="2"/>
    <n v="10"/>
    <x v="2"/>
  </r>
  <r>
    <s v="TX501770"/>
    <s v="Tank Tops"/>
    <n v="3"/>
    <n v="58.2"/>
    <n v="174.60000000000002"/>
    <d v="2025-03-06T00:00:00"/>
    <d v="2025-03-08T00:00:00"/>
    <s v="F"/>
    <x v="1"/>
    <n v="5"/>
    <s v="California"/>
    <s v="Sacramento County"/>
    <n v="2"/>
    <n v="10"/>
    <x v="2"/>
  </r>
  <r>
    <s v="TX501771"/>
    <s v="Jeans"/>
    <n v="4"/>
    <n v="59.2"/>
    <n v="236.8"/>
    <d v="2025-03-06T00:00:00"/>
    <d v="2025-03-06T00:00:00"/>
    <s v="M"/>
    <x v="1"/>
    <n v="5"/>
    <s v="California"/>
    <s v="Sacramento County"/>
    <n v="0"/>
    <n v="10"/>
    <x v="1"/>
  </r>
  <r>
    <s v="TX501772"/>
    <s v="Bikinis"/>
    <n v="11"/>
    <n v="35.6"/>
    <n v="391.6"/>
    <d v="2025-03-06T00:00:00"/>
    <d v="2025-03-13T00:00:00"/>
    <s v="M"/>
    <x v="0"/>
    <n v="5"/>
    <s v="California"/>
    <s v="San Diego County"/>
    <n v="7"/>
    <n v="10"/>
    <x v="1"/>
  </r>
  <r>
    <s v="TX501773"/>
    <s v="Sunglasses"/>
    <n v="8"/>
    <n v="37"/>
    <n v="296"/>
    <d v="2025-03-06T00:00:00"/>
    <d v="2025-03-10T00:00:00"/>
    <s v="F"/>
    <x v="2"/>
    <n v="3"/>
    <s v="California"/>
    <s v="San Diego County"/>
    <n v="4"/>
    <n v="10"/>
    <x v="2"/>
  </r>
  <r>
    <s v="TX501774"/>
    <s v="Tank Tops"/>
    <n v="13"/>
    <n v="80.8"/>
    <n v="1050.3999999999999"/>
    <d v="2025-03-06T00:00:00"/>
    <d v="2025-03-08T00:00:00"/>
    <s v="F"/>
    <x v="0"/>
    <n v="4"/>
    <s v="California"/>
    <s v="San Diego County"/>
    <n v="2"/>
    <n v="10"/>
    <x v="2"/>
  </r>
  <r>
    <s v="TX501775"/>
    <s v="T-Shirts"/>
    <n v="2"/>
    <n v="63.2"/>
    <n v="126.4"/>
    <d v="2025-03-06T00:00:00"/>
    <d v="2025-03-07T00:00:00"/>
    <s v="M"/>
    <x v="0"/>
    <n v="3"/>
    <s v="California"/>
    <s v="San Diego County"/>
    <n v="1"/>
    <n v="10"/>
    <x v="1"/>
  </r>
  <r>
    <s v="TX501776"/>
    <s v="Workout Tops"/>
    <n v="2"/>
    <n v="40.799999999999997"/>
    <n v="81.599999999999994"/>
    <d v="2025-03-06T00:00:00"/>
    <d v="2025-03-08T00:00:00"/>
    <s v="M"/>
    <x v="0"/>
    <n v="3"/>
    <s v="California"/>
    <s v="San Francisco"/>
    <n v="2"/>
    <n v="10"/>
    <x v="1"/>
  </r>
  <r>
    <s v="TX501777"/>
    <s v="Tote Bags"/>
    <n v="6"/>
    <n v="25.7"/>
    <n v="154.19999999999999"/>
    <d v="2025-03-06T00:00:00"/>
    <d v="2025-03-08T00:00:00"/>
    <s v="M"/>
    <x v="4"/>
    <n v="4"/>
    <s v="California"/>
    <s v="Sonoma County"/>
    <n v="2"/>
    <n v="10"/>
    <x v="1"/>
  </r>
  <r>
    <s v="TX501778"/>
    <s v="Sunglasses"/>
    <n v="2"/>
    <n v="49.9"/>
    <n v="99.8"/>
    <d v="2025-03-06T00:00:00"/>
    <d v="2025-03-09T00:00:00"/>
    <s v="M"/>
    <x v="0"/>
    <n v="4"/>
    <s v="California"/>
    <s v="Tulare County"/>
    <n v="3"/>
    <n v="10"/>
    <x v="1"/>
  </r>
  <r>
    <s v="TX501779"/>
    <s v="T-Shirts"/>
    <n v="2"/>
    <n v="20.2"/>
    <n v="40.4"/>
    <d v="2025-03-06T00:00:00"/>
    <d v="2025-03-08T00:00:00"/>
    <s v="F"/>
    <x v="3"/>
    <n v="4"/>
    <s v="California"/>
    <s v="Alameda County"/>
    <n v="2"/>
    <n v="10"/>
    <x v="2"/>
  </r>
  <r>
    <s v="TX501780"/>
    <s v="Jeans"/>
    <n v="3"/>
    <n v="48.4"/>
    <n v="145.19999999999999"/>
    <d v="2025-03-06T00:00:00"/>
    <d v="2025-03-11T00:00:00"/>
    <s v="F"/>
    <x v="0"/>
    <n v="5"/>
    <s v="California"/>
    <s v="Alameda County"/>
    <n v="5"/>
    <n v="10"/>
    <x v="2"/>
  </r>
  <r>
    <s v="TX501781"/>
    <s v="Jeans"/>
    <n v="2"/>
    <n v="81"/>
    <n v="162"/>
    <d v="2025-03-06T00:00:00"/>
    <d v="2025-03-07T00:00:00"/>
    <s v="F"/>
    <x v="1"/>
    <n v="5"/>
    <s v="California"/>
    <s v="Alameda County"/>
    <n v="1"/>
    <n v="10"/>
    <x v="2"/>
  </r>
  <r>
    <s v="TX501782"/>
    <s v="T-Shirts"/>
    <n v="6"/>
    <n v="19.899999999999999"/>
    <n v="119.39999999999999"/>
    <d v="2025-03-06T00:00:00"/>
    <d v="2025-03-09T00:00:00"/>
    <s v="F"/>
    <x v="0"/>
    <n v="3"/>
    <s v="California"/>
    <s v="Kern County"/>
    <n v="3"/>
    <n v="10"/>
    <x v="2"/>
  </r>
  <r>
    <s v="TX501783"/>
    <s v="Graphic Tees"/>
    <n v="4"/>
    <n v="32.200000000000003"/>
    <n v="128.80000000000001"/>
    <d v="2025-03-06T00:00:00"/>
    <d v="2025-03-16T00:00:00"/>
    <s v="M"/>
    <x v="0"/>
    <n v="4"/>
    <s v="California"/>
    <s v="Kern County"/>
    <n v="10"/>
    <n v="10"/>
    <x v="1"/>
  </r>
  <r>
    <s v="TX501784"/>
    <s v="Sandals"/>
    <n v="3"/>
    <n v="76.8"/>
    <n v="230.39999999999998"/>
    <d v="2025-03-06T00:00:00"/>
    <d v="2025-03-07T00:00:00"/>
    <s v="F"/>
    <x v="0"/>
    <n v="3"/>
    <s v="California"/>
    <s v="Los Angeles County"/>
    <n v="1"/>
    <n v="10"/>
    <x v="2"/>
  </r>
  <r>
    <s v="TX501785"/>
    <s v="Jeans"/>
    <n v="2"/>
    <n v="41.9"/>
    <n v="83.8"/>
    <d v="2025-03-06T00:00:00"/>
    <d v="2025-03-08T00:00:00"/>
    <s v="F"/>
    <x v="0"/>
    <n v="4"/>
    <s v="California"/>
    <s v="Los Angeles County"/>
    <n v="2"/>
    <n v="10"/>
    <x v="2"/>
  </r>
  <r>
    <s v="TX501786"/>
    <s v="Shorts"/>
    <n v="7"/>
    <n v="34"/>
    <n v="238"/>
    <d v="2025-03-06T00:00:00"/>
    <d v="2025-03-08T00:00:00"/>
    <s v="F"/>
    <x v="1"/>
    <n v="5"/>
    <s v="California"/>
    <s v="Los Angeles County"/>
    <n v="2"/>
    <n v="10"/>
    <x v="2"/>
  </r>
  <r>
    <s v="TX501787"/>
    <s v="Hoodies &amp; Sweatshirts"/>
    <n v="7"/>
    <n v="61.3"/>
    <n v="429.09999999999997"/>
    <d v="2025-03-06T00:00:00"/>
    <d v="2025-03-06T00:00:00"/>
    <s v="F"/>
    <x v="4"/>
    <n v="5"/>
    <s v="California"/>
    <s v="Los Angeles County"/>
    <n v="0"/>
    <n v="10"/>
    <x v="2"/>
  </r>
  <r>
    <s v="TX501788"/>
    <s v="Sundresses"/>
    <n v="1"/>
    <n v="54.7"/>
    <n v="54.7"/>
    <d v="2025-03-07T00:00:00"/>
    <d v="2025-03-08T00:00:00"/>
    <s v="M"/>
    <x v="0"/>
    <n v="3"/>
    <s v="California"/>
    <s v="Los Angeles County"/>
    <n v="1"/>
    <n v="10"/>
    <x v="1"/>
  </r>
  <r>
    <s v="TX501789"/>
    <s v="Jeans"/>
    <n v="10"/>
    <n v="84.7"/>
    <n v="847"/>
    <d v="2025-03-07T00:00:00"/>
    <d v="2025-03-11T00:00:00"/>
    <s v="F"/>
    <x v="0"/>
    <n v="4"/>
    <s v="California"/>
    <s v="Los Angeles County"/>
    <n v="4"/>
    <n v="10"/>
    <x v="2"/>
  </r>
  <r>
    <s v="TX501790"/>
    <s v="Tank Tops"/>
    <n v="3"/>
    <n v="93.4"/>
    <n v="280.20000000000005"/>
    <d v="2025-03-07T00:00:00"/>
    <d v="2025-03-11T00:00:00"/>
    <s v="F"/>
    <x v="3"/>
    <n v="4"/>
    <s v="California"/>
    <s v="Los Angeles County"/>
    <n v="4"/>
    <n v="10"/>
    <x v="2"/>
  </r>
  <r>
    <s v="TX501791"/>
    <s v="T-Shirts"/>
    <n v="5"/>
    <n v="27"/>
    <n v="135"/>
    <d v="2025-03-07T00:00:00"/>
    <d v="2025-03-10T00:00:00"/>
    <s v="M"/>
    <x v="0"/>
    <n v="3"/>
    <s v="California"/>
    <s v="Los Angeles County"/>
    <n v="3"/>
    <n v="10"/>
    <x v="1"/>
  </r>
  <r>
    <s v="TX501792"/>
    <s v="Shorts"/>
    <n v="4"/>
    <n v="10.9"/>
    <n v="43.6"/>
    <d v="2025-03-07T00:00:00"/>
    <d v="2025-03-08T00:00:00"/>
    <s v="M"/>
    <x v="2"/>
    <n v="4"/>
    <s v="California"/>
    <s v="Los Angeles County"/>
    <n v="1"/>
    <n v="10"/>
    <x v="1"/>
  </r>
  <r>
    <s v="TX501793"/>
    <s v="Sunglasses"/>
    <n v="3"/>
    <n v="48"/>
    <n v="144"/>
    <d v="2025-03-07T00:00:00"/>
    <d v="2025-03-12T00:00:00"/>
    <s v="F"/>
    <x v="4"/>
    <n v="4"/>
    <s v="California"/>
    <s v="Los Angeles County"/>
    <n v="5"/>
    <n v="10"/>
    <x v="2"/>
  </r>
  <r>
    <s v="TX501794"/>
    <s v="Sandals"/>
    <n v="2"/>
    <n v="67.900000000000006"/>
    <n v="135.80000000000001"/>
    <d v="2025-03-07T00:00:00"/>
    <d v="2025-03-08T00:00:00"/>
    <s v="M"/>
    <x v="0"/>
    <n v="5"/>
    <s v="California"/>
    <s v="Riverside County"/>
    <n v="1"/>
    <n v="10"/>
    <x v="1"/>
  </r>
  <r>
    <s v="TX501795"/>
    <s v="Graphic Tees"/>
    <n v="3"/>
    <n v="36"/>
    <n v="108"/>
    <d v="2025-03-07T00:00:00"/>
    <d v="2025-03-08T00:00:00"/>
    <s v="M"/>
    <x v="1"/>
    <n v="4"/>
    <s v="California"/>
    <s v="Sacramento County"/>
    <n v="1"/>
    <n v="10"/>
    <x v="1"/>
  </r>
  <r>
    <s v="TX501796"/>
    <s v="Sneakers"/>
    <n v="1"/>
    <n v="128.80000000000001"/>
    <n v="128.80000000000001"/>
    <d v="2025-03-07T00:00:00"/>
    <d v="2025-03-08T00:00:00"/>
    <s v="M"/>
    <x v="4"/>
    <n v="5"/>
    <s v="California"/>
    <s v="Sacramento County"/>
    <n v="1"/>
    <n v="10"/>
    <x v="1"/>
  </r>
  <r>
    <s v="TX501797"/>
    <s v="Leggings"/>
    <n v="7"/>
    <n v="33.299999999999997"/>
    <n v="233.09999999999997"/>
    <d v="2025-03-07T00:00:00"/>
    <d v="2025-03-08T00:00:00"/>
    <s v="F"/>
    <x v="3"/>
    <n v="4"/>
    <s v="California"/>
    <s v="San Diego County"/>
    <n v="1"/>
    <n v="10"/>
    <x v="2"/>
  </r>
  <r>
    <s v="TX501798"/>
    <s v="Bikinis"/>
    <n v="3"/>
    <n v="37.799999999999997"/>
    <n v="113.39999999999999"/>
    <d v="2025-03-07T00:00:00"/>
    <d v="2025-03-09T00:00:00"/>
    <s v="M"/>
    <x v="1"/>
    <n v="5"/>
    <s v="California"/>
    <s v="San Diego County"/>
    <n v="2"/>
    <n v="10"/>
    <x v="1"/>
  </r>
  <r>
    <s v="TX501799"/>
    <s v="Sandals"/>
    <n v="3"/>
    <n v="26"/>
    <n v="78"/>
    <d v="2025-03-07T00:00:00"/>
    <d v="2025-03-12T00:00:00"/>
    <s v="F"/>
    <x v="0"/>
    <n v="4"/>
    <s v="California"/>
    <s v="San Diego County"/>
    <n v="5"/>
    <n v="10"/>
    <x v="2"/>
  </r>
  <r>
    <s v="TX501800"/>
    <s v="T-Shirts"/>
    <n v="19"/>
    <n v="28.3"/>
    <n v="537.70000000000005"/>
    <d v="2025-03-07T00:00:00"/>
    <d v="2025-03-08T00:00:00"/>
    <s v="F"/>
    <x v="3"/>
    <n v="2"/>
    <s v="California"/>
    <s v="San Diego County"/>
    <n v="1"/>
    <n v="10"/>
    <x v="2"/>
  </r>
  <r>
    <s v="TX501801"/>
    <s v="T-Shirts"/>
    <n v="4"/>
    <n v="31.3"/>
    <n v="125.2"/>
    <d v="2025-03-07T00:00:00"/>
    <d v="2025-03-07T00:00:00"/>
    <s v="F"/>
    <x v="0"/>
    <n v="4"/>
    <s v="California"/>
    <s v="San Diego County"/>
    <n v="0"/>
    <n v="10"/>
    <x v="2"/>
  </r>
  <r>
    <s v="TX501802"/>
    <s v="Hoodies &amp; Sweatshirts"/>
    <n v="3"/>
    <n v="69.5"/>
    <n v="208.5"/>
    <d v="2025-03-07T00:00:00"/>
    <d v="2025-03-08T00:00:00"/>
    <s v="F"/>
    <x v="3"/>
    <n v="5"/>
    <s v="California"/>
    <s v="San Diego County"/>
    <n v="1"/>
    <n v="10"/>
    <x v="2"/>
  </r>
  <r>
    <s v="TX501803"/>
    <s v="Shorts"/>
    <n v="2"/>
    <n v="16.7"/>
    <n v="33.4"/>
    <d v="2025-03-07T00:00:00"/>
    <d v="2025-03-08T00:00:00"/>
    <s v="F"/>
    <x v="3"/>
    <n v="3"/>
    <s v="California"/>
    <s v="San Diego County"/>
    <n v="1"/>
    <n v="10"/>
    <x v="2"/>
  </r>
  <r>
    <s v="TX501804"/>
    <s v="Sundresses"/>
    <n v="2"/>
    <n v="62.6"/>
    <n v="125.2"/>
    <d v="2025-03-07T00:00:00"/>
    <d v="2025-03-08T00:00:00"/>
    <s v="M"/>
    <x v="2"/>
    <n v="5"/>
    <s v="California"/>
    <s v="San Mateo County"/>
    <n v="1"/>
    <n v="10"/>
    <x v="1"/>
  </r>
  <r>
    <s v="TX501805"/>
    <s v="Hoodies &amp; Sweatshirts"/>
    <n v="1"/>
    <n v="81.2"/>
    <n v="81.2"/>
    <d v="2025-03-07T00:00:00"/>
    <d v="2025-03-13T00:00:00"/>
    <s v="M"/>
    <x v="4"/>
    <n v="2"/>
    <s v="California"/>
    <s v="San Mateo County"/>
    <n v="6"/>
    <n v="10"/>
    <x v="1"/>
  </r>
  <r>
    <s v="TX501806"/>
    <s v="Shorts"/>
    <n v="10"/>
    <n v="12.7"/>
    <n v="127"/>
    <d v="2025-03-07T00:00:00"/>
    <d v="2025-03-08T00:00:00"/>
    <s v="F"/>
    <x v="0"/>
    <n v="5"/>
    <s v="California"/>
    <s v="San Mateo County"/>
    <n v="1"/>
    <n v="10"/>
    <x v="2"/>
  </r>
  <r>
    <s v="TX501807"/>
    <s v="Hoodies &amp; Sweatshirts"/>
    <n v="4"/>
    <n v="77.7"/>
    <n v="310.8"/>
    <d v="2025-03-08T00:00:00"/>
    <d v="2025-03-12T00:00:00"/>
    <s v="M"/>
    <x v="1"/>
    <n v="4"/>
    <s v="California"/>
    <s v="Santa Clara County"/>
    <n v="4"/>
    <n v="10"/>
    <x v="1"/>
  </r>
  <r>
    <s v="TX501808"/>
    <s v="Sandals"/>
    <n v="2"/>
    <n v="37.299999999999997"/>
    <n v="74.599999999999994"/>
    <d v="2025-03-08T00:00:00"/>
    <d v="2025-03-09T00:00:00"/>
    <s v="F"/>
    <x v="0"/>
    <n v="5"/>
    <s v="California"/>
    <s v="Sonoma County"/>
    <n v="1"/>
    <n v="10"/>
    <x v="2"/>
  </r>
  <r>
    <s v="TX501809"/>
    <s v="Bikinis"/>
    <n v="4"/>
    <n v="35.6"/>
    <n v="142.4"/>
    <d v="2025-03-08T00:00:00"/>
    <d v="2025-03-10T00:00:00"/>
    <s v="F"/>
    <x v="1"/>
    <n v="3"/>
    <s v="California"/>
    <s v="Stanislaus County"/>
    <n v="2"/>
    <n v="10"/>
    <x v="2"/>
  </r>
  <r>
    <s v="TX501810"/>
    <s v="Sneakers"/>
    <n v="3"/>
    <n v="95"/>
    <n v="285"/>
    <d v="2025-03-08T00:00:00"/>
    <d v="2025-03-12T00:00:00"/>
    <s v="F"/>
    <x v="2"/>
    <n v="5"/>
    <s v="California"/>
    <s v="Yuba County"/>
    <n v="4"/>
    <n v="10"/>
    <x v="2"/>
  </r>
  <r>
    <s v="TX501811"/>
    <s v="Sneakers"/>
    <n v="4"/>
    <n v="172.1"/>
    <n v="688.4"/>
    <d v="2025-03-08T00:00:00"/>
    <d v="2025-03-12T00:00:00"/>
    <s v="O"/>
    <x v="2"/>
    <n v="5"/>
    <s v="California"/>
    <s v="Alameda County"/>
    <n v="4"/>
    <n v="10"/>
    <x v="3"/>
  </r>
  <r>
    <s v="TX501812"/>
    <s v="Sneakers"/>
    <n v="2"/>
    <n v="233"/>
    <n v="466"/>
    <d v="2025-03-08T00:00:00"/>
    <d v="2025-03-11T00:00:00"/>
    <s v="F"/>
    <x v="1"/>
    <n v="4"/>
    <s v="California"/>
    <s v="Alameda County"/>
    <n v="3"/>
    <n v="10"/>
    <x v="2"/>
  </r>
  <r>
    <s v="TX501813"/>
    <s v="Shorts"/>
    <n v="1"/>
    <n v="43.5"/>
    <n v="43.5"/>
    <d v="2025-03-08T00:00:00"/>
    <d v="2025-03-09T00:00:00"/>
    <s v="F"/>
    <x v="2"/>
    <n v="5"/>
    <s v="California"/>
    <s v="Alameda County"/>
    <n v="1"/>
    <n v="10"/>
    <x v="2"/>
  </r>
  <r>
    <s v="TX501814"/>
    <s v="Sundresses"/>
    <n v="2"/>
    <n v="47.8"/>
    <n v="95.6"/>
    <d v="2025-03-08T00:00:00"/>
    <d v="2025-03-11T00:00:00"/>
    <s v="M"/>
    <x v="4"/>
    <n v="5"/>
    <s v="California"/>
    <s v="Contra Costa County"/>
    <n v="3"/>
    <n v="10"/>
    <x v="1"/>
  </r>
  <r>
    <s v="TX501815"/>
    <s v="Casual Dresses"/>
    <n v="2"/>
    <n v="65.8"/>
    <n v="131.6"/>
    <d v="2025-03-08T00:00:00"/>
    <d v="2025-03-10T00:00:00"/>
    <s v="F"/>
    <x v="0"/>
    <n v="1"/>
    <s v="California"/>
    <s v="Imperial County"/>
    <n v="2"/>
    <n v="10"/>
    <x v="2"/>
  </r>
  <r>
    <s v="TX501816"/>
    <s v="Crop Tops"/>
    <n v="11"/>
    <n v="38.700000000000003"/>
    <n v="425.70000000000005"/>
    <d v="2025-03-08T00:00:00"/>
    <d v="2025-03-08T00:00:00"/>
    <s v="M"/>
    <x v="0"/>
    <n v="4"/>
    <s v="California"/>
    <s v="Kern County"/>
    <n v="0"/>
    <n v="10"/>
    <x v="1"/>
  </r>
  <r>
    <s v="TX501817"/>
    <s v="Workout Tops"/>
    <n v="4"/>
    <n v="55.7"/>
    <n v="222.8"/>
    <d v="2025-03-08T00:00:00"/>
    <d v="2025-03-10T00:00:00"/>
    <s v="O"/>
    <x v="0"/>
    <n v="3"/>
    <s v="California"/>
    <s v="Kern County"/>
    <n v="2"/>
    <n v="10"/>
    <x v="3"/>
  </r>
  <r>
    <s v="TX501818"/>
    <s v="Hoodies &amp; Sweatshirts"/>
    <n v="2"/>
    <n v="102.4"/>
    <n v="204.8"/>
    <d v="2025-03-08T00:00:00"/>
    <d v="2025-03-08T00:00:00"/>
    <s v="F"/>
    <x v="1"/>
    <n v="4"/>
    <s v="California"/>
    <s v="Los Angeles County"/>
    <n v="0"/>
    <n v="10"/>
    <x v="2"/>
  </r>
  <r>
    <s v="TX501819"/>
    <s v="Tank Tops"/>
    <n v="1"/>
    <n v="92"/>
    <n v="92"/>
    <d v="2025-03-08T00:00:00"/>
    <d v="2025-03-12T00:00:00"/>
    <s v=""/>
    <x v="2"/>
    <n v="4"/>
    <s v="California"/>
    <s v="Los Angeles County"/>
    <n v="4"/>
    <n v="10"/>
    <x v="0"/>
  </r>
  <r>
    <s v="TX501820"/>
    <s v="Jeans"/>
    <n v="4"/>
    <n v="75.900000000000006"/>
    <n v="303.60000000000002"/>
    <d v="2025-03-08T00:00:00"/>
    <d v="2025-03-10T00:00:00"/>
    <s v="F"/>
    <x v="1"/>
    <n v="4"/>
    <s v="California"/>
    <s v="Los Angeles County"/>
    <n v="2"/>
    <n v="10"/>
    <x v="2"/>
  </r>
  <r>
    <s v="TX501821"/>
    <s v="Tank Tops"/>
    <n v="4"/>
    <n v="36.200000000000003"/>
    <n v="144.80000000000001"/>
    <d v="2025-03-08T00:00:00"/>
    <d v="2025-03-09T00:00:00"/>
    <s v="F"/>
    <x v="1"/>
    <n v="4"/>
    <s v="California"/>
    <s v="Los Angeles County"/>
    <n v="1"/>
    <n v="10"/>
    <x v="2"/>
  </r>
  <r>
    <s v="TX501822"/>
    <s v="Jeans"/>
    <n v="87"/>
    <n v="83.5"/>
    <n v="7264.5"/>
    <d v="2025-03-08T00:00:00"/>
    <d v="2025-03-10T00:00:00"/>
    <s v=""/>
    <x v="3"/>
    <n v="4"/>
    <s v="California"/>
    <s v="Los Angeles County"/>
    <n v="2"/>
    <n v="10"/>
    <x v="0"/>
  </r>
  <r>
    <s v="TX501823"/>
    <s v="Jewelry"/>
    <n v="12"/>
    <n v="52.4"/>
    <n v="628.79999999999995"/>
    <d v="2025-03-08T00:00:00"/>
    <d v="2025-03-08T00:00:00"/>
    <s v="M"/>
    <x v="2"/>
    <n v="4"/>
    <s v="California"/>
    <s v="Los Angeles County"/>
    <n v="0"/>
    <n v="10"/>
    <x v="1"/>
  </r>
  <r>
    <s v="TX501824"/>
    <s v="Casual Dresses"/>
    <n v="3"/>
    <n v="69.5"/>
    <n v="208.5"/>
    <d v="2025-03-08T00:00:00"/>
    <d v="2025-03-09T00:00:00"/>
    <s v="O"/>
    <x v="4"/>
    <n v="4"/>
    <s v="California"/>
    <s v="Los Angeles County"/>
    <n v="1"/>
    <n v="10"/>
    <x v="3"/>
  </r>
  <r>
    <s v="TX501825"/>
    <s v="Shorts"/>
    <n v="1"/>
    <n v="15.5"/>
    <n v="15.5"/>
    <d v="2025-03-08T00:00:00"/>
    <d v="2025-03-10T00:00:00"/>
    <s v="M"/>
    <x v="0"/>
    <n v="4"/>
    <s v="California"/>
    <s v="Los Angeles County"/>
    <n v="2"/>
    <n v="10"/>
    <x v="1"/>
  </r>
  <r>
    <s v="TX501826"/>
    <s v="Graphic Tees"/>
    <n v="4"/>
    <n v="35.200000000000003"/>
    <n v="140.80000000000001"/>
    <d v="2025-03-08T00:00:00"/>
    <d v="2025-03-09T00:00:00"/>
    <s v="F"/>
    <x v="2"/>
    <n v="5"/>
    <s v="California"/>
    <s v="Los Angeles County"/>
    <n v="1"/>
    <n v="10"/>
    <x v="2"/>
  </r>
  <r>
    <s v="TX501827"/>
    <s v="T-Shirts"/>
    <n v="6"/>
    <n v="34.6"/>
    <n v="207.60000000000002"/>
    <d v="2025-03-08T00:00:00"/>
    <d v="2025-03-09T00:00:00"/>
    <s v=""/>
    <x v="0"/>
    <n v="3"/>
    <s v="California"/>
    <s v="Los Angeles County"/>
    <n v="1"/>
    <n v="10"/>
    <x v="0"/>
  </r>
  <r>
    <s v="TX501828"/>
    <s v="Graphic Tees"/>
    <n v="1"/>
    <n v="21.3"/>
    <n v="21.3"/>
    <d v="2025-03-09T00:00:00"/>
    <d v="2025-03-10T00:00:00"/>
    <s v="M"/>
    <x v="2"/>
    <n v="3"/>
    <s v="California"/>
    <s v="Los Angeles County"/>
    <n v="1"/>
    <n v="11"/>
    <x v="1"/>
  </r>
  <r>
    <s v="TX501829"/>
    <s v="Jeans"/>
    <n v="2"/>
    <n v="136.5"/>
    <n v="273"/>
    <d v="2025-03-09T00:00:00"/>
    <d v="2025-03-15T00:00:00"/>
    <s v="F"/>
    <x v="0"/>
    <n v="4"/>
    <s v="California"/>
    <s v="Madera County"/>
    <n v="6"/>
    <n v="11"/>
    <x v="2"/>
  </r>
  <r>
    <s v="TX501830"/>
    <s v="Sundresses"/>
    <n v="7"/>
    <n v="30.7"/>
    <n v="214.9"/>
    <d v="2025-03-09T00:00:00"/>
    <d v="2025-03-10T00:00:00"/>
    <s v="M"/>
    <x v="2"/>
    <n v="5"/>
    <s v="California"/>
    <s v="Orange County"/>
    <n v="1"/>
    <n v="11"/>
    <x v="1"/>
  </r>
  <r>
    <s v="TX501831"/>
    <s v="Tank Tops"/>
    <n v="2"/>
    <n v="61.6"/>
    <n v="123.2"/>
    <d v="2025-03-09T00:00:00"/>
    <d v="2025-03-10T00:00:00"/>
    <s v="F"/>
    <x v="2"/>
    <n v="5"/>
    <s v="California"/>
    <s v="Riverside County"/>
    <n v="1"/>
    <n v="11"/>
    <x v="2"/>
  </r>
  <r>
    <s v="TX501832"/>
    <s v="Jeans"/>
    <n v="4"/>
    <n v="54.3"/>
    <n v="217.2"/>
    <d v="2025-03-09T00:00:00"/>
    <d v="2025-03-11T00:00:00"/>
    <s v=""/>
    <x v="4"/>
    <n v="4"/>
    <s v="California"/>
    <s v="San Bernardino County"/>
    <n v="2"/>
    <n v="11"/>
    <x v="0"/>
  </r>
  <r>
    <s v="TX501833"/>
    <s v="Tank Tops"/>
    <n v="2"/>
    <n v="44.1"/>
    <n v="88.2"/>
    <d v="2025-03-09T00:00:00"/>
    <d v="2025-03-21T00:00:00"/>
    <s v="F"/>
    <x v="0"/>
    <n v="5"/>
    <s v="California"/>
    <s v="San Diego County"/>
    <n v="12"/>
    <n v="11"/>
    <x v="2"/>
  </r>
  <r>
    <s v="TX501834"/>
    <s v="T-Shirts"/>
    <n v="4"/>
    <n v="43.5"/>
    <n v="174"/>
    <d v="2025-03-09T00:00:00"/>
    <d v="2025-03-15T00:00:00"/>
    <s v="M"/>
    <x v="3"/>
    <n v="4"/>
    <s v="California"/>
    <s v="San Diego County"/>
    <n v="6"/>
    <n v="11"/>
    <x v="1"/>
  </r>
  <r>
    <s v="TX501835"/>
    <s v="T-Shirts"/>
    <n v="3"/>
    <n v="48.2"/>
    <n v="144.60000000000002"/>
    <d v="2025-03-09T00:00:00"/>
    <d v="2025-03-13T00:00:00"/>
    <s v="M"/>
    <x v="3"/>
    <n v="3"/>
    <s v="California"/>
    <s v="San Diego County"/>
    <n v="4"/>
    <n v="11"/>
    <x v="1"/>
  </r>
  <r>
    <s v="TX501836"/>
    <s v="Jewelry"/>
    <n v="1"/>
    <n v="13.7"/>
    <n v="13.7"/>
    <d v="2025-03-09T00:00:00"/>
    <d v="2025-03-10T00:00:00"/>
    <s v="F"/>
    <x v="2"/>
    <n v="5"/>
    <s v="California"/>
    <s v="San Diego County"/>
    <n v="1"/>
    <n v="11"/>
    <x v="2"/>
  </r>
  <r>
    <s v="TX501837"/>
    <s v="Sneakers"/>
    <n v="2"/>
    <n v="110.5"/>
    <n v="221"/>
    <d v="2025-03-09T00:00:00"/>
    <d v="2025-03-10T00:00:00"/>
    <s v="F"/>
    <x v="0"/>
    <n v="3"/>
    <s v="California"/>
    <s v="San Diego County"/>
    <n v="1"/>
    <n v="11"/>
    <x v="2"/>
  </r>
  <r>
    <s v="TX501838"/>
    <s v="T-Shirts"/>
    <n v="3"/>
    <n v="26"/>
    <n v="78"/>
    <d v="2025-03-09T00:00:00"/>
    <d v="2025-03-14T00:00:00"/>
    <s v="F"/>
    <x v="1"/>
    <n v="3"/>
    <s v="California"/>
    <s v="San Diego County"/>
    <n v="5"/>
    <n v="11"/>
    <x v="2"/>
  </r>
  <r>
    <s v="TX501839"/>
    <s v="Sneakers"/>
    <n v="10"/>
    <n v="140.69999999999999"/>
    <n v="1407"/>
    <d v="2025-03-09T00:00:00"/>
    <d v="2025-03-15T00:00:00"/>
    <s v="M"/>
    <x v="3"/>
    <n v="3"/>
    <s v="California"/>
    <s v="San Diego County"/>
    <n v="6"/>
    <n v="11"/>
    <x v="1"/>
  </r>
  <r>
    <s v="TX501840"/>
    <s v="Pajama Sets"/>
    <n v="2"/>
    <n v="41.7"/>
    <n v="83.4"/>
    <d v="2025-03-09T00:00:00"/>
    <d v="2025-03-17T00:00:00"/>
    <s v="F"/>
    <x v="0"/>
    <n v="2"/>
    <s v="California"/>
    <s v="San Diego County"/>
    <n v="8"/>
    <n v="11"/>
    <x v="2"/>
  </r>
  <r>
    <s v="TX501841"/>
    <s v="Sneakers"/>
    <n v="2"/>
    <n v="135.1"/>
    <n v="270.2"/>
    <d v="2025-03-09T00:00:00"/>
    <d v="2025-03-10T00:00:00"/>
    <s v="M"/>
    <x v="0"/>
    <n v="5"/>
    <s v="California"/>
    <s v="San Francisco"/>
    <n v="1"/>
    <n v="11"/>
    <x v="1"/>
  </r>
  <r>
    <s v="TX501842"/>
    <s v="Casual Dresses"/>
    <n v="22"/>
    <n v="95.5"/>
    <n v="2101"/>
    <d v="2025-03-09T00:00:00"/>
    <d v="2025-03-10T00:00:00"/>
    <s v="F"/>
    <x v="4"/>
    <n v="2"/>
    <s v="California"/>
    <s v="San Joaquin County"/>
    <n v="1"/>
    <n v="11"/>
    <x v="2"/>
  </r>
  <r>
    <s v="TX501843"/>
    <s v="Crop Tops"/>
    <n v="1"/>
    <n v="25.5"/>
    <n v="25.5"/>
    <d v="2025-03-09T00:00:00"/>
    <d v="2025-03-12T00:00:00"/>
    <s v=""/>
    <x v="2"/>
    <n v="5"/>
    <s v="California"/>
    <s v="Santa Clara County"/>
    <n v="3"/>
    <n v="11"/>
    <x v="0"/>
  </r>
  <r>
    <s v="TX501844"/>
    <s v="Tank Tops"/>
    <n v="1"/>
    <n v="42.6"/>
    <n v="42.6"/>
    <d v="2025-03-09T00:00:00"/>
    <d v="2025-03-13T00:00:00"/>
    <s v="F"/>
    <x v="0"/>
    <n v="4"/>
    <s v="California"/>
    <s v="Santa Clara County"/>
    <n v="4"/>
    <n v="11"/>
    <x v="2"/>
  </r>
  <r>
    <s v="TX501845"/>
    <s v="T-Shirts"/>
    <n v="15"/>
    <n v="32.4"/>
    <n v="486"/>
    <d v="2025-03-09T00:00:00"/>
    <d v="2025-03-10T00:00:00"/>
    <s v="M"/>
    <x v="1"/>
    <n v="3"/>
    <s v="California"/>
    <s v="Santa Clara County"/>
    <n v="1"/>
    <n v="11"/>
    <x v="1"/>
  </r>
  <r>
    <s v="TX501846"/>
    <s v="Graphic Tees"/>
    <n v="4"/>
    <n v="20.2"/>
    <n v="80.8"/>
    <d v="2025-03-09T00:00:00"/>
    <d v="2025-03-10T00:00:00"/>
    <s v="O"/>
    <x v="2"/>
    <n v="4"/>
    <s v="California"/>
    <s v="Santa Clara County"/>
    <n v="1"/>
    <n v="11"/>
    <x v="3"/>
  </r>
  <r>
    <s v="TX501847"/>
    <s v="Sunglasses"/>
    <n v="3"/>
    <n v="52.5"/>
    <n v="157.5"/>
    <d v="2025-03-09T00:00:00"/>
    <d v="2025-03-14T00:00:00"/>
    <s v="F"/>
    <x v="4"/>
    <n v="4"/>
    <s v="California"/>
    <s v="Sonoma County"/>
    <n v="5"/>
    <n v="11"/>
    <x v="2"/>
  </r>
  <r>
    <s v="TX501848"/>
    <s v="Sneakers"/>
    <n v="5"/>
    <n v="59.9"/>
    <n v="299.5"/>
    <d v="2025-03-09T00:00:00"/>
    <d v="2025-03-11T00:00:00"/>
    <s v="F"/>
    <x v="2"/>
    <n v="4"/>
    <s v="California"/>
    <s v="Stanislaus County"/>
    <n v="2"/>
    <n v="11"/>
    <x v="2"/>
  </r>
  <r>
    <s v="TX501849"/>
    <s v="Graphic Tees"/>
    <n v="2"/>
    <n v="53.2"/>
    <n v="106.4"/>
    <d v="2025-03-09T00:00:00"/>
    <d v="2025-03-10T00:00:00"/>
    <s v="F"/>
    <x v="1"/>
    <n v="1"/>
    <s v="California"/>
    <s v="Tulare County"/>
    <n v="1"/>
    <n v="11"/>
    <x v="2"/>
  </r>
  <r>
    <s v="TX501850"/>
    <s v="Sneakers"/>
    <n v="2"/>
    <n v="60"/>
    <n v="120"/>
    <d v="2025-03-09T00:00:00"/>
    <d v="2025-03-15T00:00:00"/>
    <s v="M"/>
    <x v="1"/>
    <n v="5"/>
    <s v="California"/>
    <s v="Tulare County"/>
    <n v="6"/>
    <n v="11"/>
    <x v="1"/>
  </r>
  <r>
    <s v="TX501851"/>
    <s v="T-Shirts"/>
    <n v="3"/>
    <n v="29.3"/>
    <n v="87.9"/>
    <d v="2025-03-09T00:00:00"/>
    <d v="2025-03-10T00:00:00"/>
    <s v="F"/>
    <x v="4"/>
    <n v="4"/>
    <s v="California"/>
    <s v="Ventura County"/>
    <n v="1"/>
    <n v="11"/>
    <x v="2"/>
  </r>
  <r>
    <s v="TX501852"/>
    <s v="Casual Dresses"/>
    <n v="2"/>
    <n v="55.4"/>
    <n v="110.8"/>
    <d v="2025-03-09T00:00:00"/>
    <d v="2025-03-10T00:00:00"/>
    <s v="F"/>
    <x v="0"/>
    <n v="5"/>
    <s v="California"/>
    <s v="Alameda County"/>
    <n v="1"/>
    <n v="11"/>
    <x v="2"/>
  </r>
  <r>
    <s v="TX501853"/>
    <s v="Shorts"/>
    <n v="5"/>
    <n v="20.100000000000001"/>
    <n v="100.5"/>
    <d v="2025-03-09T00:00:00"/>
    <d v="2025-03-11T00:00:00"/>
    <s v="F"/>
    <x v="1"/>
    <n v="5"/>
    <s v="California"/>
    <s v="Alameda County"/>
    <n v="2"/>
    <n v="11"/>
    <x v="2"/>
  </r>
  <r>
    <s v="TX501854"/>
    <s v="Baseball Caps"/>
    <n v="5"/>
    <n v="24"/>
    <n v="120"/>
    <d v="2025-03-09T00:00:00"/>
    <d v="2025-03-12T00:00:00"/>
    <s v="M"/>
    <x v="2"/>
    <n v="4"/>
    <s v="California"/>
    <s v="Contra Costa County"/>
    <n v="3"/>
    <n v="11"/>
    <x v="1"/>
  </r>
  <r>
    <s v="TX501855"/>
    <s v="T-Shirts"/>
    <n v="2"/>
    <n v="30.6"/>
    <n v="61.2"/>
    <d v="2025-03-10T00:00:00"/>
    <d v="2025-03-12T00:00:00"/>
    <s v="F"/>
    <x v="0"/>
    <n v="4"/>
    <s v="California"/>
    <s v="Contra Costa County"/>
    <n v="2"/>
    <n v="11"/>
    <x v="2"/>
  </r>
  <r>
    <s v="TX501856"/>
    <s v="Bikinis"/>
    <n v="5"/>
    <n v="33"/>
    <n v="165"/>
    <d v="2025-03-10T00:00:00"/>
    <d v="2025-03-11T00:00:00"/>
    <s v="M"/>
    <x v="1"/>
    <n v="3"/>
    <s v="California"/>
    <s v="Glenn County"/>
    <n v="1"/>
    <n v="11"/>
    <x v="1"/>
  </r>
  <r>
    <s v="TX501857"/>
    <s v="Pajama Sets"/>
    <n v="9"/>
    <n v="42.1"/>
    <n v="378.90000000000003"/>
    <d v="2025-03-10T00:00:00"/>
    <d v="2025-03-16T00:00:00"/>
    <s v="F"/>
    <x v="2"/>
    <n v="4"/>
    <s v="California"/>
    <s v="Humboldt County"/>
    <n v="6"/>
    <n v="11"/>
    <x v="2"/>
  </r>
  <r>
    <s v="TX501858"/>
    <s v="Jeans"/>
    <n v="7"/>
    <n v="77.7"/>
    <n v="543.9"/>
    <d v="2025-03-10T00:00:00"/>
    <d v="2025-03-15T00:00:00"/>
    <s v="F"/>
    <x v="1"/>
    <n v="5"/>
    <s v="California"/>
    <s v="Lake County"/>
    <n v="5"/>
    <n v="11"/>
    <x v="2"/>
  </r>
  <r>
    <s v="TX501859"/>
    <s v="Pajama Sets"/>
    <n v="6"/>
    <n v="22.7"/>
    <n v="136.19999999999999"/>
    <d v="2025-03-10T00:00:00"/>
    <d v="2025-03-13T00:00:00"/>
    <s v="F"/>
    <x v="2"/>
    <n v="4"/>
    <s v="California"/>
    <s v="Los Angeles County"/>
    <n v="3"/>
    <n v="11"/>
    <x v="2"/>
  </r>
  <r>
    <s v="TX501860"/>
    <s v="Sneakers"/>
    <n v="2"/>
    <n v="133"/>
    <n v="266"/>
    <d v="2025-03-10T00:00:00"/>
    <d v="2025-03-10T00:00:00"/>
    <s v="M"/>
    <x v="2"/>
    <n v="5"/>
    <s v="California"/>
    <s v="Los Angeles County"/>
    <n v="0"/>
    <n v="11"/>
    <x v="1"/>
  </r>
  <r>
    <s v="TX501861"/>
    <s v="Shorts"/>
    <n v="2"/>
    <n v="23.3"/>
    <n v="46.6"/>
    <d v="2025-03-10T00:00:00"/>
    <d v="2025-03-11T00:00:00"/>
    <s v="M"/>
    <x v="1"/>
    <n v="5"/>
    <s v="California"/>
    <s v="Los Angeles County"/>
    <n v="1"/>
    <n v="11"/>
    <x v="1"/>
  </r>
  <r>
    <s v="TX501862"/>
    <s v="T-Shirts"/>
    <n v="3"/>
    <n v="20.7"/>
    <n v="62.099999999999994"/>
    <d v="2025-03-10T00:00:00"/>
    <d v="2025-03-12T00:00:00"/>
    <s v="O"/>
    <x v="0"/>
    <n v="5"/>
    <s v="California"/>
    <s v="Los Angeles County"/>
    <n v="2"/>
    <n v="11"/>
    <x v="3"/>
  </r>
  <r>
    <s v="TX501863"/>
    <s v="Casual Dresses"/>
    <n v="2"/>
    <n v="47"/>
    <n v="94"/>
    <d v="2025-03-10T00:00:00"/>
    <d v="2025-03-11T00:00:00"/>
    <s v="M"/>
    <x v="1"/>
    <n v="5"/>
    <s v="California"/>
    <s v="Los Angeles County"/>
    <n v="1"/>
    <n v="11"/>
    <x v="1"/>
  </r>
  <r>
    <s v="TX501864"/>
    <s v="Casual Dresses"/>
    <n v="3"/>
    <n v="38.200000000000003"/>
    <n v="114.60000000000001"/>
    <d v="2025-03-10T00:00:00"/>
    <d v="2025-03-12T00:00:00"/>
    <s v="F"/>
    <x v="2"/>
    <n v="2"/>
    <s v="California"/>
    <s v="Los Angeles County"/>
    <n v="2"/>
    <n v="11"/>
    <x v="2"/>
  </r>
  <r>
    <s v="TX501865"/>
    <s v="Sundresses"/>
    <n v="1"/>
    <n v="39.1"/>
    <n v="39.1"/>
    <d v="2025-03-10T00:00:00"/>
    <d v="2025-03-12T00:00:00"/>
    <s v="F"/>
    <x v="0"/>
    <n v="4"/>
    <s v="California"/>
    <s v="Los Angeles County"/>
    <n v="2"/>
    <n v="11"/>
    <x v="2"/>
  </r>
  <r>
    <s v="TX501866"/>
    <s v="Hoodies &amp; Sweatshirts"/>
    <n v="25"/>
    <n v="55.6"/>
    <n v="1390"/>
    <d v="2025-03-10T00:00:00"/>
    <d v="2025-03-12T00:00:00"/>
    <s v="M"/>
    <x v="0"/>
    <n v="5"/>
    <s v="California"/>
    <s v="Los Angeles County"/>
    <n v="2"/>
    <n v="11"/>
    <x v="1"/>
  </r>
  <r>
    <s v="TX501867"/>
    <s v="Crop Tops"/>
    <n v="1"/>
    <n v="43.1"/>
    <n v="43.1"/>
    <d v="2025-03-10T00:00:00"/>
    <d v="2025-03-10T00:00:00"/>
    <s v="O"/>
    <x v="1"/>
    <n v="5"/>
    <s v="California"/>
    <s v="Los Angeles County"/>
    <n v="0"/>
    <n v="11"/>
    <x v="3"/>
  </r>
  <r>
    <s v="TX501868"/>
    <s v="Jeans"/>
    <n v="4"/>
    <n v="48.1"/>
    <n v="192.4"/>
    <d v="2025-03-10T00:00:00"/>
    <d v="2025-03-11T00:00:00"/>
    <s v="F"/>
    <x v="4"/>
    <n v="5"/>
    <s v="California"/>
    <s v="Los Angeles County"/>
    <n v="1"/>
    <n v="11"/>
    <x v="2"/>
  </r>
  <r>
    <s v="TX501869"/>
    <s v="Graphic Tees"/>
    <n v="1"/>
    <n v="42"/>
    <n v="42"/>
    <d v="2025-03-10T00:00:00"/>
    <d v="2025-03-11T00:00:00"/>
    <s v="O"/>
    <x v="0"/>
    <n v="4"/>
    <s v="California"/>
    <s v="Los Angeles County"/>
    <n v="1"/>
    <n v="11"/>
    <x v="3"/>
  </r>
  <r>
    <s v="TX501870"/>
    <s v="T-Shirts"/>
    <n v="5"/>
    <n v="18.3"/>
    <n v="91.5"/>
    <d v="2025-03-10T00:00:00"/>
    <d v="2025-03-10T00:00:00"/>
    <s v="F"/>
    <x v="2"/>
    <n v="4"/>
    <s v="California"/>
    <s v="Los Angeles County"/>
    <n v="0"/>
    <n v="11"/>
    <x v="2"/>
  </r>
  <r>
    <s v="TX501871"/>
    <s v="Bikinis"/>
    <n v="4"/>
    <n v="45.3"/>
    <n v="181.2"/>
    <d v="2025-03-10T00:00:00"/>
    <d v="2025-03-13T00:00:00"/>
    <s v="F"/>
    <x v="0"/>
    <n v="5"/>
    <s v="California"/>
    <s v="Los Angeles County"/>
    <n v="3"/>
    <n v="11"/>
    <x v="2"/>
  </r>
  <r>
    <s v="TX501872"/>
    <s v="Shorts"/>
    <n v="2"/>
    <n v="27.6"/>
    <n v="55.2"/>
    <d v="2025-03-10T00:00:00"/>
    <d v="2025-03-12T00:00:00"/>
    <s v="M"/>
    <x v="0"/>
    <n v="5"/>
    <s v="California"/>
    <s v="Madera County"/>
    <n v="2"/>
    <n v="11"/>
    <x v="1"/>
  </r>
  <r>
    <s v="TX501873"/>
    <s v="Graphic Tees"/>
    <n v="5"/>
    <n v="26.9"/>
    <n v="134.5"/>
    <d v="2025-03-10T00:00:00"/>
    <d v="2025-03-11T00:00:00"/>
    <s v="F"/>
    <x v="2"/>
    <n v="4"/>
    <s v="California"/>
    <s v="Orange County"/>
    <n v="1"/>
    <n v="11"/>
    <x v="2"/>
  </r>
  <r>
    <s v="TX501874"/>
    <s v="Sneakers"/>
    <n v="9"/>
    <n v="82.4"/>
    <n v="741.6"/>
    <d v="2025-03-10T00:00:00"/>
    <d v="2025-03-12T00:00:00"/>
    <s v="O"/>
    <x v="2"/>
    <n v="4"/>
    <s v="California"/>
    <s v="Placer County"/>
    <n v="2"/>
    <n v="11"/>
    <x v="3"/>
  </r>
  <r>
    <s v="TX501875"/>
    <s v="Jeans"/>
    <n v="1"/>
    <n v="103.7"/>
    <n v="103.7"/>
    <d v="2025-03-10T00:00:00"/>
    <d v="2025-03-12T00:00:00"/>
    <s v="F"/>
    <x v="1"/>
    <n v="4"/>
    <s v="California"/>
    <s v="Placer County"/>
    <n v="2"/>
    <n v="11"/>
    <x v="2"/>
  </r>
  <r>
    <s v="TX501876"/>
    <s v="Sneakers"/>
    <n v="2"/>
    <n v="58.8"/>
    <n v="117.6"/>
    <d v="2025-03-10T00:00:00"/>
    <d v="2025-03-15T00:00:00"/>
    <s v="F"/>
    <x v="1"/>
    <n v="5"/>
    <s v="California"/>
    <s v="Sacramento County"/>
    <n v="5"/>
    <n v="11"/>
    <x v="2"/>
  </r>
  <r>
    <s v="TX501877"/>
    <s v="Tote Bags"/>
    <n v="1"/>
    <n v="31.5"/>
    <n v="31.5"/>
    <d v="2025-03-10T00:00:00"/>
    <d v="2025-03-11T00:00:00"/>
    <s v="F"/>
    <x v="1"/>
    <n v="3"/>
    <s v="California"/>
    <s v="Sacramento County"/>
    <n v="1"/>
    <n v="11"/>
    <x v="2"/>
  </r>
  <r>
    <s v="TX501878"/>
    <s v="Hoodies &amp; Sweatshirts"/>
    <n v="5"/>
    <n v="36.799999999999997"/>
    <n v="184"/>
    <d v="2025-03-10T00:00:00"/>
    <d v="2025-03-12T00:00:00"/>
    <s v="F"/>
    <x v="0"/>
    <n v="4"/>
    <s v="California"/>
    <s v="San Diego County"/>
    <n v="2"/>
    <n v="11"/>
    <x v="2"/>
  </r>
  <r>
    <s v="TX501879"/>
    <s v="Workout Tops"/>
    <n v="1"/>
    <n v="84.4"/>
    <n v="84.4"/>
    <d v="2025-03-10T00:00:00"/>
    <d v="2025-03-11T00:00:00"/>
    <s v="F"/>
    <x v="0"/>
    <n v="4"/>
    <s v="California"/>
    <s v="San Diego County"/>
    <n v="1"/>
    <n v="11"/>
    <x v="2"/>
  </r>
  <r>
    <s v="TX501880"/>
    <s v="Baseball Caps"/>
    <n v="1"/>
    <n v="44.7"/>
    <n v="44.7"/>
    <d v="2025-03-10T00:00:00"/>
    <d v="2025-03-11T00:00:00"/>
    <s v="M"/>
    <x v="0"/>
    <n v="3"/>
    <s v="California"/>
    <s v="San Diego County"/>
    <n v="1"/>
    <n v="11"/>
    <x v="1"/>
  </r>
  <r>
    <s v="TX501881"/>
    <s v="Sundresses"/>
    <n v="8"/>
    <n v="39.4"/>
    <n v="315.2"/>
    <d v="2025-03-10T00:00:00"/>
    <d v="2025-03-11T00:00:00"/>
    <s v="F"/>
    <x v="1"/>
    <n v="5"/>
    <s v="California"/>
    <s v="San Diego County"/>
    <n v="1"/>
    <n v="11"/>
    <x v="2"/>
  </r>
  <r>
    <s v="TX501882"/>
    <s v="Maxi Dresses"/>
    <n v="4"/>
    <n v="34.9"/>
    <n v="139.6"/>
    <d v="2025-03-10T00:00:00"/>
    <d v="2025-03-12T00:00:00"/>
    <s v="F"/>
    <x v="0"/>
    <n v="5"/>
    <s v="California"/>
    <s v="San Diego County"/>
    <n v="2"/>
    <n v="11"/>
    <x v="2"/>
  </r>
  <r>
    <s v="TX501883"/>
    <s v="Tank Tops"/>
    <n v="3"/>
    <n v="62.3"/>
    <n v="186.89999999999998"/>
    <d v="2025-03-10T00:00:00"/>
    <d v="2025-03-12T00:00:00"/>
    <s v="M"/>
    <x v="4"/>
    <n v="5"/>
    <s v="California"/>
    <s v="San Diego County"/>
    <n v="2"/>
    <n v="11"/>
    <x v="1"/>
  </r>
  <r>
    <s v="TX501884"/>
    <s v="T-Shirts"/>
    <n v="4"/>
    <n v="21.1"/>
    <n v="84.4"/>
    <d v="2025-03-10T00:00:00"/>
    <d v="2025-03-13T00:00:00"/>
    <s v="M"/>
    <x v="3"/>
    <n v="4"/>
    <s v="California"/>
    <s v="San Diego County"/>
    <n v="3"/>
    <n v="11"/>
    <x v="1"/>
  </r>
  <r>
    <s v="TX501885"/>
    <s v="T-Shirts"/>
    <n v="3"/>
    <n v="33.200000000000003"/>
    <n v="99.600000000000009"/>
    <d v="2025-03-10T00:00:00"/>
    <d v="2025-03-24T00:00:00"/>
    <s v=""/>
    <x v="0"/>
    <n v="2"/>
    <s v="California"/>
    <s v="San Diego County"/>
    <n v="14"/>
    <n v="11"/>
    <x v="0"/>
  </r>
  <r>
    <s v="TX501886"/>
    <s v="Tank Tops"/>
    <n v="4"/>
    <n v="74.5"/>
    <n v="298"/>
    <d v="2025-03-10T00:00:00"/>
    <d v="2025-03-11T00:00:00"/>
    <s v="M"/>
    <x v="4"/>
    <n v="4"/>
    <s v="California"/>
    <s v="San Diego County"/>
    <n v="1"/>
    <n v="11"/>
    <x v="1"/>
  </r>
  <r>
    <s v="TX501887"/>
    <s v="Bikinis"/>
    <n v="12"/>
    <n v="68.599999999999994"/>
    <n v="823.19999999999993"/>
    <d v="2025-03-10T00:00:00"/>
    <d v="2025-03-13T00:00:00"/>
    <s v="F"/>
    <x v="0"/>
    <n v="5"/>
    <s v="California"/>
    <s v="San Diego County"/>
    <n v="3"/>
    <n v="11"/>
    <x v="2"/>
  </r>
  <r>
    <s v="TX501888"/>
    <s v="Sandals"/>
    <n v="14"/>
    <n v="36.4"/>
    <n v="509.59999999999997"/>
    <d v="2025-03-10T00:00:00"/>
    <d v="2025-03-12T00:00:00"/>
    <s v="F"/>
    <x v="0"/>
    <n v="3"/>
    <s v="California"/>
    <s v="San Mateo County"/>
    <n v="2"/>
    <n v="11"/>
    <x v="2"/>
  </r>
  <r>
    <s v="TX501889"/>
    <s v="Sunglasses"/>
    <n v="5"/>
    <n v="67.599999999999994"/>
    <n v="338"/>
    <d v="2025-03-11T00:00:00"/>
    <d v="2025-03-14T00:00:00"/>
    <s v="F"/>
    <x v="4"/>
    <n v="3"/>
    <s v="California"/>
    <s v="San Mateo County"/>
    <n v="3"/>
    <n v="11"/>
    <x v="2"/>
  </r>
  <r>
    <s v="TX501890"/>
    <s v="Crop Tops"/>
    <n v="1"/>
    <n v="46.3"/>
    <n v="46.3"/>
    <d v="2025-03-11T00:00:00"/>
    <d v="2025-03-12T00:00:00"/>
    <s v="M"/>
    <x v="2"/>
    <n v="4"/>
    <s v="California"/>
    <s v="San Mateo County"/>
    <n v="1"/>
    <n v="11"/>
    <x v="1"/>
  </r>
  <r>
    <s v="TX501891"/>
    <s v="Tank Tops"/>
    <n v="3"/>
    <n v="124.2"/>
    <n v="372.6"/>
    <d v="2025-03-11T00:00:00"/>
    <d v="2025-03-13T00:00:00"/>
    <s v="F"/>
    <x v="1"/>
    <n v="5"/>
    <s v="California"/>
    <s v="Santa Clara County"/>
    <n v="2"/>
    <n v="11"/>
    <x v="2"/>
  </r>
  <r>
    <s v="TX501892"/>
    <s v="Bikinis"/>
    <n v="2"/>
    <n v="37"/>
    <n v="74"/>
    <d v="2025-03-11T00:00:00"/>
    <d v="2025-03-17T00:00:00"/>
    <s v="M"/>
    <x v="0"/>
    <n v="4"/>
    <s v="California"/>
    <s v="Santa Clara County"/>
    <n v="6"/>
    <n v="11"/>
    <x v="1"/>
  </r>
  <r>
    <s v="TX501893"/>
    <s v="Sandals"/>
    <n v="1"/>
    <n v="41.8"/>
    <n v="41.8"/>
    <d v="2025-03-11T00:00:00"/>
    <d v="2025-03-12T00:00:00"/>
    <s v="M"/>
    <x v="2"/>
    <n v="4"/>
    <s v="California"/>
    <s v="Sutter County"/>
    <n v="1"/>
    <n v="11"/>
    <x v="1"/>
  </r>
  <r>
    <s v="TX501894"/>
    <s v="Sundresses"/>
    <n v="2"/>
    <n v="57.2"/>
    <n v="114.4"/>
    <d v="2025-03-11T00:00:00"/>
    <d v="2025-03-13T00:00:00"/>
    <s v="M"/>
    <x v="2"/>
    <n v="3"/>
    <s v="California"/>
    <s v="Tulare County"/>
    <n v="2"/>
    <n v="11"/>
    <x v="1"/>
  </r>
  <r>
    <s v="TX501895"/>
    <s v="Jeans"/>
    <n v="2"/>
    <n v="47.1"/>
    <n v="94.2"/>
    <d v="2025-03-11T00:00:00"/>
    <d v="2025-03-13T00:00:00"/>
    <s v="F"/>
    <x v="0"/>
    <n v="2"/>
    <s v="California"/>
    <s v="Tulare County"/>
    <n v="2"/>
    <n v="11"/>
    <x v="2"/>
  </r>
  <r>
    <s v="TX501896"/>
    <s v="Sandals"/>
    <n v="3"/>
    <n v="86.4"/>
    <n v="259.20000000000005"/>
    <d v="2025-03-11T00:00:00"/>
    <d v="2025-03-12T00:00:00"/>
    <s v="M"/>
    <x v="2"/>
    <n v="3"/>
    <s v="California"/>
    <s v="Tuolumne County"/>
    <n v="1"/>
    <n v="11"/>
    <x v="1"/>
  </r>
  <r>
    <s v="TX501897"/>
    <s v="Jeans"/>
    <n v="5"/>
    <n v="105"/>
    <n v="525"/>
    <d v="2025-03-11T00:00:00"/>
    <d v="2025-03-14T00:00:00"/>
    <s v="M"/>
    <x v="0"/>
    <n v="4"/>
    <s v="California"/>
    <s v="Ventura County"/>
    <n v="3"/>
    <n v="11"/>
    <x v="1"/>
  </r>
  <r>
    <s v="TX501898"/>
    <s v="Leggings"/>
    <n v="1"/>
    <n v="33"/>
    <n v="33"/>
    <d v="2025-03-11T00:00:00"/>
    <d v="2025-03-14T00:00:00"/>
    <s v="M"/>
    <x v="4"/>
    <n v="4"/>
    <s v="California"/>
    <s v="Alameda County"/>
    <n v="3"/>
    <n v="11"/>
    <x v="1"/>
  </r>
  <r>
    <s v="TX501899"/>
    <s v="Jeans"/>
    <n v="5"/>
    <n v="106.6"/>
    <n v="533"/>
    <d v="2025-03-11T00:00:00"/>
    <d v="2025-03-24T00:00:00"/>
    <s v="F"/>
    <x v="2"/>
    <n v="4"/>
    <s v="California"/>
    <s v="Contra Costa County"/>
    <n v="13"/>
    <n v="11"/>
    <x v="2"/>
  </r>
  <r>
    <s v="TX501900"/>
    <s v="Bikinis"/>
    <n v="32"/>
    <n v="26.8"/>
    <n v="857.6"/>
    <d v="2025-03-11T00:00:00"/>
    <d v="2025-03-12T00:00:00"/>
    <s v="F"/>
    <x v="2"/>
    <n v="4"/>
    <s v="California"/>
    <s v="Contra Costa County"/>
    <n v="1"/>
    <n v="11"/>
    <x v="2"/>
  </r>
  <r>
    <s v="TX501901"/>
    <s v="Pajama Sets"/>
    <n v="5"/>
    <n v="25.8"/>
    <n v="129"/>
    <d v="2025-03-11T00:00:00"/>
    <d v="2025-03-11T00:00:00"/>
    <s v="F"/>
    <x v="1"/>
    <n v="5"/>
    <s v="California"/>
    <s v="Los Angeles County"/>
    <n v="0"/>
    <n v="11"/>
    <x v="2"/>
  </r>
  <r>
    <s v="TX501902"/>
    <s v="Sneakers"/>
    <n v="3"/>
    <n v="217"/>
    <n v="651"/>
    <d v="2025-03-11T00:00:00"/>
    <d v="2025-03-12T00:00:00"/>
    <s v="F"/>
    <x v="1"/>
    <n v="3"/>
    <s v="California"/>
    <s v="Los Angeles County"/>
    <n v="1"/>
    <n v="11"/>
    <x v="2"/>
  </r>
  <r>
    <s v="TX501903"/>
    <s v="Sneakers"/>
    <n v="2"/>
    <n v="97.3"/>
    <n v="194.6"/>
    <d v="2025-03-11T00:00:00"/>
    <d v="2025-03-12T00:00:00"/>
    <s v="M"/>
    <x v="2"/>
    <n v="2"/>
    <s v="California"/>
    <s v="Los Angeles County"/>
    <n v="1"/>
    <n v="11"/>
    <x v="1"/>
  </r>
  <r>
    <s v="TX501904"/>
    <s v="Tank Tops"/>
    <n v="1"/>
    <n v="49.8"/>
    <n v="49.8"/>
    <d v="2025-03-11T00:00:00"/>
    <d v="2025-03-12T00:00:00"/>
    <s v="F"/>
    <x v="0"/>
    <n v="4"/>
    <s v="California"/>
    <s v="Los Angeles County"/>
    <n v="1"/>
    <n v="11"/>
    <x v="2"/>
  </r>
  <r>
    <s v="TX501905"/>
    <s v="Casual Dresses"/>
    <n v="5"/>
    <n v="32.6"/>
    <n v="163"/>
    <d v="2025-03-11T00:00:00"/>
    <d v="2025-03-12T00:00:00"/>
    <s v="F"/>
    <x v="0"/>
    <n v="4"/>
    <s v="California"/>
    <s v="Los Angeles County"/>
    <n v="1"/>
    <n v="11"/>
    <x v="2"/>
  </r>
  <r>
    <s v="TX501906"/>
    <s v="Sundresses"/>
    <n v="2"/>
    <n v="40.1"/>
    <n v="80.2"/>
    <d v="2025-03-11T00:00:00"/>
    <d v="2025-03-14T00:00:00"/>
    <s v="M"/>
    <x v="1"/>
    <n v="5"/>
    <s v="California"/>
    <s v="Los Angeles County"/>
    <n v="3"/>
    <n v="11"/>
    <x v="1"/>
  </r>
  <r>
    <s v="TX501907"/>
    <s v="Bikinis"/>
    <n v="2"/>
    <n v="49.4"/>
    <n v="98.8"/>
    <d v="2025-03-11T00:00:00"/>
    <d v="2025-03-13T00:00:00"/>
    <s v="M"/>
    <x v="1"/>
    <n v="4"/>
    <s v="California"/>
    <s v="Los Angeles County"/>
    <n v="2"/>
    <n v="11"/>
    <x v="1"/>
  </r>
  <r>
    <s v="TX501908"/>
    <s v="Sneakers"/>
    <n v="1"/>
    <n v="67.3"/>
    <n v="67.3"/>
    <d v="2025-03-11T00:00:00"/>
    <d v="2025-03-12T00:00:00"/>
    <s v="F"/>
    <x v="0"/>
    <n v="5"/>
    <s v="California"/>
    <s v="Los Angeles County"/>
    <n v="1"/>
    <n v="11"/>
    <x v="2"/>
  </r>
  <r>
    <s v="TX501909"/>
    <s v="Leggings"/>
    <n v="4"/>
    <n v="44.5"/>
    <n v="178"/>
    <d v="2025-03-11T00:00:00"/>
    <d v="2025-03-14T00:00:00"/>
    <s v=""/>
    <x v="1"/>
    <n v="4"/>
    <s v="California"/>
    <s v="Los Angeles County"/>
    <n v="3"/>
    <n v="11"/>
    <x v="0"/>
  </r>
  <r>
    <s v="TX501910"/>
    <s v="Jeans"/>
    <n v="11"/>
    <n v="111.1"/>
    <n v="1222.0999999999999"/>
    <d v="2025-03-11T00:00:00"/>
    <d v="2025-03-12T00:00:00"/>
    <s v="F"/>
    <x v="4"/>
    <n v="4"/>
    <s v="California"/>
    <s v="Los Angeles County"/>
    <n v="1"/>
    <n v="11"/>
    <x v="2"/>
  </r>
  <r>
    <s v="TX501911"/>
    <s v="T-Shirts"/>
    <n v="3"/>
    <n v="19.7"/>
    <n v="59.099999999999994"/>
    <d v="2025-03-11T00:00:00"/>
    <d v="2025-03-12T00:00:00"/>
    <s v="F"/>
    <x v="4"/>
    <n v="2"/>
    <s v="California"/>
    <s v="Los Angeles County"/>
    <n v="1"/>
    <n v="11"/>
    <x v="2"/>
  </r>
  <r>
    <s v="TX501912"/>
    <s v="Tank Tops"/>
    <n v="1"/>
    <n v="40.299999999999997"/>
    <n v="40.299999999999997"/>
    <d v="2025-03-11T00:00:00"/>
    <d v="2025-03-12T00:00:00"/>
    <s v="O"/>
    <x v="1"/>
    <n v="4"/>
    <s v="California"/>
    <s v="Los Angeles County"/>
    <n v="1"/>
    <n v="11"/>
    <x v="3"/>
  </r>
  <r>
    <s v="TX501913"/>
    <s v="Jeans"/>
    <n v="2"/>
    <n v="108.8"/>
    <n v="217.6"/>
    <d v="2025-03-11T00:00:00"/>
    <d v="2025-03-16T00:00:00"/>
    <s v="M"/>
    <x v="0"/>
    <n v="5"/>
    <s v="California"/>
    <s v="Sacramento County"/>
    <n v="5"/>
    <n v="11"/>
    <x v="1"/>
  </r>
  <r>
    <s v="TX501914"/>
    <s v="T-Shirts"/>
    <n v="3"/>
    <n v="48.2"/>
    <n v="144.60000000000002"/>
    <d v="2025-03-11T00:00:00"/>
    <d v="2025-03-16T00:00:00"/>
    <s v="F"/>
    <x v="4"/>
    <n v="4"/>
    <s v="California"/>
    <s v="San Bernardino County"/>
    <n v="5"/>
    <n v="11"/>
    <x v="2"/>
  </r>
  <r>
    <s v="TX501915"/>
    <s v="Sneakers"/>
    <n v="3"/>
    <n v="104.7"/>
    <n v="314.10000000000002"/>
    <d v="2025-03-11T00:00:00"/>
    <d v="2025-03-13T00:00:00"/>
    <s v="F"/>
    <x v="0"/>
    <n v="3"/>
    <s v="California"/>
    <s v="San Bernardino County"/>
    <n v="2"/>
    <n v="11"/>
    <x v="2"/>
  </r>
  <r>
    <s v="TX501916"/>
    <s v="Tank Tops"/>
    <n v="2"/>
    <n v="80.599999999999994"/>
    <n v="161.19999999999999"/>
    <d v="2025-03-11T00:00:00"/>
    <d v="2025-03-11T00:00:00"/>
    <s v="F"/>
    <x v="1"/>
    <n v="4"/>
    <s v="California"/>
    <s v="San Diego County"/>
    <n v="0"/>
    <n v="11"/>
    <x v="2"/>
  </r>
  <r>
    <s v="TX501917"/>
    <s v="Jeans"/>
    <n v="1"/>
    <n v="65.5"/>
    <n v="65.5"/>
    <d v="2025-03-11T00:00:00"/>
    <d v="2025-03-13T00:00:00"/>
    <s v="O"/>
    <x v="1"/>
    <n v="4"/>
    <s v="California"/>
    <s v="San Diego County"/>
    <n v="2"/>
    <n v="11"/>
    <x v="3"/>
  </r>
  <r>
    <s v="TX501918"/>
    <s v="Sundresses"/>
    <n v="3"/>
    <n v="61.4"/>
    <n v="184.2"/>
    <d v="2025-03-11T00:00:00"/>
    <d v="2025-03-13T00:00:00"/>
    <s v="F"/>
    <x v="4"/>
    <n v="5"/>
    <s v="California"/>
    <s v="San Diego County"/>
    <n v="2"/>
    <n v="11"/>
    <x v="2"/>
  </r>
  <r>
    <s v="TX501919"/>
    <s v="Shorts"/>
    <n v="1"/>
    <n v="12.5"/>
    <n v="12.5"/>
    <d v="2025-03-12T00:00:00"/>
    <d v="2025-03-15T00:00:00"/>
    <s v="F"/>
    <x v="0"/>
    <n v="3"/>
    <s v="California"/>
    <s v="San Diego County"/>
    <n v="3"/>
    <n v="11"/>
    <x v="2"/>
  </r>
  <r>
    <s v="TX501920"/>
    <s v="Graphic Tees"/>
    <n v="4"/>
    <n v="35.1"/>
    <n v="140.4"/>
    <d v="2025-03-12T00:00:00"/>
    <d v="2025-03-13T00:00:00"/>
    <s v="M"/>
    <x v="2"/>
    <n v="3"/>
    <s v="California"/>
    <s v="San Francisco"/>
    <n v="1"/>
    <n v="11"/>
    <x v="1"/>
  </r>
  <r>
    <s v="TX501921"/>
    <s v="Sandals"/>
    <n v="2"/>
    <n v="55.7"/>
    <n v="111.4"/>
    <d v="2025-03-12T00:00:00"/>
    <d v="2025-03-13T00:00:00"/>
    <s v="M"/>
    <x v="0"/>
    <n v="3"/>
    <s v="California"/>
    <s v="San Joaquin County"/>
    <n v="1"/>
    <n v="11"/>
    <x v="1"/>
  </r>
  <r>
    <s v="TX501922"/>
    <s v="Hoodies &amp; Sweatshirts"/>
    <n v="2"/>
    <n v="57.7"/>
    <n v="115.4"/>
    <d v="2025-03-12T00:00:00"/>
    <d v="2025-03-14T00:00:00"/>
    <s v="M"/>
    <x v="4"/>
    <n v="3"/>
    <s v="California"/>
    <s v="San Mateo County"/>
    <n v="2"/>
    <n v="11"/>
    <x v="1"/>
  </r>
  <r>
    <s v="TX501923"/>
    <s v="Sneakers"/>
    <n v="6"/>
    <n v="85.7"/>
    <n v="514.20000000000005"/>
    <d v="2025-03-12T00:00:00"/>
    <d v="2025-03-13T00:00:00"/>
    <s v="M"/>
    <x v="3"/>
    <n v="5"/>
    <s v="California"/>
    <s v="San Mateo County"/>
    <n v="1"/>
    <n v="11"/>
    <x v="1"/>
  </r>
  <r>
    <s v="TX501924"/>
    <s v="Sneakers"/>
    <n v="3"/>
    <n v="86.9"/>
    <n v="260.70000000000005"/>
    <d v="2025-03-12T00:00:00"/>
    <d v="2025-03-14T00:00:00"/>
    <s v="F"/>
    <x v="1"/>
    <n v="4"/>
    <s v="California"/>
    <s v="Santa Clara County"/>
    <n v="2"/>
    <n v="11"/>
    <x v="2"/>
  </r>
  <r>
    <s v="TX501925"/>
    <s v="Leggings"/>
    <n v="2"/>
    <n v="46.4"/>
    <n v="92.8"/>
    <d v="2025-03-12T00:00:00"/>
    <d v="2025-03-15T00:00:00"/>
    <s v="F"/>
    <x v="4"/>
    <n v="4"/>
    <s v="California"/>
    <s v="Santa Clara County"/>
    <n v="3"/>
    <n v="11"/>
    <x v="2"/>
  </r>
  <r>
    <s v="TX501926"/>
    <s v="Sandals"/>
    <n v="3"/>
    <n v="25.4"/>
    <n v="76.199999999999989"/>
    <d v="2025-03-12T00:00:00"/>
    <d v="2025-03-12T00:00:00"/>
    <s v="F"/>
    <x v="2"/>
    <n v="5"/>
    <s v="California"/>
    <s v="Sonoma County"/>
    <n v="0"/>
    <n v="11"/>
    <x v="2"/>
  </r>
  <r>
    <s v="TX501927"/>
    <s v="Bikinis"/>
    <n v="3"/>
    <n v="47.8"/>
    <n v="143.39999999999998"/>
    <d v="2025-03-12T00:00:00"/>
    <d v="2025-03-12T00:00:00"/>
    <s v=""/>
    <x v="2"/>
    <n v="5"/>
    <s v="California"/>
    <s v="Stanislaus County"/>
    <n v="0"/>
    <n v="11"/>
    <x v="0"/>
  </r>
  <r>
    <s v="TX501928"/>
    <s v="T-Shirts"/>
    <n v="19"/>
    <n v="18.399999999999999"/>
    <n v="349.59999999999997"/>
    <d v="2025-03-12T00:00:00"/>
    <d v="2025-03-14T00:00:00"/>
    <s v="O"/>
    <x v="2"/>
    <n v="4"/>
    <s v="California"/>
    <s v="Tulare County"/>
    <n v="2"/>
    <n v="11"/>
    <x v="3"/>
  </r>
  <r>
    <s v="TX501929"/>
    <s v="Casual Dresses"/>
    <n v="3"/>
    <n v="65.5"/>
    <n v="196.5"/>
    <d v="2025-03-12T00:00:00"/>
    <d v="2025-03-20T00:00:00"/>
    <s v="F"/>
    <x v="0"/>
    <n v="4"/>
    <s v="California"/>
    <s v="Alameda County"/>
    <n v="8"/>
    <n v="11"/>
    <x v="2"/>
  </r>
  <r>
    <s v="TX501930"/>
    <s v="Bikinis"/>
    <n v="2"/>
    <n v="50.6"/>
    <n v="101.2"/>
    <d v="2025-03-12T00:00:00"/>
    <d v="2025-03-15T00:00:00"/>
    <s v="M"/>
    <x v="2"/>
    <n v="2"/>
    <s v="California"/>
    <s v="Alameda County"/>
    <n v="3"/>
    <n v="11"/>
    <x v="1"/>
  </r>
  <r>
    <s v="TX501931"/>
    <s v="Workout Tops"/>
    <n v="5"/>
    <n v="69"/>
    <n v="345"/>
    <d v="2025-03-12T00:00:00"/>
    <d v="2025-03-16T00:00:00"/>
    <s v="M"/>
    <x v="3"/>
    <n v="4"/>
    <s v="California"/>
    <s v="Alameda County"/>
    <n v="4"/>
    <n v="11"/>
    <x v="1"/>
  </r>
  <r>
    <s v="TX501932"/>
    <s v="Sundresses"/>
    <n v="8"/>
    <n v="51.1"/>
    <n v="408.8"/>
    <d v="2025-03-12T00:00:00"/>
    <d v="2025-03-14T00:00:00"/>
    <s v="F"/>
    <x v="0"/>
    <n v="4"/>
    <s v="California"/>
    <s v="Contra Costa County"/>
    <n v="2"/>
    <n v="11"/>
    <x v="2"/>
  </r>
  <r>
    <s v="TX501933"/>
    <s v="Sundresses"/>
    <n v="1"/>
    <n v="36.1"/>
    <n v="36.1"/>
    <d v="2025-03-12T00:00:00"/>
    <d v="2025-03-13T00:00:00"/>
    <s v="F"/>
    <x v="0"/>
    <n v="5"/>
    <s v="California"/>
    <s v="Kings County"/>
    <n v="1"/>
    <n v="11"/>
    <x v="2"/>
  </r>
  <r>
    <s v="TX501934"/>
    <s v="Baseball Caps"/>
    <n v="1"/>
    <n v="18.7"/>
    <n v="18.7"/>
    <d v="2025-03-12T00:00:00"/>
    <d v="2025-03-13T00:00:00"/>
    <s v="M"/>
    <x v="0"/>
    <n v="4"/>
    <s v="California"/>
    <s v="Los Angeles County"/>
    <n v="1"/>
    <n v="11"/>
    <x v="1"/>
  </r>
  <r>
    <s v="TX501935"/>
    <s v="Pajama Sets"/>
    <n v="1"/>
    <n v="30.1"/>
    <n v="30.1"/>
    <d v="2025-03-12T00:00:00"/>
    <d v="2025-03-15T00:00:00"/>
    <s v="F"/>
    <x v="3"/>
    <n v="3"/>
    <s v="California"/>
    <s v="Los Angeles County"/>
    <n v="3"/>
    <n v="11"/>
    <x v="2"/>
  </r>
  <r>
    <s v="TX501936"/>
    <s v="T-Shirts"/>
    <n v="1"/>
    <n v="16.3"/>
    <n v="16.3"/>
    <d v="2025-03-12T00:00:00"/>
    <d v="2025-03-13T00:00:00"/>
    <s v="M"/>
    <x v="3"/>
    <n v="4"/>
    <s v="California"/>
    <s v="Los Angeles County"/>
    <n v="1"/>
    <n v="11"/>
    <x v="1"/>
  </r>
  <r>
    <s v="TX501937"/>
    <s v="Tank Tops"/>
    <n v="3"/>
    <n v="63.8"/>
    <n v="191.39999999999998"/>
    <d v="2025-03-12T00:00:00"/>
    <d v="2025-03-17T00:00:00"/>
    <s v="F"/>
    <x v="2"/>
    <n v="3"/>
    <s v="California"/>
    <s v="Los Angeles County"/>
    <n v="5"/>
    <n v="11"/>
    <x v="2"/>
  </r>
  <r>
    <s v="TX501938"/>
    <s v="Tank Tops"/>
    <n v="7"/>
    <n v="73.900000000000006"/>
    <n v="517.30000000000007"/>
    <d v="2025-03-12T00:00:00"/>
    <d v="2025-03-12T00:00:00"/>
    <s v="F"/>
    <x v="0"/>
    <n v="3"/>
    <s v="California"/>
    <s v="Los Angeles County"/>
    <n v="0"/>
    <n v="11"/>
    <x v="2"/>
  </r>
  <r>
    <s v="TX501939"/>
    <s v="Shorts"/>
    <n v="2"/>
    <n v="20.2"/>
    <n v="40.4"/>
    <d v="2025-03-12T00:00:00"/>
    <d v="2025-03-13T00:00:00"/>
    <s v="M"/>
    <x v="0"/>
    <n v="3"/>
    <s v="California"/>
    <s v="Los Angeles County"/>
    <n v="1"/>
    <n v="11"/>
    <x v="1"/>
  </r>
  <r>
    <s v="TX501940"/>
    <s v="Maxi Dresses"/>
    <n v="11"/>
    <n v="29.5"/>
    <n v="324.5"/>
    <d v="2025-03-12T00:00:00"/>
    <d v="2025-03-13T00:00:00"/>
    <s v="M"/>
    <x v="0"/>
    <n v="4"/>
    <s v="California"/>
    <s v="Los Angeles County"/>
    <n v="1"/>
    <n v="11"/>
    <x v="1"/>
  </r>
  <r>
    <s v="TX501941"/>
    <s v="Crop Tops"/>
    <n v="7"/>
    <n v="37.9"/>
    <n v="265.3"/>
    <d v="2025-03-12T00:00:00"/>
    <d v="2025-03-13T00:00:00"/>
    <s v="M"/>
    <x v="1"/>
    <n v="4"/>
    <s v="California"/>
    <s v="Los Angeles County"/>
    <n v="1"/>
    <n v="11"/>
    <x v="1"/>
  </r>
  <r>
    <s v="TX501942"/>
    <s v="Sneakers"/>
    <n v="1"/>
    <n v="56.5"/>
    <n v="56.5"/>
    <d v="2025-03-12T00:00:00"/>
    <d v="2025-03-13T00:00:00"/>
    <s v="F"/>
    <x v="2"/>
    <n v="3"/>
    <s v="California"/>
    <s v="Los Angeles County"/>
    <n v="1"/>
    <n v="11"/>
    <x v="2"/>
  </r>
  <r>
    <s v="TX501943"/>
    <s v="Sneakers"/>
    <n v="2"/>
    <n v="66.900000000000006"/>
    <n v="133.80000000000001"/>
    <d v="2025-03-12T00:00:00"/>
    <d v="2025-03-18T00:00:00"/>
    <s v="M"/>
    <x v="1"/>
    <n v="2"/>
    <s v="California"/>
    <s v="Orange County"/>
    <n v="6"/>
    <n v="11"/>
    <x v="1"/>
  </r>
  <r>
    <s v="TX501944"/>
    <s v="Sneakers"/>
    <n v="5"/>
    <n v="51.9"/>
    <n v="259.5"/>
    <d v="2025-03-12T00:00:00"/>
    <d v="2025-03-15T00:00:00"/>
    <s v="M"/>
    <x v="1"/>
    <n v="4"/>
    <s v="California"/>
    <s v="San Bernardino County"/>
    <n v="3"/>
    <n v="11"/>
    <x v="1"/>
  </r>
  <r>
    <s v="TX501945"/>
    <s v="Sneakers"/>
    <n v="2"/>
    <n v="75.599999999999994"/>
    <n v="151.19999999999999"/>
    <d v="2025-03-12T00:00:00"/>
    <d v="2025-03-15T00:00:00"/>
    <s v="M"/>
    <x v="1"/>
    <n v="4"/>
    <s v="California"/>
    <s v="San Diego County"/>
    <n v="3"/>
    <n v="11"/>
    <x v="1"/>
  </r>
  <r>
    <s v="TX501946"/>
    <s v="Casual Dresses"/>
    <n v="6"/>
    <n v="47.3"/>
    <n v="283.79999999999995"/>
    <d v="2025-03-12T00:00:00"/>
    <d v="2025-03-23T00:00:00"/>
    <s v="M"/>
    <x v="0"/>
    <n v="4"/>
    <s v="California"/>
    <s v="San Diego County"/>
    <n v="11"/>
    <n v="11"/>
    <x v="1"/>
  </r>
  <r>
    <s v="TX501947"/>
    <s v="Graphic Tees"/>
    <n v="1"/>
    <n v="20.6"/>
    <n v="20.6"/>
    <d v="2025-03-12T00:00:00"/>
    <d v="2025-03-13T00:00:00"/>
    <s v=""/>
    <x v="0"/>
    <n v="3"/>
    <s v="California"/>
    <s v="San Diego County"/>
    <n v="1"/>
    <n v="11"/>
    <x v="0"/>
  </r>
  <r>
    <s v="TX501948"/>
    <s v="Jeans"/>
    <n v="3"/>
    <n v="49.7"/>
    <n v="149.10000000000002"/>
    <d v="2025-03-12T00:00:00"/>
    <d v="2025-03-14T00:00:00"/>
    <s v="M"/>
    <x v="0"/>
    <n v="3"/>
    <s v="California"/>
    <s v="San Diego County"/>
    <n v="2"/>
    <n v="11"/>
    <x v="1"/>
  </r>
  <r>
    <s v="TX501949"/>
    <s v="Workout Tops"/>
    <n v="1"/>
    <n v="37.9"/>
    <n v="37.9"/>
    <d v="2025-03-12T00:00:00"/>
    <d v="2025-03-14T00:00:00"/>
    <s v="F"/>
    <x v="0"/>
    <n v="4"/>
    <s v="California"/>
    <s v="San Diego County"/>
    <n v="2"/>
    <n v="11"/>
    <x v="2"/>
  </r>
  <r>
    <s v="TX501950"/>
    <s v="Tote Bags"/>
    <n v="15"/>
    <n v="32"/>
    <n v="480"/>
    <d v="2025-03-12T00:00:00"/>
    <d v="2025-03-14T00:00:00"/>
    <s v="F"/>
    <x v="4"/>
    <n v="4"/>
    <s v="California"/>
    <s v="Santa Clara County"/>
    <n v="2"/>
    <n v="11"/>
    <x v="2"/>
  </r>
  <r>
    <s v="TX501951"/>
    <s v="Bikinis"/>
    <n v="18"/>
    <n v="38.5"/>
    <n v="693"/>
    <d v="2025-03-13T00:00:00"/>
    <d v="2025-03-14T00:00:00"/>
    <s v="M"/>
    <x v="0"/>
    <n v="5"/>
    <s v="California"/>
    <s v="Santa Clara County"/>
    <n v="1"/>
    <n v="11"/>
    <x v="1"/>
  </r>
  <r>
    <s v="TX501952"/>
    <s v="Shorts"/>
    <n v="4"/>
    <n v="11.7"/>
    <n v="46.8"/>
    <d v="2025-03-13T00:00:00"/>
    <d v="2025-03-15T00:00:00"/>
    <s v="F"/>
    <x v="1"/>
    <n v="4"/>
    <s v="California"/>
    <s v="Tulare County"/>
    <n v="2"/>
    <n v="11"/>
    <x v="2"/>
  </r>
  <r>
    <s v="TX501953"/>
    <s v="Workout Tops"/>
    <n v="6"/>
    <n v="83.8"/>
    <n v="502.79999999999995"/>
    <d v="2025-03-13T00:00:00"/>
    <d v="2025-03-14T00:00:00"/>
    <s v="M"/>
    <x v="0"/>
    <n v="4"/>
    <s v="California"/>
    <s v="Alameda County"/>
    <n v="1"/>
    <n v="11"/>
    <x v="1"/>
  </r>
  <r>
    <s v="TX501954"/>
    <s v="Shorts"/>
    <n v="7"/>
    <n v="14"/>
    <n v="98"/>
    <d v="2025-03-13T00:00:00"/>
    <d v="2025-03-16T00:00:00"/>
    <s v="M"/>
    <x v="0"/>
    <n v="3"/>
    <s v="California"/>
    <s v="Kern County"/>
    <n v="3"/>
    <n v="11"/>
    <x v="1"/>
  </r>
  <r>
    <s v="TX501955"/>
    <s v="Sunglasses"/>
    <n v="4"/>
    <n v="77.3"/>
    <n v="309.2"/>
    <d v="2025-03-13T00:00:00"/>
    <d v="2025-03-15T00:00:00"/>
    <s v="F"/>
    <x v="4"/>
    <n v="5"/>
    <s v="California"/>
    <s v="Los Angeles County"/>
    <n v="2"/>
    <n v="11"/>
    <x v="2"/>
  </r>
  <r>
    <s v="TX501956"/>
    <s v="Sneakers"/>
    <n v="2"/>
    <n v="76.900000000000006"/>
    <n v="153.80000000000001"/>
    <d v="2025-03-13T00:00:00"/>
    <d v="2025-03-17T00:00:00"/>
    <s v="F"/>
    <x v="0"/>
    <n v="3"/>
    <s v="California"/>
    <s v="Los Angeles County"/>
    <n v="4"/>
    <n v="11"/>
    <x v="2"/>
  </r>
  <r>
    <s v="TX501957"/>
    <s v="Tank Tops"/>
    <n v="1"/>
    <n v="48"/>
    <n v="48"/>
    <d v="2025-03-13T00:00:00"/>
    <d v="2025-03-15T00:00:00"/>
    <s v="F"/>
    <x v="1"/>
    <n v="5"/>
    <s v="California"/>
    <s v="Los Angeles County"/>
    <n v="2"/>
    <n v="11"/>
    <x v="2"/>
  </r>
  <r>
    <s v="TX501958"/>
    <s v="Sneakers"/>
    <n v="1"/>
    <n v="94.5"/>
    <n v="94.5"/>
    <d v="2025-03-13T00:00:00"/>
    <d v="2025-03-16T00:00:00"/>
    <s v="M"/>
    <x v="1"/>
    <n v="3"/>
    <s v="California"/>
    <s v="Los Angeles County"/>
    <n v="3"/>
    <n v="11"/>
    <x v="1"/>
  </r>
  <r>
    <s v="TX501959"/>
    <s v="Bikinis"/>
    <n v="3"/>
    <n v="58.4"/>
    <n v="175.2"/>
    <d v="2025-03-13T00:00:00"/>
    <d v="2025-03-15T00:00:00"/>
    <s v="F"/>
    <x v="1"/>
    <n v="5"/>
    <s v="California"/>
    <s v="Los Angeles County"/>
    <n v="2"/>
    <n v="11"/>
    <x v="2"/>
  </r>
  <r>
    <s v="TX501960"/>
    <s v="Hoodies &amp; Sweatshirts"/>
    <n v="13"/>
    <n v="42.2"/>
    <n v="548.6"/>
    <d v="2025-03-13T00:00:00"/>
    <d v="2025-03-13T00:00:00"/>
    <s v="M"/>
    <x v="0"/>
    <n v="4"/>
    <s v="California"/>
    <s v="Orange County"/>
    <n v="0"/>
    <n v="11"/>
    <x v="1"/>
  </r>
  <r>
    <s v="TX501961"/>
    <s v="Jeans"/>
    <n v="2"/>
    <n v="152.19999999999999"/>
    <n v="304.39999999999998"/>
    <d v="2025-03-13T00:00:00"/>
    <d v="2025-03-14T00:00:00"/>
    <s v="M"/>
    <x v="4"/>
    <n v="3"/>
    <s v="California"/>
    <s v="Orange County"/>
    <n v="1"/>
    <n v="11"/>
    <x v="1"/>
  </r>
  <r>
    <s v="TX501962"/>
    <s v="Jeans"/>
    <n v="24"/>
    <n v="72"/>
    <n v="1728"/>
    <d v="2025-03-13T00:00:00"/>
    <d v="2025-03-14T00:00:00"/>
    <s v="M"/>
    <x v="0"/>
    <n v="3"/>
    <s v="California"/>
    <s v="Sacramento County"/>
    <n v="1"/>
    <n v="11"/>
    <x v="1"/>
  </r>
  <r>
    <s v="TX501963"/>
    <s v="Tank Tops"/>
    <n v="23"/>
    <n v="70.900000000000006"/>
    <n v="1630.7"/>
    <d v="2025-03-13T00:00:00"/>
    <d v="2025-03-14T00:00:00"/>
    <s v="F"/>
    <x v="2"/>
    <n v="4"/>
    <s v="California"/>
    <s v="San Diego County"/>
    <n v="1"/>
    <n v="11"/>
    <x v="2"/>
  </r>
  <r>
    <s v="TX501964"/>
    <s v="Sneakers"/>
    <n v="2"/>
    <n v="53.7"/>
    <n v="107.4"/>
    <d v="2025-03-13T00:00:00"/>
    <d v="2025-03-14T00:00:00"/>
    <s v="M"/>
    <x v="2"/>
    <n v="5"/>
    <s v="California"/>
    <s v="San Diego County"/>
    <n v="1"/>
    <n v="11"/>
    <x v="1"/>
  </r>
  <r>
    <s v="TX501965"/>
    <s v="Sundresses"/>
    <n v="4"/>
    <n v="42.9"/>
    <n v="171.6"/>
    <d v="2025-03-13T00:00:00"/>
    <d v="2025-03-14T00:00:00"/>
    <s v="F"/>
    <x v="2"/>
    <n v="2"/>
    <s v="California"/>
    <s v="San Mateo County"/>
    <n v="1"/>
    <n v="11"/>
    <x v="2"/>
  </r>
  <r>
    <s v="TX501966"/>
    <s v="Sneakers"/>
    <n v="7"/>
    <n v="107.5"/>
    <n v="752.5"/>
    <d v="2025-03-13T00:00:00"/>
    <d v="2025-03-14T00:00:00"/>
    <s v="M"/>
    <x v="1"/>
    <n v="4"/>
    <s v="California"/>
    <s v="Santa Clara County"/>
    <n v="1"/>
    <n v="11"/>
    <x v="1"/>
  </r>
  <r>
    <s v="TX501967"/>
    <s v="Pajama Sets"/>
    <n v="16"/>
    <n v="21.5"/>
    <n v="344"/>
    <d v="2025-03-13T00:00:00"/>
    <d v="2025-03-14T00:00:00"/>
    <s v="M"/>
    <x v="1"/>
    <n v="3"/>
    <s v="California"/>
    <s v="Santa Cruz County"/>
    <n v="1"/>
    <n v="11"/>
    <x v="1"/>
  </r>
  <r>
    <s v="TX501968"/>
    <s v="Workout Tops"/>
    <n v="5"/>
    <n v="85.3"/>
    <n v="426.5"/>
    <d v="2025-03-13T00:00:00"/>
    <d v="2025-03-15T00:00:00"/>
    <s v="F"/>
    <x v="3"/>
    <n v="4"/>
    <s v="California"/>
    <s v="Sonoma County"/>
    <n v="2"/>
    <n v="11"/>
    <x v="2"/>
  </r>
  <r>
    <s v="TX501969"/>
    <s v="Hoodies &amp; Sweatshirts"/>
    <n v="5"/>
    <n v="80.8"/>
    <n v="404"/>
    <d v="2025-03-13T00:00:00"/>
    <d v="2025-03-21T00:00:00"/>
    <s v="O"/>
    <x v="1"/>
    <n v="3"/>
    <s v="California"/>
    <s v="Stanislaus County"/>
    <n v="8"/>
    <n v="11"/>
    <x v="3"/>
  </r>
  <r>
    <s v="TX501970"/>
    <s v="Sneakers"/>
    <n v="3"/>
    <n v="123.1"/>
    <n v="369.29999999999995"/>
    <d v="2025-03-13T00:00:00"/>
    <d v="2025-03-15T00:00:00"/>
    <s v=""/>
    <x v="2"/>
    <n v="4"/>
    <s v="California"/>
    <s v="Alameda County"/>
    <n v="2"/>
    <n v="11"/>
    <x v="0"/>
  </r>
  <r>
    <s v="TX501971"/>
    <s v="T-Shirts"/>
    <n v="2"/>
    <n v="36.9"/>
    <n v="73.8"/>
    <d v="2025-03-13T00:00:00"/>
    <d v="2025-03-15T00:00:00"/>
    <s v="F"/>
    <x v="2"/>
    <n v="2"/>
    <s v="California"/>
    <s v="Butte County"/>
    <n v="2"/>
    <n v="11"/>
    <x v="2"/>
  </r>
  <r>
    <s v="TX501972"/>
    <s v="Maxi Dresses"/>
    <n v="5"/>
    <n v="40"/>
    <n v="200"/>
    <d v="2025-03-13T00:00:00"/>
    <d v="2025-03-14T00:00:00"/>
    <s v="M"/>
    <x v="0"/>
    <n v="4"/>
    <s v="California"/>
    <s v="Contra Costa County"/>
    <n v="1"/>
    <n v="11"/>
    <x v="1"/>
  </r>
  <r>
    <s v="TX501973"/>
    <s v="Jeans"/>
    <n v="3"/>
    <n v="55.5"/>
    <n v="166.5"/>
    <d v="2025-03-13T00:00:00"/>
    <d v="2025-03-14T00:00:00"/>
    <s v="M"/>
    <x v="4"/>
    <n v="5"/>
    <s v="California"/>
    <s v="Contra Costa County"/>
    <n v="1"/>
    <n v="11"/>
    <x v="1"/>
  </r>
  <r>
    <s v="TX501974"/>
    <s v="Shorts"/>
    <n v="4"/>
    <n v="20.5"/>
    <n v="82"/>
    <d v="2025-03-13T00:00:00"/>
    <d v="2025-03-17T00:00:00"/>
    <s v="F"/>
    <x v="4"/>
    <n v="4"/>
    <s v="California"/>
    <s v="Contra Costa County"/>
    <n v="4"/>
    <n v="11"/>
    <x v="2"/>
  </r>
  <r>
    <s v="TX501975"/>
    <s v="Leggings"/>
    <n v="4"/>
    <n v="50.1"/>
    <n v="200.4"/>
    <d v="2025-03-13T00:00:00"/>
    <d v="2025-03-14T00:00:00"/>
    <s v="F"/>
    <x v="4"/>
    <n v="4"/>
    <s v="California"/>
    <s v="Contra Costa County"/>
    <n v="1"/>
    <n v="11"/>
    <x v="2"/>
  </r>
  <r>
    <s v="TX501976"/>
    <s v="Sundresses"/>
    <n v="1"/>
    <n v="35.9"/>
    <n v="35.9"/>
    <d v="2025-03-13T00:00:00"/>
    <d v="2025-03-15T00:00:00"/>
    <s v="M"/>
    <x v="1"/>
    <n v="5"/>
    <s v="California"/>
    <s v="Contra Costa County"/>
    <n v="2"/>
    <n v="11"/>
    <x v="1"/>
  </r>
  <r>
    <s v="TX501977"/>
    <s v="Tote Bags"/>
    <n v="4"/>
    <n v="29.4"/>
    <n v="117.6"/>
    <d v="2025-03-14T00:00:00"/>
    <d v="2025-03-15T00:00:00"/>
    <s v="M"/>
    <x v="2"/>
    <n v="5"/>
    <s v="California"/>
    <s v="Imperial County"/>
    <n v="1"/>
    <n v="11"/>
    <x v="1"/>
  </r>
  <r>
    <s v="TX501978"/>
    <s v="T-Shirts"/>
    <n v="5"/>
    <n v="29.1"/>
    <n v="145.5"/>
    <d v="2025-03-14T00:00:00"/>
    <d v="2025-03-22T00:00:00"/>
    <s v="O"/>
    <x v="2"/>
    <n v="3"/>
    <s v="California"/>
    <s v="Imperial County"/>
    <n v="8"/>
    <n v="11"/>
    <x v="3"/>
  </r>
  <r>
    <s v="TX501979"/>
    <s v="T-Shirts"/>
    <n v="3"/>
    <n v="33.5"/>
    <n v="100.5"/>
    <d v="2025-03-14T00:00:00"/>
    <d v="2025-03-26T00:00:00"/>
    <s v="M"/>
    <x v="0"/>
    <n v="5"/>
    <s v="California"/>
    <s v="Kern County"/>
    <n v="12"/>
    <n v="11"/>
    <x v="1"/>
  </r>
  <r>
    <s v="TX501980"/>
    <s v="Graphic Tees"/>
    <n v="10"/>
    <n v="36"/>
    <n v="360"/>
    <d v="2025-03-14T00:00:00"/>
    <d v="2025-03-14T00:00:00"/>
    <s v="M"/>
    <x v="3"/>
    <n v="5"/>
    <s v="California"/>
    <s v="Los Angeles County"/>
    <n v="0"/>
    <n v="11"/>
    <x v="1"/>
  </r>
  <r>
    <s v="TX501981"/>
    <s v="Sunglasses"/>
    <n v="3"/>
    <n v="57.3"/>
    <n v="171.89999999999998"/>
    <d v="2025-03-14T00:00:00"/>
    <d v="2025-03-18T00:00:00"/>
    <s v="F"/>
    <x v="0"/>
    <n v="5"/>
    <s v="California"/>
    <s v="Los Angeles County"/>
    <n v="4"/>
    <n v="11"/>
    <x v="2"/>
  </r>
  <r>
    <s v="TX501982"/>
    <s v="Tank Tops"/>
    <n v="1"/>
    <n v="81.400000000000006"/>
    <n v="81.400000000000006"/>
    <d v="2025-03-14T00:00:00"/>
    <d v="2025-03-15T00:00:00"/>
    <s v="F"/>
    <x v="2"/>
    <n v="5"/>
    <s v="California"/>
    <s v="Los Angeles County"/>
    <n v="1"/>
    <n v="11"/>
    <x v="2"/>
  </r>
  <r>
    <s v="TX501983"/>
    <s v="Bikinis"/>
    <n v="2"/>
    <n v="35.299999999999997"/>
    <n v="70.599999999999994"/>
    <d v="2025-03-14T00:00:00"/>
    <d v="2025-03-18T00:00:00"/>
    <s v="M"/>
    <x v="0"/>
    <n v="5"/>
    <s v="California"/>
    <s v="Los Angeles County"/>
    <n v="4"/>
    <n v="11"/>
    <x v="1"/>
  </r>
  <r>
    <s v="TX501984"/>
    <s v="Workout Tops"/>
    <n v="1"/>
    <n v="36.1"/>
    <n v="36.1"/>
    <d v="2025-03-14T00:00:00"/>
    <d v="2025-03-15T00:00:00"/>
    <s v="F"/>
    <x v="4"/>
    <n v="4"/>
    <s v="California"/>
    <s v="Los Angeles County"/>
    <n v="1"/>
    <n v="11"/>
    <x v="2"/>
  </r>
  <r>
    <s v="TX501985"/>
    <s v="Tank Tops"/>
    <n v="2"/>
    <n v="36.700000000000003"/>
    <n v="73.400000000000006"/>
    <d v="2025-03-14T00:00:00"/>
    <d v="2025-03-16T00:00:00"/>
    <s v="F"/>
    <x v="0"/>
    <n v="5"/>
    <s v="California"/>
    <s v="Los Angeles County"/>
    <n v="2"/>
    <n v="11"/>
    <x v="2"/>
  </r>
  <r>
    <s v="TX501986"/>
    <s v="Bikinis"/>
    <n v="1"/>
    <n v="20.9"/>
    <n v="20.9"/>
    <d v="2025-03-14T00:00:00"/>
    <d v="2025-03-16T00:00:00"/>
    <s v="F"/>
    <x v="0"/>
    <n v="2"/>
    <s v="California"/>
    <s v="Los Angeles County"/>
    <n v="2"/>
    <n v="11"/>
    <x v="2"/>
  </r>
  <r>
    <s v="TX501987"/>
    <s v="Casual Dresses"/>
    <n v="3"/>
    <n v="58.8"/>
    <n v="176.39999999999998"/>
    <d v="2025-03-14T00:00:00"/>
    <d v="2025-03-18T00:00:00"/>
    <s v="M"/>
    <x v="0"/>
    <n v="5"/>
    <s v="California"/>
    <s v="Orange County"/>
    <n v="4"/>
    <n v="11"/>
    <x v="1"/>
  </r>
  <r>
    <s v="TX501988"/>
    <s v="Sneakers"/>
    <n v="3"/>
    <n v="97.6"/>
    <n v="292.79999999999995"/>
    <d v="2025-03-15T00:00:00"/>
    <d v="2025-03-17T00:00:00"/>
    <s v=""/>
    <x v="0"/>
    <n v="4"/>
    <s v="California"/>
    <s v="Sacramento County"/>
    <n v="2"/>
    <n v="11"/>
    <x v="0"/>
  </r>
  <r>
    <s v="TX501989"/>
    <s v="Tank Tops"/>
    <n v="2"/>
    <n v="58.7"/>
    <n v="117.4"/>
    <d v="2025-03-15T00:00:00"/>
    <d v="2025-03-18T00:00:00"/>
    <s v="F"/>
    <x v="0"/>
    <n v="3"/>
    <s v="California"/>
    <s v="Sacramento County"/>
    <n v="3"/>
    <n v="11"/>
    <x v="2"/>
  </r>
  <r>
    <s v="TX501990"/>
    <s v="Jeans"/>
    <n v="5"/>
    <n v="71.900000000000006"/>
    <n v="359.5"/>
    <d v="2025-03-15T00:00:00"/>
    <d v="2025-03-16T00:00:00"/>
    <s v=""/>
    <x v="0"/>
    <n v="3"/>
    <s v="California"/>
    <s v="Sacramento County"/>
    <n v="1"/>
    <n v="11"/>
    <x v="0"/>
  </r>
  <r>
    <s v="TX501991"/>
    <s v="Tank Tops"/>
    <n v="2"/>
    <n v="62.4"/>
    <n v="124.8"/>
    <d v="2025-03-15T00:00:00"/>
    <d v="2025-03-17T00:00:00"/>
    <s v=""/>
    <x v="0"/>
    <n v="3"/>
    <s v="California"/>
    <s v="San Diego County"/>
    <n v="2"/>
    <n v="11"/>
    <x v="0"/>
  </r>
  <r>
    <s v="TX501992"/>
    <s v="Jeans"/>
    <n v="16"/>
    <n v="53.8"/>
    <n v="860.8"/>
    <d v="2025-03-15T00:00:00"/>
    <d v="2025-03-16T00:00:00"/>
    <s v="F"/>
    <x v="1"/>
    <n v="4"/>
    <s v="California"/>
    <s v="San Diego County"/>
    <n v="1"/>
    <n v="11"/>
    <x v="2"/>
  </r>
  <r>
    <s v="TX501993"/>
    <s v="Sundresses"/>
    <n v="1"/>
    <n v="43.8"/>
    <n v="43.8"/>
    <d v="2025-03-15T00:00:00"/>
    <d v="2025-03-22T00:00:00"/>
    <s v="F"/>
    <x v="0"/>
    <n v="5"/>
    <s v="California"/>
    <s v="San Diego County"/>
    <n v="7"/>
    <n v="11"/>
    <x v="2"/>
  </r>
  <r>
    <s v="TX501994"/>
    <s v="Sandals"/>
    <n v="3"/>
    <n v="53.6"/>
    <n v="160.80000000000001"/>
    <d v="2025-03-15T00:00:00"/>
    <d v="2025-03-16T00:00:00"/>
    <s v="M"/>
    <x v="3"/>
    <n v="4"/>
    <s v="California"/>
    <s v="San Diego County"/>
    <n v="1"/>
    <n v="11"/>
    <x v="1"/>
  </r>
  <r>
    <s v="TX501995"/>
    <s v="Casual Dresses"/>
    <n v="2"/>
    <n v="84.3"/>
    <n v="168.6"/>
    <d v="2025-03-15T00:00:00"/>
    <d v="2025-03-18T00:00:00"/>
    <s v="M"/>
    <x v="4"/>
    <n v="3"/>
    <s v="California"/>
    <s v="San Diego County"/>
    <n v="3"/>
    <n v="11"/>
    <x v="1"/>
  </r>
  <r>
    <s v="TX501996"/>
    <s v="Jeans"/>
    <n v="9"/>
    <n v="117.9"/>
    <n v="1061.1000000000001"/>
    <d v="2025-03-15T00:00:00"/>
    <d v="2025-03-16T00:00:00"/>
    <s v="F"/>
    <x v="1"/>
    <n v="5"/>
    <s v="California"/>
    <s v="San Diego County"/>
    <n v="1"/>
    <n v="11"/>
    <x v="2"/>
  </r>
  <r>
    <s v="TX501997"/>
    <s v="Graphic Tees"/>
    <n v="8"/>
    <n v="30"/>
    <n v="240"/>
    <d v="2025-03-15T00:00:00"/>
    <d v="2025-03-16T00:00:00"/>
    <s v="F"/>
    <x v="1"/>
    <n v="4"/>
    <s v="California"/>
    <s v="San Joaquin County"/>
    <n v="1"/>
    <n v="11"/>
    <x v="2"/>
  </r>
  <r>
    <s v="TX501998"/>
    <s v="Baseball Caps"/>
    <n v="3"/>
    <n v="37.299999999999997"/>
    <n v="111.89999999999999"/>
    <d v="2025-03-15T00:00:00"/>
    <d v="2025-03-16T00:00:00"/>
    <s v="M"/>
    <x v="2"/>
    <n v="4"/>
    <s v="California"/>
    <s v="San Mateo County"/>
    <n v="1"/>
    <n v="11"/>
    <x v="1"/>
  </r>
  <r>
    <s v="TX501999"/>
    <s v="Graphic Tees"/>
    <n v="9"/>
    <n v="25.1"/>
    <n v="225.9"/>
    <d v="2025-03-15T00:00:00"/>
    <d v="2025-03-17T00:00:00"/>
    <s v="M"/>
    <x v="1"/>
    <n v="5"/>
    <s v="California"/>
    <s v="Santa Clara County"/>
    <n v="2"/>
    <n v="11"/>
    <x v="1"/>
  </r>
  <r>
    <s v="TX502000"/>
    <s v="T-Shirts"/>
    <n v="11"/>
    <n v="36"/>
    <n v="396"/>
    <d v="2025-03-15T00:00:00"/>
    <d v="2025-03-25T00:00:00"/>
    <s v="M"/>
    <x v="1"/>
    <n v="4"/>
    <s v="California"/>
    <s v="Sonoma County"/>
    <n v="10"/>
    <n v="11"/>
    <x v="1"/>
  </r>
  <r>
    <s v="TX502001"/>
    <s v="Sunglasses"/>
    <n v="3"/>
    <n v="48.5"/>
    <n v="145.5"/>
    <d v="2025-03-15T00:00:00"/>
    <d v="2025-03-19T00:00:00"/>
    <s v="F"/>
    <x v="1"/>
    <n v="4"/>
    <s v="California"/>
    <s v="Stanislaus County"/>
    <n v="4"/>
    <n v="11"/>
    <x v="2"/>
  </r>
  <r>
    <s v="TX502002"/>
    <s v="Pajama Sets"/>
    <n v="6"/>
    <n v="21.1"/>
    <n v="126.60000000000001"/>
    <d v="2025-03-15T00:00:00"/>
    <d v="2025-03-16T00:00:00"/>
    <s v="M"/>
    <x v="1"/>
    <n v="5"/>
    <s v="California"/>
    <s v="Alameda County"/>
    <n v="1"/>
    <n v="11"/>
    <x v="1"/>
  </r>
  <r>
    <s v="TX502003"/>
    <s v="Crop Tops"/>
    <n v="14"/>
    <n v="43.2"/>
    <n v="604.80000000000007"/>
    <d v="2025-03-15T00:00:00"/>
    <d v="2025-03-16T00:00:00"/>
    <s v="O"/>
    <x v="0"/>
    <n v="3"/>
    <s v="California"/>
    <s v="Alameda County"/>
    <n v="1"/>
    <n v="11"/>
    <x v="3"/>
  </r>
  <r>
    <s v="TX502004"/>
    <s v="Sundresses"/>
    <n v="2"/>
    <n v="21.1"/>
    <n v="42.2"/>
    <d v="2025-03-15T00:00:00"/>
    <d v="2025-03-16T00:00:00"/>
    <s v=""/>
    <x v="3"/>
    <n v="3"/>
    <s v="California"/>
    <s v="Alameda County"/>
    <n v="1"/>
    <n v="11"/>
    <x v="0"/>
  </r>
  <r>
    <s v="TX502005"/>
    <s v="Jeans"/>
    <n v="4"/>
    <n v="41.3"/>
    <n v="165.2"/>
    <d v="2025-03-15T00:00:00"/>
    <d v="2025-03-17T00:00:00"/>
    <s v="F"/>
    <x v="3"/>
    <n v="5"/>
    <s v="California"/>
    <s v="Contra Costa County"/>
    <n v="2"/>
    <n v="11"/>
    <x v="2"/>
  </r>
  <r>
    <s v="TX502006"/>
    <s v="T-Shirts"/>
    <n v="2"/>
    <n v="15.3"/>
    <n v="30.6"/>
    <d v="2025-03-15T00:00:00"/>
    <d v="2025-03-18T00:00:00"/>
    <s v=""/>
    <x v="2"/>
    <n v="5"/>
    <s v="California"/>
    <s v="Contra Costa County"/>
    <n v="3"/>
    <n v="11"/>
    <x v="0"/>
  </r>
  <r>
    <s v="TX502007"/>
    <s v="Tank Tops"/>
    <n v="1"/>
    <n v="54.6"/>
    <n v="54.6"/>
    <d v="2025-03-15T00:00:00"/>
    <d v="2025-03-17T00:00:00"/>
    <s v="M"/>
    <x v="1"/>
    <n v="3"/>
    <s v="California"/>
    <s v="Fresno County"/>
    <n v="2"/>
    <n v="11"/>
    <x v="1"/>
  </r>
  <r>
    <s v="TX502008"/>
    <s v="T-Shirts"/>
    <n v="1"/>
    <n v="15.9"/>
    <n v="15.9"/>
    <d v="2025-03-15T00:00:00"/>
    <d v="2025-03-16T00:00:00"/>
    <s v="M"/>
    <x v="0"/>
    <n v="3"/>
    <s v="California"/>
    <s v="Kern County"/>
    <n v="1"/>
    <n v="11"/>
    <x v="1"/>
  </r>
  <r>
    <s v="TX502009"/>
    <s v="Sundresses"/>
    <n v="1"/>
    <n v="50.2"/>
    <n v="50.2"/>
    <d v="2025-03-15T00:00:00"/>
    <d v="2025-03-17T00:00:00"/>
    <s v="F"/>
    <x v="3"/>
    <n v="5"/>
    <s v="California"/>
    <s v="Kings County"/>
    <n v="2"/>
    <n v="11"/>
    <x v="2"/>
  </r>
  <r>
    <s v="TX502010"/>
    <s v="Maxi Dresses"/>
    <n v="4"/>
    <n v="85.1"/>
    <n v="340.4"/>
    <d v="2025-03-15T00:00:00"/>
    <d v="2025-03-16T00:00:00"/>
    <s v="F"/>
    <x v="3"/>
    <n v="2"/>
    <s v="California"/>
    <s v="Kings County"/>
    <n v="1"/>
    <n v="11"/>
    <x v="2"/>
  </r>
  <r>
    <s v="TX502011"/>
    <s v="Maxi Dresses"/>
    <n v="2"/>
    <n v="41.4"/>
    <n v="82.8"/>
    <d v="2025-03-15T00:00:00"/>
    <d v="2025-03-16T00:00:00"/>
    <s v="F"/>
    <x v="0"/>
    <n v="5"/>
    <s v="California"/>
    <s v="Los Angeles County"/>
    <n v="1"/>
    <n v="11"/>
    <x v="2"/>
  </r>
  <r>
    <s v="TX502012"/>
    <s v="Graphic Tees"/>
    <n v="7"/>
    <n v="32.700000000000003"/>
    <n v="228.90000000000003"/>
    <d v="2025-03-15T00:00:00"/>
    <d v="2025-03-16T00:00:00"/>
    <s v="F"/>
    <x v="2"/>
    <n v="3"/>
    <s v="California"/>
    <s v="Los Angeles County"/>
    <n v="1"/>
    <n v="11"/>
    <x v="2"/>
  </r>
  <r>
    <s v="TX502013"/>
    <s v="Graphic Tees"/>
    <n v="2"/>
    <n v="41.6"/>
    <n v="83.2"/>
    <d v="2025-03-15T00:00:00"/>
    <d v="2025-03-17T00:00:00"/>
    <s v="M"/>
    <x v="4"/>
    <n v="3"/>
    <s v="California"/>
    <s v="Los Angeles County"/>
    <n v="2"/>
    <n v="11"/>
    <x v="1"/>
  </r>
  <r>
    <s v="TX502014"/>
    <s v="Sandals"/>
    <n v="4"/>
    <n v="64.8"/>
    <n v="259.2"/>
    <d v="2025-03-15T00:00:00"/>
    <d v="2025-03-16T00:00:00"/>
    <s v=""/>
    <x v="2"/>
    <n v="4"/>
    <s v="California"/>
    <s v="Los Angeles County"/>
    <n v="1"/>
    <n v="11"/>
    <x v="0"/>
  </r>
  <r>
    <s v="TX502015"/>
    <s v="Crop Tops"/>
    <n v="2"/>
    <n v="33.6"/>
    <n v="67.2"/>
    <d v="2025-03-15T00:00:00"/>
    <d v="2025-03-16T00:00:00"/>
    <s v="M"/>
    <x v="0"/>
    <n v="5"/>
    <s v="California"/>
    <s v="Los Angeles County"/>
    <n v="1"/>
    <n v="11"/>
    <x v="1"/>
  </r>
  <r>
    <s v="TX502016"/>
    <s v="Jeans"/>
    <n v="3"/>
    <n v="100.7"/>
    <n v="302.10000000000002"/>
    <d v="2025-03-15T00:00:00"/>
    <d v="2025-03-16T00:00:00"/>
    <s v=""/>
    <x v="1"/>
    <n v="4"/>
    <s v="California"/>
    <s v="Los Angeles County"/>
    <n v="1"/>
    <n v="11"/>
    <x v="0"/>
  </r>
  <r>
    <s v="TX502017"/>
    <s v="Graphic Tees"/>
    <n v="2"/>
    <n v="49.3"/>
    <n v="98.6"/>
    <d v="2025-03-16T00:00:00"/>
    <d v="2025-03-18T00:00:00"/>
    <s v="F"/>
    <x v="4"/>
    <n v="5"/>
    <s v="California"/>
    <s v="Los Angeles County"/>
    <n v="2"/>
    <n v="12"/>
    <x v="2"/>
  </r>
  <r>
    <s v="TX502018"/>
    <s v="Sneakers"/>
    <n v="6"/>
    <n v="97"/>
    <n v="582"/>
    <d v="2025-03-16T00:00:00"/>
    <d v="2025-03-19T00:00:00"/>
    <s v="M"/>
    <x v="2"/>
    <n v="5"/>
    <s v="California"/>
    <s v="Los Angeles County"/>
    <n v="3"/>
    <n v="12"/>
    <x v="1"/>
  </r>
  <r>
    <s v="TX502019"/>
    <s v="Shorts"/>
    <n v="6"/>
    <n v="25.2"/>
    <n v="151.19999999999999"/>
    <d v="2025-03-16T00:00:00"/>
    <d v="2025-03-19T00:00:00"/>
    <s v="F"/>
    <x v="4"/>
    <n v="5"/>
    <s v="California"/>
    <s v="Los Angeles County"/>
    <n v="3"/>
    <n v="12"/>
    <x v="2"/>
  </r>
  <r>
    <s v="TX502020"/>
    <s v="Shorts"/>
    <n v="11"/>
    <n v="12.2"/>
    <n v="134.19999999999999"/>
    <d v="2025-03-16T00:00:00"/>
    <d v="2025-03-17T00:00:00"/>
    <s v=""/>
    <x v="0"/>
    <n v="3"/>
    <s v="California"/>
    <s v="Los Angeles County"/>
    <n v="1"/>
    <n v="12"/>
    <x v="0"/>
  </r>
  <r>
    <s v="TX502021"/>
    <s v="T-Shirts"/>
    <n v="7"/>
    <n v="38.799999999999997"/>
    <n v="271.59999999999997"/>
    <d v="2025-03-16T00:00:00"/>
    <d v="2025-03-18T00:00:00"/>
    <s v="F"/>
    <x v="1"/>
    <n v="3"/>
    <s v="California"/>
    <s v="Riverside County"/>
    <n v="2"/>
    <n v="12"/>
    <x v="2"/>
  </r>
  <r>
    <s v="TX502022"/>
    <s v="Sneakers"/>
    <n v="4"/>
    <n v="53.2"/>
    <n v="212.8"/>
    <d v="2025-03-16T00:00:00"/>
    <d v="2025-03-17T00:00:00"/>
    <s v="M"/>
    <x v="0"/>
    <n v="5"/>
    <s v="California"/>
    <s v="San Diego County"/>
    <n v="1"/>
    <n v="12"/>
    <x v="1"/>
  </r>
  <r>
    <s v="TX502023"/>
    <s v="Jeans"/>
    <n v="7"/>
    <n v="151"/>
    <n v="1057"/>
    <d v="2025-03-16T00:00:00"/>
    <d v="2025-03-17T00:00:00"/>
    <s v="O"/>
    <x v="1"/>
    <n v="3"/>
    <s v="California"/>
    <s v="San Diego County"/>
    <n v="1"/>
    <n v="12"/>
    <x v="3"/>
  </r>
  <r>
    <s v="TX502024"/>
    <s v="Tank Tops"/>
    <n v="2"/>
    <n v="37.1"/>
    <n v="74.2"/>
    <d v="2025-03-16T00:00:00"/>
    <d v="2025-03-17T00:00:00"/>
    <s v="F"/>
    <x v="4"/>
    <n v="4"/>
    <s v="California"/>
    <s v="San Diego County"/>
    <n v="1"/>
    <n v="12"/>
    <x v="2"/>
  </r>
  <r>
    <s v="TX502025"/>
    <s v="Sandals"/>
    <n v="2"/>
    <n v="38.9"/>
    <n v="77.8"/>
    <d v="2025-03-16T00:00:00"/>
    <d v="2025-03-17T00:00:00"/>
    <s v="M"/>
    <x v="4"/>
    <n v="4"/>
    <s v="California"/>
    <s v="San Diego County"/>
    <n v="1"/>
    <n v="12"/>
    <x v="1"/>
  </r>
  <r>
    <s v="TX502026"/>
    <s v="Bikinis"/>
    <n v="2"/>
    <n v="35.200000000000003"/>
    <n v="70.400000000000006"/>
    <d v="2025-03-16T00:00:00"/>
    <d v="2025-03-17T00:00:00"/>
    <s v="M"/>
    <x v="0"/>
    <n v="5"/>
    <s v="California"/>
    <s v="San Francisco"/>
    <n v="1"/>
    <n v="12"/>
    <x v="1"/>
  </r>
  <r>
    <s v="TX502027"/>
    <s v="Shorts"/>
    <n v="2"/>
    <n v="22.3"/>
    <n v="44.6"/>
    <d v="2025-03-16T00:00:00"/>
    <d v="2025-03-18T00:00:00"/>
    <s v="F"/>
    <x v="1"/>
    <n v="4"/>
    <s v="California"/>
    <s v="San Mateo County"/>
    <n v="2"/>
    <n v="12"/>
    <x v="2"/>
  </r>
  <r>
    <s v="TX502028"/>
    <s v="Sundresses"/>
    <n v="1"/>
    <n v="43.3"/>
    <n v="43.3"/>
    <d v="2025-03-16T00:00:00"/>
    <d v="2025-03-19T00:00:00"/>
    <s v="F"/>
    <x v="0"/>
    <n v="5"/>
    <s v="California"/>
    <s v="Santa Clara County"/>
    <n v="3"/>
    <n v="12"/>
    <x v="2"/>
  </r>
  <r>
    <s v="TX502029"/>
    <s v="Jeans"/>
    <n v="6"/>
    <n v="75.900000000000006"/>
    <n v="455.40000000000003"/>
    <d v="2025-03-16T00:00:00"/>
    <d v="2025-03-22T00:00:00"/>
    <s v="M"/>
    <x v="0"/>
    <n v="4"/>
    <s v="California"/>
    <s v="Santa Clara County"/>
    <n v="6"/>
    <n v="12"/>
    <x v="1"/>
  </r>
  <r>
    <s v="TX502030"/>
    <s v="Jeans"/>
    <n v="3"/>
    <n v="78.7"/>
    <n v="236.10000000000002"/>
    <d v="2025-03-16T00:00:00"/>
    <d v="2025-03-20T00:00:00"/>
    <s v="F"/>
    <x v="2"/>
    <n v="3"/>
    <s v="California"/>
    <s v="Santa Clara County"/>
    <n v="4"/>
    <n v="12"/>
    <x v="2"/>
  </r>
  <r>
    <s v="TX502031"/>
    <s v="Tank Tops"/>
    <n v="1"/>
    <n v="66.3"/>
    <n v="66.3"/>
    <d v="2025-03-16T00:00:00"/>
    <d v="2025-03-20T00:00:00"/>
    <s v="F"/>
    <x v="0"/>
    <n v="5"/>
    <s v="California"/>
    <s v="Stanislaus County"/>
    <n v="4"/>
    <n v="12"/>
    <x v="2"/>
  </r>
  <r>
    <s v="TX502032"/>
    <s v="T-Shirts"/>
    <n v="2"/>
    <n v="33.6"/>
    <n v="67.2"/>
    <d v="2025-03-16T00:00:00"/>
    <d v="2025-03-16T00:00:00"/>
    <s v="M"/>
    <x v="0"/>
    <n v="3"/>
    <s v="California"/>
    <s v="Stanislaus County"/>
    <n v="0"/>
    <n v="12"/>
    <x v="1"/>
  </r>
  <r>
    <s v="TX502033"/>
    <s v="Sneakers"/>
    <n v="7"/>
    <n v="61.4"/>
    <n v="429.8"/>
    <d v="2025-03-16T00:00:00"/>
    <d v="2025-03-17T00:00:00"/>
    <s v="M"/>
    <x v="4"/>
    <n v="4"/>
    <s v="California"/>
    <s v="Stanislaus County"/>
    <n v="1"/>
    <n v="12"/>
    <x v="1"/>
  </r>
  <r>
    <s v="TX502034"/>
    <s v="T-Shirts"/>
    <n v="2"/>
    <n v="17.5"/>
    <n v="35"/>
    <d v="2025-03-16T00:00:00"/>
    <d v="2025-03-19T00:00:00"/>
    <s v="F"/>
    <x v="0"/>
    <n v="4"/>
    <s v="California"/>
    <s v="Alameda County"/>
    <n v="3"/>
    <n v="12"/>
    <x v="2"/>
  </r>
  <r>
    <s v="TX502035"/>
    <s v="T-Shirts"/>
    <n v="2"/>
    <n v="32.5"/>
    <n v="65"/>
    <d v="2025-03-16T00:00:00"/>
    <d v="2025-03-19T00:00:00"/>
    <s v="F"/>
    <x v="1"/>
    <n v="4"/>
    <s v="California"/>
    <s v="Alameda County"/>
    <n v="3"/>
    <n v="12"/>
    <x v="2"/>
  </r>
  <r>
    <s v="TX502036"/>
    <s v="Graphic Tees"/>
    <n v="1"/>
    <n v="34.6"/>
    <n v="34.6"/>
    <d v="2025-03-16T00:00:00"/>
    <d v="2025-03-17T00:00:00"/>
    <s v="F"/>
    <x v="4"/>
    <n v="4"/>
    <s v="California"/>
    <s v="Alameda County"/>
    <n v="1"/>
    <n v="12"/>
    <x v="2"/>
  </r>
  <r>
    <s v="TX502037"/>
    <s v="Sneakers"/>
    <n v="1"/>
    <n v="75.900000000000006"/>
    <n v="75.900000000000006"/>
    <d v="2025-03-16T00:00:00"/>
    <d v="2025-03-16T00:00:00"/>
    <s v="M"/>
    <x v="1"/>
    <n v="5"/>
    <s v="California"/>
    <s v="Alameda County"/>
    <n v="0"/>
    <n v="12"/>
    <x v="1"/>
  </r>
  <r>
    <s v="TX502038"/>
    <s v="Tank Tops"/>
    <n v="3"/>
    <n v="42.1"/>
    <n v="126.30000000000001"/>
    <d v="2025-03-16T00:00:00"/>
    <d v="2025-03-19T00:00:00"/>
    <s v="M"/>
    <x v="1"/>
    <n v="3"/>
    <s v="California"/>
    <s v="Alameda County"/>
    <n v="3"/>
    <n v="12"/>
    <x v="1"/>
  </r>
  <r>
    <s v="TX502039"/>
    <s v="Hoodies &amp; Sweatshirts"/>
    <n v="3"/>
    <n v="65.3"/>
    <n v="195.89999999999998"/>
    <d v="2025-03-16T00:00:00"/>
    <d v="2025-03-23T00:00:00"/>
    <s v="M"/>
    <x v="0"/>
    <n v="4"/>
    <s v="California"/>
    <s v="Contra Costa County"/>
    <n v="7"/>
    <n v="12"/>
    <x v="1"/>
  </r>
  <r>
    <s v="TX502040"/>
    <s v="Crop Tops"/>
    <n v="1"/>
    <n v="20.6"/>
    <n v="20.6"/>
    <d v="2025-03-16T00:00:00"/>
    <d v="2025-03-19T00:00:00"/>
    <s v="M"/>
    <x v="3"/>
    <n v="4"/>
    <s v="California"/>
    <s v="El Dorado County"/>
    <n v="3"/>
    <n v="12"/>
    <x v="1"/>
  </r>
  <r>
    <s v="TX502041"/>
    <s v="T-Shirts"/>
    <n v="7"/>
    <n v="16.5"/>
    <n v="115.5"/>
    <d v="2025-03-16T00:00:00"/>
    <d v="2025-03-17T00:00:00"/>
    <s v="M"/>
    <x v="1"/>
    <n v="3"/>
    <s v="California"/>
    <s v="Fresno County"/>
    <n v="1"/>
    <n v="12"/>
    <x v="1"/>
  </r>
  <r>
    <s v="TX502042"/>
    <s v="Sunglasses"/>
    <n v="10"/>
    <n v="36.200000000000003"/>
    <n v="362"/>
    <d v="2025-03-16T00:00:00"/>
    <d v="2025-03-18T00:00:00"/>
    <s v="M"/>
    <x v="0"/>
    <n v="5"/>
    <s v="California"/>
    <s v="Fresno County"/>
    <n v="2"/>
    <n v="12"/>
    <x v="1"/>
  </r>
  <r>
    <s v="TX502043"/>
    <s v="Jeans"/>
    <n v="1"/>
    <n v="53.2"/>
    <n v="53.2"/>
    <d v="2025-03-16T00:00:00"/>
    <d v="2025-03-17T00:00:00"/>
    <s v="F"/>
    <x v="0"/>
    <n v="3"/>
    <s v="California"/>
    <s v="Kern County"/>
    <n v="1"/>
    <n v="12"/>
    <x v="2"/>
  </r>
  <r>
    <s v="TX502044"/>
    <s v="Sneakers"/>
    <n v="14"/>
    <n v="176"/>
    <n v="2464"/>
    <d v="2025-03-16T00:00:00"/>
    <d v="2025-03-17T00:00:00"/>
    <s v="F"/>
    <x v="0"/>
    <n v="3"/>
    <s v="California"/>
    <s v="Los Angeles County"/>
    <n v="1"/>
    <n v="12"/>
    <x v="2"/>
  </r>
  <r>
    <s v="TX502045"/>
    <s v="Tank Tops"/>
    <n v="1"/>
    <n v="52.4"/>
    <n v="52.4"/>
    <d v="2025-03-16T00:00:00"/>
    <d v="2025-03-17T00:00:00"/>
    <s v="M"/>
    <x v="1"/>
    <n v="4"/>
    <s v="California"/>
    <s v="Los Angeles County"/>
    <n v="1"/>
    <n v="12"/>
    <x v="1"/>
  </r>
  <r>
    <s v="TX502046"/>
    <s v="Bikinis"/>
    <n v="3"/>
    <n v="48.2"/>
    <n v="144.60000000000002"/>
    <d v="2025-03-16T00:00:00"/>
    <d v="2025-03-17T00:00:00"/>
    <s v="F"/>
    <x v="1"/>
    <n v="5"/>
    <s v="California"/>
    <s v="Los Angeles County"/>
    <n v="1"/>
    <n v="12"/>
    <x v="2"/>
  </r>
  <r>
    <s v="TX502047"/>
    <s v="Crop Tops"/>
    <n v="1"/>
    <n v="51.6"/>
    <n v="51.6"/>
    <d v="2025-03-16T00:00:00"/>
    <d v="2025-03-20T00:00:00"/>
    <s v="F"/>
    <x v="2"/>
    <n v="3"/>
    <s v="California"/>
    <s v="Los Angeles County"/>
    <n v="4"/>
    <n v="12"/>
    <x v="2"/>
  </r>
  <r>
    <s v="TX502048"/>
    <s v="Shorts"/>
    <n v="4"/>
    <n v="33.700000000000003"/>
    <n v="134.80000000000001"/>
    <d v="2025-03-17T00:00:00"/>
    <d v="2025-03-18T00:00:00"/>
    <s v="M"/>
    <x v="0"/>
    <n v="4"/>
    <s v="California"/>
    <s v="Los Angeles County"/>
    <n v="1"/>
    <n v="12"/>
    <x v="1"/>
  </r>
  <r>
    <s v="TX502049"/>
    <s v="Graphic Tees"/>
    <n v="10"/>
    <n v="36.299999999999997"/>
    <n v="363"/>
    <d v="2025-03-17T00:00:00"/>
    <d v="2025-03-19T00:00:00"/>
    <s v="F"/>
    <x v="4"/>
    <n v="3"/>
    <s v="California"/>
    <s v="Los Angeles County"/>
    <n v="2"/>
    <n v="12"/>
    <x v="2"/>
  </r>
  <r>
    <s v="TX502050"/>
    <s v="T-Shirts"/>
    <n v="1"/>
    <n v="23.4"/>
    <n v="23.4"/>
    <d v="2025-03-17T00:00:00"/>
    <d v="2025-03-22T00:00:00"/>
    <s v="F"/>
    <x v="1"/>
    <n v="5"/>
    <s v="California"/>
    <s v="Los Angeles County"/>
    <n v="5"/>
    <n v="12"/>
    <x v="2"/>
  </r>
  <r>
    <s v="TX502051"/>
    <s v="Crop Tops"/>
    <n v="8"/>
    <n v="56.6"/>
    <n v="452.8"/>
    <d v="2025-03-17T00:00:00"/>
    <d v="2025-03-19T00:00:00"/>
    <s v="F"/>
    <x v="1"/>
    <n v="4"/>
    <s v="California"/>
    <s v="Los Angeles County"/>
    <n v="2"/>
    <n v="12"/>
    <x v="2"/>
  </r>
  <r>
    <s v="TX502052"/>
    <s v="Crop Tops"/>
    <n v="2"/>
    <n v="26.8"/>
    <n v="53.6"/>
    <d v="2025-03-17T00:00:00"/>
    <d v="2025-03-18T00:00:00"/>
    <s v="M"/>
    <x v="0"/>
    <n v="4"/>
    <s v="California"/>
    <s v="Nevada County"/>
    <n v="1"/>
    <n v="12"/>
    <x v="1"/>
  </r>
  <r>
    <s v="TX502053"/>
    <s v="Shorts"/>
    <n v="3"/>
    <n v="11.3"/>
    <n v="33.900000000000006"/>
    <d v="2025-03-17T00:00:00"/>
    <d v="2025-03-19T00:00:00"/>
    <s v="M"/>
    <x v="2"/>
    <n v="4"/>
    <s v="California"/>
    <s v="Orange County"/>
    <n v="2"/>
    <n v="12"/>
    <x v="1"/>
  </r>
  <r>
    <s v="TX502054"/>
    <s v="Jeans"/>
    <n v="3"/>
    <n v="60.1"/>
    <n v="180.3"/>
    <d v="2025-03-17T00:00:00"/>
    <d v="2025-03-20T00:00:00"/>
    <s v="F"/>
    <x v="0"/>
    <n v="4"/>
    <s v="California"/>
    <s v="San Bernardino County"/>
    <n v="3"/>
    <n v="12"/>
    <x v="2"/>
  </r>
  <r>
    <s v="TX502055"/>
    <s v="Shorts"/>
    <n v="11"/>
    <n v="27.7"/>
    <n v="304.7"/>
    <d v="2025-03-17T00:00:00"/>
    <d v="2025-03-22T00:00:00"/>
    <s v="F"/>
    <x v="0"/>
    <n v="4"/>
    <s v="California"/>
    <s v="San Diego County"/>
    <n v="5"/>
    <n v="12"/>
    <x v="2"/>
  </r>
  <r>
    <s v="TX502056"/>
    <s v="Crop Tops"/>
    <n v="1"/>
    <n v="71.400000000000006"/>
    <n v="71.400000000000006"/>
    <d v="2025-03-17T00:00:00"/>
    <d v="2025-03-20T00:00:00"/>
    <s v="M"/>
    <x v="0"/>
    <n v="5"/>
    <s v="California"/>
    <s v="San Diego County"/>
    <n v="3"/>
    <n v="12"/>
    <x v="1"/>
  </r>
  <r>
    <s v="TX502057"/>
    <s v="Sneakers"/>
    <n v="2"/>
    <n v="66.7"/>
    <n v="133.4"/>
    <d v="2025-03-17T00:00:00"/>
    <d v="2025-03-18T00:00:00"/>
    <s v="F"/>
    <x v="0"/>
    <n v="5"/>
    <s v="California"/>
    <s v="San Diego County"/>
    <n v="1"/>
    <n v="12"/>
    <x v="2"/>
  </r>
  <r>
    <s v="TX502058"/>
    <s v="Tote Bags"/>
    <n v="5"/>
    <n v="39.1"/>
    <n v="195.5"/>
    <d v="2025-03-17T00:00:00"/>
    <d v="2025-03-18T00:00:00"/>
    <s v="F"/>
    <x v="0"/>
    <n v="4"/>
    <s v="California"/>
    <s v="San Diego County"/>
    <n v="1"/>
    <n v="12"/>
    <x v="2"/>
  </r>
  <r>
    <s v="TX502059"/>
    <s v="T-Shirts"/>
    <n v="4"/>
    <n v="24.9"/>
    <n v="99.6"/>
    <d v="2025-03-17T00:00:00"/>
    <d v="2025-03-22T00:00:00"/>
    <s v="M"/>
    <x v="1"/>
    <n v="5"/>
    <s v="California"/>
    <s v="San Diego County"/>
    <n v="5"/>
    <n v="12"/>
    <x v="1"/>
  </r>
  <r>
    <s v="TX502060"/>
    <s v="Sandals"/>
    <n v="5"/>
    <n v="29.2"/>
    <n v="146"/>
    <d v="2025-03-17T00:00:00"/>
    <d v="2025-03-18T00:00:00"/>
    <s v="M"/>
    <x v="0"/>
    <n v="5"/>
    <s v="California"/>
    <s v="San Francisco"/>
    <n v="1"/>
    <n v="12"/>
    <x v="1"/>
  </r>
  <r>
    <s v="TX502061"/>
    <s v="Tote Bags"/>
    <n v="14"/>
    <n v="28.3"/>
    <n v="396.2"/>
    <d v="2025-03-17T00:00:00"/>
    <d v="2025-03-19T00:00:00"/>
    <s v="F"/>
    <x v="1"/>
    <n v="4"/>
    <s v="California"/>
    <s v="Santa Clara County"/>
    <n v="2"/>
    <n v="12"/>
    <x v="2"/>
  </r>
  <r>
    <s v="TX502062"/>
    <s v="Sundresses"/>
    <n v="3"/>
    <n v="37.799999999999997"/>
    <n v="113.39999999999999"/>
    <d v="2025-03-17T00:00:00"/>
    <d v="2025-03-18T00:00:00"/>
    <s v="F"/>
    <x v="0"/>
    <n v="3"/>
    <s v="California"/>
    <s v="Santa Clara County"/>
    <n v="1"/>
    <n v="12"/>
    <x v="2"/>
  </r>
  <r>
    <s v="TX502063"/>
    <s v="Baseball Caps"/>
    <n v="7"/>
    <n v="28.1"/>
    <n v="196.70000000000002"/>
    <d v="2025-03-17T00:00:00"/>
    <d v="2025-03-23T00:00:00"/>
    <s v="F"/>
    <x v="2"/>
    <n v="4"/>
    <s v="California"/>
    <s v="Santa Clara County"/>
    <n v="6"/>
    <n v="12"/>
    <x v="2"/>
  </r>
  <r>
    <s v="TX502064"/>
    <s v="Tank Tops"/>
    <n v="3"/>
    <n v="59.7"/>
    <n v="179.10000000000002"/>
    <d v="2025-03-17T00:00:00"/>
    <d v="2025-03-19T00:00:00"/>
    <s v="F"/>
    <x v="2"/>
    <n v="4"/>
    <s v="California"/>
    <s v="Santa Clara County"/>
    <n v="2"/>
    <n v="12"/>
    <x v="2"/>
  </r>
  <r>
    <s v="TX502065"/>
    <s v="Sunglasses"/>
    <n v="1"/>
    <n v="71.900000000000006"/>
    <n v="71.900000000000006"/>
    <d v="2025-03-17T00:00:00"/>
    <d v="2025-03-18T00:00:00"/>
    <s v="M"/>
    <x v="1"/>
    <n v="3"/>
    <s v="California"/>
    <s v="Santa Clara County"/>
    <n v="1"/>
    <n v="12"/>
    <x v="1"/>
  </r>
  <r>
    <s v="TX502066"/>
    <s v="Tank Tops"/>
    <n v="2"/>
    <n v="56.9"/>
    <n v="113.8"/>
    <d v="2025-03-17T00:00:00"/>
    <d v="2025-03-18T00:00:00"/>
    <s v="M"/>
    <x v="2"/>
    <n v="4"/>
    <s v="California"/>
    <s v="Ventura County"/>
    <n v="1"/>
    <n v="12"/>
    <x v="1"/>
  </r>
  <r>
    <s v="TX502067"/>
    <s v="T-Shirts"/>
    <n v="2"/>
    <n v="15.8"/>
    <n v="31.6"/>
    <d v="2025-03-17T00:00:00"/>
    <d v="2025-03-20T00:00:00"/>
    <s v="F"/>
    <x v="2"/>
    <n v="3"/>
    <s v="California"/>
    <s v="Contra Costa County"/>
    <n v="3"/>
    <n v="12"/>
    <x v="2"/>
  </r>
  <r>
    <s v="TX502068"/>
    <s v="Maxi Dresses"/>
    <n v="4"/>
    <n v="61.7"/>
    <n v="246.8"/>
    <d v="2025-03-17T00:00:00"/>
    <d v="2025-03-19T00:00:00"/>
    <s v="F"/>
    <x v="2"/>
    <n v="4"/>
    <s v="California"/>
    <s v="Kern County"/>
    <n v="2"/>
    <n v="12"/>
    <x v="2"/>
  </r>
  <r>
    <s v="TX502069"/>
    <s v="Sneakers"/>
    <n v="10"/>
    <n v="105.2"/>
    <n v="1052"/>
    <d v="2025-03-17T00:00:00"/>
    <d v="2025-03-19T00:00:00"/>
    <s v="M"/>
    <x v="1"/>
    <n v="2"/>
    <s v="California"/>
    <s v="Los Angeles County"/>
    <n v="2"/>
    <n v="12"/>
    <x v="1"/>
  </r>
  <r>
    <s v="TX502070"/>
    <s v="Shorts"/>
    <n v="2"/>
    <n v="17"/>
    <n v="34"/>
    <d v="2025-03-17T00:00:00"/>
    <d v="2025-03-19T00:00:00"/>
    <s v="F"/>
    <x v="2"/>
    <n v="4"/>
    <s v="California"/>
    <s v="Los Angeles County"/>
    <n v="2"/>
    <n v="12"/>
    <x v="2"/>
  </r>
  <r>
    <s v="TX502071"/>
    <s v="Jeans"/>
    <n v="3"/>
    <n v="84.1"/>
    <n v="252.29999999999998"/>
    <d v="2025-03-17T00:00:00"/>
    <d v="2025-03-18T00:00:00"/>
    <s v="M"/>
    <x v="2"/>
    <n v="4"/>
    <s v="California"/>
    <s v="Los Angeles County"/>
    <n v="1"/>
    <n v="12"/>
    <x v="1"/>
  </r>
  <r>
    <s v="TX502072"/>
    <s v="Workout Tops"/>
    <n v="4"/>
    <n v="59.5"/>
    <n v="238"/>
    <d v="2025-03-17T00:00:00"/>
    <d v="2025-03-22T00:00:00"/>
    <s v="M"/>
    <x v="0"/>
    <n v="5"/>
    <s v="California"/>
    <s v="Los Angeles County"/>
    <n v="5"/>
    <n v="12"/>
    <x v="1"/>
  </r>
  <r>
    <s v="TX502073"/>
    <s v="T-Shirts"/>
    <n v="2"/>
    <n v="57.5"/>
    <n v="115"/>
    <d v="2025-03-17T00:00:00"/>
    <d v="2025-03-19T00:00:00"/>
    <s v="M"/>
    <x v="1"/>
    <n v="5"/>
    <s v="California"/>
    <s v="Los Angeles County"/>
    <n v="2"/>
    <n v="12"/>
    <x v="1"/>
  </r>
  <r>
    <s v="TX502074"/>
    <s v="T-Shirts"/>
    <n v="1"/>
    <n v="34.299999999999997"/>
    <n v="34.299999999999997"/>
    <d v="2025-03-17T00:00:00"/>
    <d v="2025-03-18T00:00:00"/>
    <s v="F"/>
    <x v="4"/>
    <n v="5"/>
    <s v="California"/>
    <s v="Los Angeles County"/>
    <n v="1"/>
    <n v="12"/>
    <x v="2"/>
  </r>
  <r>
    <s v="TX502075"/>
    <s v="Sandals"/>
    <n v="2"/>
    <n v="27.8"/>
    <n v="55.6"/>
    <d v="2025-03-18T00:00:00"/>
    <d v="2025-03-20T00:00:00"/>
    <s v="F"/>
    <x v="0"/>
    <n v="4"/>
    <s v="California"/>
    <s v="Los Angeles County"/>
    <n v="2"/>
    <n v="12"/>
    <x v="2"/>
  </r>
  <r>
    <s v="TX502076"/>
    <s v="Casual Dresses"/>
    <n v="2"/>
    <n v="85"/>
    <n v="170"/>
    <d v="2025-03-18T00:00:00"/>
    <d v="2025-03-18T00:00:00"/>
    <s v="M"/>
    <x v="2"/>
    <n v="5"/>
    <s v="California"/>
    <s v="Los Angeles County"/>
    <n v="0"/>
    <n v="12"/>
    <x v="1"/>
  </r>
  <r>
    <s v="TX502077"/>
    <s v="Jeans"/>
    <n v="2"/>
    <n v="95"/>
    <n v="190"/>
    <d v="2025-03-18T00:00:00"/>
    <d v="2025-03-20T00:00:00"/>
    <s v="F"/>
    <x v="0"/>
    <n v="4"/>
    <s v="California"/>
    <s v="Los Angeles County"/>
    <n v="2"/>
    <n v="12"/>
    <x v="2"/>
  </r>
  <r>
    <s v="TX502078"/>
    <s v="Sunglasses"/>
    <n v="2"/>
    <n v="32"/>
    <n v="64"/>
    <d v="2025-03-18T00:00:00"/>
    <d v="2025-03-20T00:00:00"/>
    <s v="M"/>
    <x v="0"/>
    <n v="3"/>
    <s v="California"/>
    <s v="Los Angeles County"/>
    <n v="2"/>
    <n v="12"/>
    <x v="1"/>
  </r>
  <r>
    <s v="TX502079"/>
    <s v="Sneakers"/>
    <n v="2"/>
    <n v="65.2"/>
    <n v="130.4"/>
    <d v="2025-03-18T00:00:00"/>
    <d v="2025-03-19T00:00:00"/>
    <s v="F"/>
    <x v="1"/>
    <n v="4"/>
    <s v="California"/>
    <s v="Los Angeles County"/>
    <n v="1"/>
    <n v="12"/>
    <x v="2"/>
  </r>
  <r>
    <s v="TX502080"/>
    <s v="Pajama Sets"/>
    <n v="4"/>
    <n v="22"/>
    <n v="88"/>
    <d v="2025-03-18T00:00:00"/>
    <d v="2025-03-19T00:00:00"/>
    <s v="M"/>
    <x v="1"/>
    <n v="5"/>
    <s v="California"/>
    <s v="Los Angeles County"/>
    <n v="1"/>
    <n v="12"/>
    <x v="1"/>
  </r>
  <r>
    <s v="TX502081"/>
    <s v="Crop Tops"/>
    <n v="3"/>
    <n v="69.400000000000006"/>
    <n v="208.20000000000002"/>
    <d v="2025-03-18T00:00:00"/>
    <d v="2025-03-21T00:00:00"/>
    <s v="M"/>
    <x v="1"/>
    <n v="5"/>
    <s v="California"/>
    <s v="Los Angeles County"/>
    <n v="3"/>
    <n v="12"/>
    <x v="1"/>
  </r>
  <r>
    <s v="TX502082"/>
    <s v="Bikinis"/>
    <n v="6"/>
    <n v="31.5"/>
    <n v="189"/>
    <d v="2025-03-18T00:00:00"/>
    <d v="2025-03-20T00:00:00"/>
    <s v="F"/>
    <x v="0"/>
    <n v="5"/>
    <s v="California"/>
    <s v="Los Angeles County"/>
    <n v="2"/>
    <n v="12"/>
    <x v="2"/>
  </r>
  <r>
    <s v="TX502083"/>
    <s v="Jeans"/>
    <n v="1"/>
    <n v="45.8"/>
    <n v="45.8"/>
    <d v="2025-03-18T00:00:00"/>
    <d v="2025-03-22T00:00:00"/>
    <s v="O"/>
    <x v="0"/>
    <n v="4"/>
    <s v="California"/>
    <s v="Los Angeles County"/>
    <n v="4"/>
    <n v="12"/>
    <x v="3"/>
  </r>
  <r>
    <s v="TX502084"/>
    <s v="Jewelry"/>
    <n v="4"/>
    <n v="12.8"/>
    <n v="51.2"/>
    <d v="2025-03-18T00:00:00"/>
    <d v="2025-03-25T00:00:00"/>
    <s v="F"/>
    <x v="1"/>
    <n v="3"/>
    <s v="California"/>
    <s v="Placer County"/>
    <n v="7"/>
    <n v="12"/>
    <x v="2"/>
  </r>
  <r>
    <s v="TX502085"/>
    <s v="Sandals"/>
    <n v="3"/>
    <n v="115.3"/>
    <n v="345.9"/>
    <d v="2025-03-18T00:00:00"/>
    <d v="2025-03-19T00:00:00"/>
    <s v="F"/>
    <x v="2"/>
    <n v="5"/>
    <s v="California"/>
    <s v="Sacramento County"/>
    <n v="1"/>
    <n v="12"/>
    <x v="2"/>
  </r>
  <r>
    <s v="TX502086"/>
    <s v="Sandals"/>
    <n v="2"/>
    <n v="85"/>
    <n v="170"/>
    <d v="2025-03-18T00:00:00"/>
    <d v="2025-03-20T00:00:00"/>
    <s v="F"/>
    <x v="1"/>
    <n v="4"/>
    <s v="California"/>
    <s v="San Bernardino County"/>
    <n v="2"/>
    <n v="12"/>
    <x v="2"/>
  </r>
  <r>
    <s v="TX502087"/>
    <s v="T-Shirts"/>
    <n v="3"/>
    <n v="56.6"/>
    <n v="169.8"/>
    <d v="2025-03-18T00:00:00"/>
    <d v="2025-03-19T00:00:00"/>
    <s v="F"/>
    <x v="1"/>
    <n v="5"/>
    <s v="California"/>
    <s v="San Bernardino County"/>
    <n v="1"/>
    <n v="12"/>
    <x v="2"/>
  </r>
  <r>
    <s v="TX502088"/>
    <s v="Crop Tops"/>
    <n v="27"/>
    <n v="46.3"/>
    <n v="1250.0999999999999"/>
    <d v="2025-03-18T00:00:00"/>
    <d v="2025-03-21T00:00:00"/>
    <s v="M"/>
    <x v="0"/>
    <n v="4"/>
    <s v="California"/>
    <s v="San Bernardino County"/>
    <n v="3"/>
    <n v="12"/>
    <x v="1"/>
  </r>
  <r>
    <s v="TX502089"/>
    <s v="Baseball Caps"/>
    <n v="4"/>
    <n v="23"/>
    <n v="92"/>
    <d v="2025-03-18T00:00:00"/>
    <d v="2025-03-22T00:00:00"/>
    <s v="M"/>
    <x v="3"/>
    <n v="5"/>
    <s v="California"/>
    <s v="San Bernardino County"/>
    <n v="4"/>
    <n v="12"/>
    <x v="1"/>
  </r>
  <r>
    <s v="TX502090"/>
    <s v="T-Shirts"/>
    <n v="6"/>
    <n v="42.1"/>
    <n v="252.60000000000002"/>
    <d v="2025-03-18T00:00:00"/>
    <d v="2025-03-20T00:00:00"/>
    <s v="M"/>
    <x v="4"/>
    <n v="4"/>
    <s v="California"/>
    <s v="San Diego County"/>
    <n v="2"/>
    <n v="12"/>
    <x v="1"/>
  </r>
  <r>
    <s v="TX502091"/>
    <s v="Sandals"/>
    <n v="7"/>
    <n v="57.4"/>
    <n v="401.8"/>
    <d v="2025-03-18T00:00:00"/>
    <d v="2025-03-22T00:00:00"/>
    <s v="F"/>
    <x v="1"/>
    <n v="2"/>
    <s v="California"/>
    <s v="San Diego County"/>
    <n v="4"/>
    <n v="12"/>
    <x v="2"/>
  </r>
  <r>
    <s v="TX502092"/>
    <s v="Shorts"/>
    <n v="6"/>
    <n v="13.2"/>
    <n v="79.199999999999989"/>
    <d v="2025-03-18T00:00:00"/>
    <d v="2025-03-22T00:00:00"/>
    <s v="M"/>
    <x v="2"/>
    <n v="4"/>
    <s v="California"/>
    <s v="San Diego County"/>
    <n v="4"/>
    <n v="12"/>
    <x v="1"/>
  </r>
  <r>
    <s v="TX502093"/>
    <s v="Jeans"/>
    <n v="3"/>
    <n v="52.3"/>
    <n v="156.89999999999998"/>
    <d v="2025-03-18T00:00:00"/>
    <d v="2025-03-19T00:00:00"/>
    <s v="M"/>
    <x v="1"/>
    <n v="4"/>
    <s v="California"/>
    <s v="San Diego County"/>
    <n v="1"/>
    <n v="12"/>
    <x v="1"/>
  </r>
  <r>
    <s v="TX502094"/>
    <s v="T-Shirts"/>
    <n v="2"/>
    <n v="15.7"/>
    <n v="31.4"/>
    <d v="2025-03-18T00:00:00"/>
    <d v="2025-03-21T00:00:00"/>
    <s v="M"/>
    <x v="1"/>
    <n v="5"/>
    <s v="California"/>
    <s v="San Diego County"/>
    <n v="3"/>
    <n v="12"/>
    <x v="1"/>
  </r>
  <r>
    <s v="TX502095"/>
    <s v="Hoodies &amp; Sweatshirts"/>
    <n v="3"/>
    <n v="35"/>
    <n v="105"/>
    <d v="2025-03-18T00:00:00"/>
    <d v="2025-03-21T00:00:00"/>
    <s v="F"/>
    <x v="1"/>
    <n v="5"/>
    <s v="California"/>
    <s v="San Mateo County"/>
    <n v="3"/>
    <n v="12"/>
    <x v="2"/>
  </r>
  <r>
    <s v="TX502096"/>
    <s v="Graphic Tees"/>
    <n v="3"/>
    <n v="26.6"/>
    <n v="79.800000000000011"/>
    <d v="2025-03-18T00:00:00"/>
    <d v="2025-03-18T00:00:00"/>
    <s v="M"/>
    <x v="1"/>
    <n v="5"/>
    <s v="California"/>
    <s v="Santa Clara County"/>
    <n v="0"/>
    <n v="12"/>
    <x v="1"/>
  </r>
  <r>
    <s v="TX502097"/>
    <s v="Graphic Tees"/>
    <n v="8"/>
    <n v="47.9"/>
    <n v="383.2"/>
    <d v="2025-03-19T00:00:00"/>
    <d v="2025-03-20T00:00:00"/>
    <s v="F"/>
    <x v="3"/>
    <n v="5"/>
    <s v="California"/>
    <s v="Tulare County"/>
    <n v="1"/>
    <n v="12"/>
    <x v="2"/>
  </r>
  <r>
    <s v="TX502098"/>
    <s v="Sandals"/>
    <n v="1"/>
    <n v="80.099999999999994"/>
    <n v="80.099999999999994"/>
    <d v="2025-03-19T00:00:00"/>
    <d v="2025-03-20T00:00:00"/>
    <s v="M"/>
    <x v="2"/>
    <n v="4"/>
    <s v="California"/>
    <s v="Alameda County"/>
    <n v="1"/>
    <n v="12"/>
    <x v="1"/>
  </r>
  <r>
    <s v="TX502099"/>
    <s v="Jeans"/>
    <n v="5"/>
    <n v="50.4"/>
    <n v="252"/>
    <d v="2025-03-19T00:00:00"/>
    <d v="2025-03-20T00:00:00"/>
    <s v="M"/>
    <x v="1"/>
    <n v="5"/>
    <s v="California"/>
    <s v="Alameda County"/>
    <n v="1"/>
    <n v="12"/>
    <x v="1"/>
  </r>
  <r>
    <s v="TX502100"/>
    <s v="Bikinis"/>
    <n v="7"/>
    <n v="43.3"/>
    <n v="303.09999999999997"/>
    <d v="2025-03-19T00:00:00"/>
    <d v="2025-03-20T00:00:00"/>
    <s v="M"/>
    <x v="2"/>
    <n v="4"/>
    <s v="California"/>
    <s v="Alameda County"/>
    <n v="1"/>
    <n v="12"/>
    <x v="1"/>
  </r>
  <r>
    <s v="TX502101"/>
    <s v="Bikinis"/>
    <n v="4"/>
    <n v="57.5"/>
    <n v="230"/>
    <d v="2025-03-19T00:00:00"/>
    <d v="2025-03-20T00:00:00"/>
    <s v="F"/>
    <x v="1"/>
    <n v="5"/>
    <s v="California"/>
    <s v="Contra Costa County"/>
    <n v="1"/>
    <n v="12"/>
    <x v="2"/>
  </r>
  <r>
    <s v="TX502102"/>
    <s v="Sundresses"/>
    <n v="13"/>
    <n v="24.8"/>
    <n v="322.40000000000003"/>
    <d v="2025-03-19T00:00:00"/>
    <d v="2025-03-20T00:00:00"/>
    <s v="M"/>
    <x v="0"/>
    <n v="4"/>
    <s v="California"/>
    <s v="Del Norte County"/>
    <n v="1"/>
    <n v="12"/>
    <x v="1"/>
  </r>
  <r>
    <s v="TX502103"/>
    <s v="Sneakers"/>
    <n v="9"/>
    <n v="85.7"/>
    <n v="771.30000000000007"/>
    <d v="2025-03-19T00:00:00"/>
    <d v="2025-03-20T00:00:00"/>
    <s v="F"/>
    <x v="0"/>
    <n v="4"/>
    <s v="California"/>
    <s v="El Dorado County"/>
    <n v="1"/>
    <n v="12"/>
    <x v="2"/>
  </r>
  <r>
    <s v="TX502104"/>
    <s v="Hoodies &amp; Sweatshirts"/>
    <n v="1"/>
    <n v="47.1"/>
    <n v="47.1"/>
    <d v="2025-03-19T00:00:00"/>
    <d v="2025-03-21T00:00:00"/>
    <s v="F"/>
    <x v="0"/>
    <n v="4"/>
    <s v="California"/>
    <s v="Fresno County"/>
    <n v="2"/>
    <n v="12"/>
    <x v="2"/>
  </r>
  <r>
    <s v="TX502105"/>
    <s v="Sandals"/>
    <n v="10"/>
    <n v="83.2"/>
    <n v="832"/>
    <d v="2025-03-19T00:00:00"/>
    <d v="2025-03-23T00:00:00"/>
    <s v="F"/>
    <x v="0"/>
    <n v="4"/>
    <s v="California"/>
    <s v="Imperial County"/>
    <n v="4"/>
    <n v="12"/>
    <x v="2"/>
  </r>
  <r>
    <s v="TX502106"/>
    <s v="Sneakers"/>
    <n v="3"/>
    <n v="157"/>
    <n v="471"/>
    <d v="2025-03-19T00:00:00"/>
    <d v="2025-03-21T00:00:00"/>
    <s v="F"/>
    <x v="0"/>
    <n v="5"/>
    <s v="California"/>
    <s v="Kern County"/>
    <n v="2"/>
    <n v="12"/>
    <x v="2"/>
  </r>
  <r>
    <s v="TX502107"/>
    <s v="Sunglasses"/>
    <n v="4"/>
    <n v="33.700000000000003"/>
    <n v="134.80000000000001"/>
    <d v="2025-03-19T00:00:00"/>
    <d v="2025-03-20T00:00:00"/>
    <s v="M"/>
    <x v="2"/>
    <n v="5"/>
    <s v="California"/>
    <s v="Kern County"/>
    <n v="1"/>
    <n v="12"/>
    <x v="1"/>
  </r>
  <r>
    <s v="TX502108"/>
    <s v="Sneakers"/>
    <n v="3"/>
    <n v="60.8"/>
    <n v="182.39999999999998"/>
    <d v="2025-03-19T00:00:00"/>
    <d v="2025-03-23T00:00:00"/>
    <s v="F"/>
    <x v="1"/>
    <n v="3"/>
    <s v="California"/>
    <s v="Los Angeles County"/>
    <n v="4"/>
    <n v="12"/>
    <x v="2"/>
  </r>
  <r>
    <s v="TX502109"/>
    <s v="Hoodies &amp; Sweatshirts"/>
    <n v="1"/>
    <n v="57.6"/>
    <n v="57.6"/>
    <d v="2025-03-19T00:00:00"/>
    <d v="2025-03-20T00:00:00"/>
    <s v="M"/>
    <x v="1"/>
    <n v="2"/>
    <s v="California"/>
    <s v="Los Angeles County"/>
    <n v="1"/>
    <n v="12"/>
    <x v="1"/>
  </r>
  <r>
    <s v="TX502110"/>
    <s v="Bikinis"/>
    <n v="1"/>
    <n v="32"/>
    <n v="32"/>
    <d v="2025-03-19T00:00:00"/>
    <d v="2025-03-21T00:00:00"/>
    <s v="M"/>
    <x v="0"/>
    <n v="4"/>
    <s v="California"/>
    <s v="Los Angeles County"/>
    <n v="2"/>
    <n v="12"/>
    <x v="1"/>
  </r>
  <r>
    <s v="TX502111"/>
    <s v="Bikinis"/>
    <n v="4"/>
    <n v="23.5"/>
    <n v="94"/>
    <d v="2025-03-19T00:00:00"/>
    <d v="2025-03-20T00:00:00"/>
    <s v="F"/>
    <x v="0"/>
    <n v="5"/>
    <s v="California"/>
    <s v="Los Angeles County"/>
    <n v="1"/>
    <n v="12"/>
    <x v="2"/>
  </r>
  <r>
    <s v="TX502112"/>
    <s v="Casual Dresses"/>
    <n v="3"/>
    <n v="44.8"/>
    <n v="134.39999999999998"/>
    <d v="2025-03-19T00:00:00"/>
    <d v="2025-03-20T00:00:00"/>
    <s v="O"/>
    <x v="4"/>
    <n v="4"/>
    <s v="California"/>
    <s v="Los Angeles County"/>
    <n v="1"/>
    <n v="12"/>
    <x v="3"/>
  </r>
  <r>
    <s v="TX502113"/>
    <s v="Shorts"/>
    <n v="8"/>
    <n v="11.7"/>
    <n v="93.6"/>
    <d v="2025-03-19T00:00:00"/>
    <d v="2025-03-20T00:00:00"/>
    <s v="M"/>
    <x v="2"/>
    <n v="5"/>
    <s v="California"/>
    <s v="Los Angeles County"/>
    <n v="1"/>
    <n v="12"/>
    <x v="1"/>
  </r>
  <r>
    <s v="TX502114"/>
    <s v="Hoodies &amp; Sweatshirts"/>
    <n v="2"/>
    <n v="38.799999999999997"/>
    <n v="77.599999999999994"/>
    <d v="2025-03-19T00:00:00"/>
    <d v="2025-03-22T00:00:00"/>
    <s v="F"/>
    <x v="2"/>
    <n v="4"/>
    <s v="California"/>
    <s v="Los Angeles County"/>
    <n v="3"/>
    <n v="12"/>
    <x v="2"/>
  </r>
  <r>
    <s v="TX502115"/>
    <s v="Sandals"/>
    <n v="14"/>
    <n v="86.9"/>
    <n v="1216.6000000000001"/>
    <d v="2025-03-19T00:00:00"/>
    <d v="2025-03-24T00:00:00"/>
    <s v="F"/>
    <x v="1"/>
    <n v="4"/>
    <s v="California"/>
    <s v="Los Angeles County"/>
    <n v="5"/>
    <n v="12"/>
    <x v="2"/>
  </r>
  <r>
    <s v="TX502116"/>
    <s v="T-Shirts"/>
    <n v="1"/>
    <n v="18.3"/>
    <n v="18.3"/>
    <d v="2025-03-19T00:00:00"/>
    <d v="2025-03-20T00:00:00"/>
    <s v="F"/>
    <x v="0"/>
    <n v="4"/>
    <s v="California"/>
    <s v="Los Angeles County"/>
    <n v="1"/>
    <n v="12"/>
    <x v="2"/>
  </r>
  <r>
    <s v="TX502117"/>
    <s v="Sandals"/>
    <n v="1"/>
    <n v="47.5"/>
    <n v="47.5"/>
    <d v="2025-03-19T00:00:00"/>
    <d v="2025-03-23T00:00:00"/>
    <s v="M"/>
    <x v="4"/>
    <n v="5"/>
    <s v="California"/>
    <s v="Los Angeles County"/>
    <n v="4"/>
    <n v="12"/>
    <x v="1"/>
  </r>
  <r>
    <s v="TX502118"/>
    <s v="Tank Tops"/>
    <n v="2"/>
    <n v="78.599999999999994"/>
    <n v="157.19999999999999"/>
    <d v="2025-03-19T00:00:00"/>
    <d v="2025-03-20T00:00:00"/>
    <s v="M"/>
    <x v="2"/>
    <n v="5"/>
    <s v="California"/>
    <s v="Los Angeles County"/>
    <n v="1"/>
    <n v="12"/>
    <x v="1"/>
  </r>
  <r>
    <s v="TX502119"/>
    <s v="Jeans"/>
    <n v="4"/>
    <n v="87.3"/>
    <n v="349.2"/>
    <d v="2025-03-19T00:00:00"/>
    <d v="2025-03-20T00:00:00"/>
    <s v="M"/>
    <x v="0"/>
    <n v="4"/>
    <s v="California"/>
    <s v="Los Angeles County"/>
    <n v="1"/>
    <n v="12"/>
    <x v="1"/>
  </r>
  <r>
    <s v="TX502120"/>
    <s v="Sundresses"/>
    <n v="2"/>
    <n v="63.2"/>
    <n v="126.4"/>
    <d v="2025-03-19T00:00:00"/>
    <d v="2025-03-19T00:00:00"/>
    <s v="M"/>
    <x v="4"/>
    <n v="3"/>
    <s v="California"/>
    <s v="Los Angeles County"/>
    <n v="0"/>
    <n v="12"/>
    <x v="1"/>
  </r>
  <r>
    <s v="TX502121"/>
    <s v="Sandals"/>
    <n v="5"/>
    <n v="33.700000000000003"/>
    <n v="168.5"/>
    <d v="2025-03-19T00:00:00"/>
    <d v="2025-03-20T00:00:00"/>
    <s v="F"/>
    <x v="0"/>
    <n v="4"/>
    <s v="California"/>
    <s v="Los Angeles County"/>
    <n v="1"/>
    <n v="12"/>
    <x v="2"/>
  </r>
  <r>
    <s v="TX502122"/>
    <s v="Sneakers"/>
    <n v="3"/>
    <n v="107.4"/>
    <n v="322.20000000000005"/>
    <d v="2025-03-19T00:00:00"/>
    <d v="2025-04-01T00:00:00"/>
    <s v="F"/>
    <x v="1"/>
    <n v="5"/>
    <s v="California"/>
    <s v="Los Angeles County"/>
    <n v="13"/>
    <n v="12"/>
    <x v="2"/>
  </r>
  <r>
    <s v="TX502123"/>
    <s v="Graphic Tees"/>
    <n v="4"/>
    <n v="22.2"/>
    <n v="88.8"/>
    <d v="2025-03-19T00:00:00"/>
    <d v="2025-03-20T00:00:00"/>
    <s v=""/>
    <x v="1"/>
    <n v="5"/>
    <s v="California"/>
    <s v="Merced County"/>
    <n v="1"/>
    <n v="12"/>
    <x v="0"/>
  </r>
  <r>
    <s v="TX502124"/>
    <s v="Leggings"/>
    <n v="3"/>
    <n v="52.8"/>
    <n v="158.39999999999998"/>
    <d v="2025-03-19T00:00:00"/>
    <d v="2025-03-20T00:00:00"/>
    <s v="M"/>
    <x v="3"/>
    <n v="5"/>
    <s v="California"/>
    <s v="Merced County"/>
    <n v="1"/>
    <n v="12"/>
    <x v="1"/>
  </r>
  <r>
    <s v="TX502125"/>
    <s v="T-Shirts"/>
    <n v="3"/>
    <n v="41.5"/>
    <n v="124.5"/>
    <d v="2025-03-19T00:00:00"/>
    <d v="2025-03-22T00:00:00"/>
    <s v="F"/>
    <x v="0"/>
    <n v="4"/>
    <s v="California"/>
    <s v="Orange County"/>
    <n v="3"/>
    <n v="12"/>
    <x v="2"/>
  </r>
  <r>
    <s v="TX502126"/>
    <s v="Casual Dresses"/>
    <n v="8"/>
    <n v="103.5"/>
    <n v="828"/>
    <d v="2025-03-19T00:00:00"/>
    <d v="2025-03-22T00:00:00"/>
    <s v="F"/>
    <x v="0"/>
    <n v="5"/>
    <s v="California"/>
    <s v="Riverside County"/>
    <n v="3"/>
    <n v="12"/>
    <x v="2"/>
  </r>
  <r>
    <s v="TX502127"/>
    <s v="Graphic Tees"/>
    <n v="14"/>
    <n v="37.5"/>
    <n v="525"/>
    <d v="2025-03-19T00:00:00"/>
    <d v="2025-03-19T00:00:00"/>
    <s v="F"/>
    <x v="1"/>
    <n v="5"/>
    <s v="California"/>
    <s v="Sacramento County"/>
    <n v="0"/>
    <n v="12"/>
    <x v="2"/>
  </r>
  <r>
    <s v="TX502128"/>
    <s v="Crop Tops"/>
    <n v="8"/>
    <n v="44.4"/>
    <n v="355.2"/>
    <d v="2025-03-19T00:00:00"/>
    <d v="2025-03-25T00:00:00"/>
    <s v="F"/>
    <x v="3"/>
    <n v="5"/>
    <s v="California"/>
    <s v="San Bernardino County"/>
    <n v="6"/>
    <n v="12"/>
    <x v="2"/>
  </r>
  <r>
    <s v="TX502129"/>
    <s v="T-Shirts"/>
    <n v="3"/>
    <n v="26.2"/>
    <n v="78.599999999999994"/>
    <d v="2025-03-19T00:00:00"/>
    <d v="2025-03-20T00:00:00"/>
    <s v="M"/>
    <x v="0"/>
    <n v="4"/>
    <s v="California"/>
    <s v="San Diego County"/>
    <n v="1"/>
    <n v="12"/>
    <x v="1"/>
  </r>
  <r>
    <s v="TX502130"/>
    <s v="Tank Tops"/>
    <n v="7"/>
    <n v="32.200000000000003"/>
    <n v="225.40000000000003"/>
    <d v="2025-03-19T00:00:00"/>
    <d v="2025-03-20T00:00:00"/>
    <s v="F"/>
    <x v="1"/>
    <n v="5"/>
    <s v="California"/>
    <s v="San Diego County"/>
    <n v="1"/>
    <n v="12"/>
    <x v="2"/>
  </r>
  <r>
    <s v="TX502131"/>
    <s v="T-Shirts"/>
    <n v="1"/>
    <n v="17.399999999999999"/>
    <n v="17.399999999999999"/>
    <d v="2025-03-19T00:00:00"/>
    <d v="2025-03-23T00:00:00"/>
    <s v=""/>
    <x v="2"/>
    <n v="3"/>
    <s v="California"/>
    <s v="San Diego County"/>
    <n v="4"/>
    <n v="12"/>
    <x v="0"/>
  </r>
  <r>
    <s v="TX502132"/>
    <s v="T-Shirts"/>
    <n v="6"/>
    <n v="72.3"/>
    <n v="433.79999999999995"/>
    <d v="2025-03-19T00:00:00"/>
    <d v="2025-03-22T00:00:00"/>
    <s v="F"/>
    <x v="0"/>
    <n v="4"/>
    <s v="California"/>
    <s v="San Diego County"/>
    <n v="3"/>
    <n v="12"/>
    <x v="2"/>
  </r>
  <r>
    <s v="TX502133"/>
    <s v="T-Shirts"/>
    <n v="11"/>
    <n v="24.3"/>
    <n v="267.3"/>
    <d v="2025-03-19T00:00:00"/>
    <d v="2025-03-20T00:00:00"/>
    <s v="M"/>
    <x v="0"/>
    <n v="4"/>
    <s v="California"/>
    <s v="San Diego County"/>
    <n v="1"/>
    <n v="12"/>
    <x v="1"/>
  </r>
  <r>
    <s v="TX502134"/>
    <s v="Tote Bags"/>
    <n v="3"/>
    <n v="49.1"/>
    <n v="147.30000000000001"/>
    <d v="2025-03-19T00:00:00"/>
    <d v="2025-03-25T00:00:00"/>
    <s v="M"/>
    <x v="2"/>
    <n v="2"/>
    <s v="California"/>
    <s v="San Diego County"/>
    <n v="6"/>
    <n v="12"/>
    <x v="1"/>
  </r>
  <r>
    <s v="TX502135"/>
    <s v="Sneakers"/>
    <n v="10"/>
    <n v="234.7"/>
    <n v="2347"/>
    <d v="2025-03-19T00:00:00"/>
    <d v="2025-03-20T00:00:00"/>
    <s v="M"/>
    <x v="3"/>
    <n v="3"/>
    <s v="California"/>
    <s v="San Diego County"/>
    <n v="1"/>
    <n v="12"/>
    <x v="1"/>
  </r>
  <r>
    <s v="TX502136"/>
    <s v="Workout Tops"/>
    <n v="5"/>
    <n v="76.099999999999994"/>
    <n v="380.5"/>
    <d v="2025-03-19T00:00:00"/>
    <d v="2025-03-21T00:00:00"/>
    <s v="M"/>
    <x v="1"/>
    <n v="3"/>
    <s v="California"/>
    <s v="San Francisco"/>
    <n v="2"/>
    <n v="12"/>
    <x v="1"/>
  </r>
  <r>
    <s v="TX502137"/>
    <s v="Tank Tops"/>
    <n v="3"/>
    <n v="93.9"/>
    <n v="281.70000000000005"/>
    <d v="2025-03-19T00:00:00"/>
    <d v="2025-03-20T00:00:00"/>
    <s v="M"/>
    <x v="1"/>
    <n v="2"/>
    <s v="California"/>
    <s v="Santa Clara County"/>
    <n v="1"/>
    <n v="12"/>
    <x v="1"/>
  </r>
  <r>
    <s v="TX502138"/>
    <s v="Sneakers"/>
    <n v="4"/>
    <n v="187"/>
    <n v="748"/>
    <d v="2025-03-20T00:00:00"/>
    <d v="2025-03-23T00:00:00"/>
    <s v="M"/>
    <x v="0"/>
    <n v="4"/>
    <s v="California"/>
    <s v="Santa Clara County"/>
    <n v="3"/>
    <n v="12"/>
    <x v="1"/>
  </r>
  <r>
    <s v="TX502139"/>
    <s v="T-Shirts"/>
    <n v="2"/>
    <n v="18"/>
    <n v="36"/>
    <d v="2025-03-20T00:00:00"/>
    <d v="2025-03-21T00:00:00"/>
    <s v="F"/>
    <x v="1"/>
    <n v="5"/>
    <s v="California"/>
    <s v="Shasta County"/>
    <n v="1"/>
    <n v="12"/>
    <x v="2"/>
  </r>
  <r>
    <s v="TX502140"/>
    <s v="Graphic Tees"/>
    <n v="1"/>
    <n v="24.4"/>
    <n v="24.4"/>
    <d v="2025-03-20T00:00:00"/>
    <d v="2025-03-21T00:00:00"/>
    <s v="F"/>
    <x v="4"/>
    <n v="5"/>
    <s v="California"/>
    <s v="Alameda County"/>
    <n v="1"/>
    <n v="12"/>
    <x v="2"/>
  </r>
  <r>
    <s v="TX502141"/>
    <s v="Bikinis"/>
    <n v="2"/>
    <n v="38.799999999999997"/>
    <n v="77.599999999999994"/>
    <d v="2025-03-20T00:00:00"/>
    <d v="2025-03-21T00:00:00"/>
    <s v="M"/>
    <x v="4"/>
    <n v="3"/>
    <s v="California"/>
    <s v="Los Angeles County"/>
    <n v="1"/>
    <n v="12"/>
    <x v="1"/>
  </r>
  <r>
    <s v="TX502142"/>
    <s v="Workout Tops"/>
    <n v="1"/>
    <n v="59.7"/>
    <n v="59.7"/>
    <d v="2025-03-20T00:00:00"/>
    <d v="2025-03-23T00:00:00"/>
    <s v="M"/>
    <x v="3"/>
    <n v="4"/>
    <s v="California"/>
    <s v="Los Angeles County"/>
    <n v="3"/>
    <n v="12"/>
    <x v="1"/>
  </r>
  <r>
    <s v="TX502143"/>
    <s v="Hoodies &amp; Sweatshirts"/>
    <n v="1"/>
    <n v="31.2"/>
    <n v="31.2"/>
    <d v="2025-03-20T00:00:00"/>
    <d v="2025-03-21T00:00:00"/>
    <s v="M"/>
    <x v="1"/>
    <n v="5"/>
    <s v="California"/>
    <s v="Los Angeles County"/>
    <n v="1"/>
    <n v="12"/>
    <x v="1"/>
  </r>
  <r>
    <s v="TX502144"/>
    <s v="Shorts"/>
    <n v="1"/>
    <n v="16.8"/>
    <n v="16.8"/>
    <d v="2025-03-20T00:00:00"/>
    <d v="2025-03-21T00:00:00"/>
    <s v="F"/>
    <x v="2"/>
    <n v="3"/>
    <s v="California"/>
    <s v="Los Angeles County"/>
    <n v="1"/>
    <n v="12"/>
    <x v="2"/>
  </r>
  <r>
    <s v="TX502145"/>
    <s v="T-Shirts"/>
    <n v="1"/>
    <n v="46"/>
    <n v="46"/>
    <d v="2025-03-20T00:00:00"/>
    <d v="2025-03-21T00:00:00"/>
    <s v="M"/>
    <x v="0"/>
    <n v="4"/>
    <s v="California"/>
    <s v="Los Angeles County"/>
    <n v="1"/>
    <n v="12"/>
    <x v="1"/>
  </r>
  <r>
    <s v="TX502146"/>
    <s v="Sundresses"/>
    <n v="8"/>
    <n v="42.2"/>
    <n v="337.6"/>
    <d v="2025-03-20T00:00:00"/>
    <d v="2025-03-23T00:00:00"/>
    <s v="F"/>
    <x v="3"/>
    <n v="5"/>
    <s v="California"/>
    <s v="Los Angeles County"/>
    <n v="3"/>
    <n v="12"/>
    <x v="2"/>
  </r>
  <r>
    <s v="TX502147"/>
    <s v="Tank Tops"/>
    <n v="3"/>
    <n v="71.5"/>
    <n v="214.5"/>
    <d v="2025-03-20T00:00:00"/>
    <d v="2025-04-03T00:00:00"/>
    <s v="F"/>
    <x v="0"/>
    <n v="4"/>
    <s v="California"/>
    <s v="Los Angeles County"/>
    <n v="14"/>
    <n v="12"/>
    <x v="2"/>
  </r>
  <r>
    <s v="TX502148"/>
    <s v="Tank Tops"/>
    <n v="2"/>
    <n v="76.599999999999994"/>
    <n v="153.19999999999999"/>
    <d v="2025-03-20T00:00:00"/>
    <d v="2025-03-20T00:00:00"/>
    <s v="M"/>
    <x v="0"/>
    <n v="5"/>
    <s v="California"/>
    <s v="Los Angeles County"/>
    <n v="0"/>
    <n v="12"/>
    <x v="1"/>
  </r>
  <r>
    <s v="TX502149"/>
    <s v="Casual Dresses"/>
    <n v="2"/>
    <n v="87.3"/>
    <n v="174.6"/>
    <d v="2025-03-20T00:00:00"/>
    <d v="2025-03-28T00:00:00"/>
    <s v="F"/>
    <x v="3"/>
    <n v="5"/>
    <s v="California"/>
    <s v="Los Angeles County"/>
    <n v="8"/>
    <n v="12"/>
    <x v="2"/>
  </r>
  <r>
    <s v="TX502150"/>
    <s v="Tank Tops"/>
    <n v="1"/>
    <n v="63"/>
    <n v="63"/>
    <d v="2025-03-20T00:00:00"/>
    <d v="2025-03-23T00:00:00"/>
    <s v="M"/>
    <x v="3"/>
    <n v="4"/>
    <s v="California"/>
    <s v="Los Angeles County"/>
    <n v="3"/>
    <n v="12"/>
    <x v="1"/>
  </r>
  <r>
    <s v="TX502151"/>
    <s v="T-Shirts"/>
    <n v="2"/>
    <n v="41.7"/>
    <n v="83.4"/>
    <d v="2025-03-20T00:00:00"/>
    <d v="2025-03-21T00:00:00"/>
    <s v="F"/>
    <x v="4"/>
    <n v="3"/>
    <s v="California"/>
    <s v="Marin County"/>
    <n v="1"/>
    <n v="12"/>
    <x v="2"/>
  </r>
  <r>
    <s v="TX502152"/>
    <s v="Jeans"/>
    <n v="2"/>
    <n v="76.099999999999994"/>
    <n v="152.19999999999999"/>
    <d v="2025-03-20T00:00:00"/>
    <d v="2025-03-20T00:00:00"/>
    <s v="F"/>
    <x v="4"/>
    <n v="5"/>
    <s v="California"/>
    <s v="Napa County"/>
    <n v="0"/>
    <n v="12"/>
    <x v="2"/>
  </r>
  <r>
    <s v="TX502153"/>
    <s v="Tote Bags"/>
    <n v="2"/>
    <n v="28.5"/>
    <n v="57"/>
    <d v="2025-03-20T00:00:00"/>
    <d v="2025-03-21T00:00:00"/>
    <s v="F"/>
    <x v="0"/>
    <n v="5"/>
    <s v="California"/>
    <s v="Nevada County"/>
    <n v="1"/>
    <n v="12"/>
    <x v="2"/>
  </r>
  <r>
    <s v="TX502154"/>
    <s v="Shorts"/>
    <n v="4"/>
    <n v="32.1"/>
    <n v="128.4"/>
    <d v="2025-03-20T00:00:00"/>
    <d v="2025-03-21T00:00:00"/>
    <s v="F"/>
    <x v="1"/>
    <n v="5"/>
    <s v="California"/>
    <s v="Orange County"/>
    <n v="1"/>
    <n v="12"/>
    <x v="2"/>
  </r>
  <r>
    <s v="TX502155"/>
    <s v="Graphic Tees"/>
    <n v="3"/>
    <n v="39"/>
    <n v="117"/>
    <d v="2025-03-20T00:00:00"/>
    <d v="2025-03-23T00:00:00"/>
    <s v="M"/>
    <x v="1"/>
    <n v="5"/>
    <s v="California"/>
    <s v="Orange County"/>
    <n v="3"/>
    <n v="12"/>
    <x v="1"/>
  </r>
  <r>
    <s v="TX502156"/>
    <s v="Jeans"/>
    <n v="1"/>
    <n v="78.5"/>
    <n v="78.5"/>
    <d v="2025-03-20T00:00:00"/>
    <d v="2025-03-21T00:00:00"/>
    <s v="M"/>
    <x v="1"/>
    <n v="4"/>
    <s v="California"/>
    <s v="Sacramento County"/>
    <n v="1"/>
    <n v="12"/>
    <x v="1"/>
  </r>
  <r>
    <s v="TX502157"/>
    <s v="Graphic Tees"/>
    <n v="5"/>
    <n v="49.7"/>
    <n v="248.5"/>
    <d v="2025-03-20T00:00:00"/>
    <d v="2025-03-22T00:00:00"/>
    <s v="F"/>
    <x v="0"/>
    <n v="4"/>
    <s v="California"/>
    <s v="Sacramento County"/>
    <n v="2"/>
    <n v="12"/>
    <x v="2"/>
  </r>
  <r>
    <s v="TX502158"/>
    <s v="Tank Tops"/>
    <n v="4"/>
    <n v="68.400000000000006"/>
    <n v="273.60000000000002"/>
    <d v="2025-03-20T00:00:00"/>
    <d v="2025-03-21T00:00:00"/>
    <s v="F"/>
    <x v="2"/>
    <n v="5"/>
    <s v="California"/>
    <s v="San Bernardino County"/>
    <n v="1"/>
    <n v="12"/>
    <x v="2"/>
  </r>
  <r>
    <s v="TX502159"/>
    <s v="Workout Tops"/>
    <n v="2"/>
    <n v="72.900000000000006"/>
    <n v="145.80000000000001"/>
    <d v="2025-03-20T00:00:00"/>
    <d v="2025-03-23T00:00:00"/>
    <s v=""/>
    <x v="0"/>
    <n v="5"/>
    <s v="California"/>
    <s v="San Bernardino County"/>
    <n v="3"/>
    <n v="12"/>
    <x v="0"/>
  </r>
  <r>
    <s v="TX502160"/>
    <s v="Sandals"/>
    <n v="13"/>
    <n v="30.3"/>
    <n v="393.90000000000003"/>
    <d v="2025-03-20T00:00:00"/>
    <d v="2025-03-21T00:00:00"/>
    <s v="M"/>
    <x v="4"/>
    <n v="4"/>
    <s v="California"/>
    <s v="San Bernardino County"/>
    <n v="1"/>
    <n v="12"/>
    <x v="1"/>
  </r>
  <r>
    <s v="TX502161"/>
    <s v="Jeans"/>
    <n v="11"/>
    <n v="57.9"/>
    <n v="636.9"/>
    <d v="2025-03-20T00:00:00"/>
    <d v="2025-03-21T00:00:00"/>
    <s v="F"/>
    <x v="0"/>
    <n v="4"/>
    <s v="California"/>
    <s v="San Diego County"/>
    <n v="1"/>
    <n v="12"/>
    <x v="2"/>
  </r>
  <r>
    <s v="TX502162"/>
    <s v="Tank Tops"/>
    <n v="1"/>
    <n v="96.7"/>
    <n v="96.7"/>
    <d v="2025-03-20T00:00:00"/>
    <d v="2025-03-21T00:00:00"/>
    <s v="M"/>
    <x v="0"/>
    <n v="4"/>
    <s v="California"/>
    <s v="San Diego County"/>
    <n v="1"/>
    <n v="12"/>
    <x v="1"/>
  </r>
  <r>
    <s v="TX502163"/>
    <s v="T-Shirts"/>
    <n v="12"/>
    <n v="27.6"/>
    <n v="331.20000000000005"/>
    <d v="2025-03-20T00:00:00"/>
    <d v="2025-03-22T00:00:00"/>
    <s v="M"/>
    <x v="2"/>
    <n v="5"/>
    <s v="California"/>
    <s v="San Diego County"/>
    <n v="2"/>
    <n v="12"/>
    <x v="1"/>
  </r>
  <r>
    <s v="TX502164"/>
    <s v="Jeans"/>
    <n v="4"/>
    <n v="64.7"/>
    <n v="258.8"/>
    <d v="2025-03-20T00:00:00"/>
    <d v="2025-03-20T00:00:00"/>
    <s v="M"/>
    <x v="3"/>
    <n v="5"/>
    <s v="California"/>
    <s v="San Diego County"/>
    <n v="0"/>
    <n v="12"/>
    <x v="1"/>
  </r>
  <r>
    <s v="TX502165"/>
    <s v="Bikinis"/>
    <n v="6"/>
    <n v="30.5"/>
    <n v="183"/>
    <d v="2025-03-20T00:00:00"/>
    <d v="2025-03-21T00:00:00"/>
    <s v="M"/>
    <x v="4"/>
    <n v="4"/>
    <s v="California"/>
    <s v="San Diego County"/>
    <n v="1"/>
    <n v="12"/>
    <x v="1"/>
  </r>
  <r>
    <s v="TX502166"/>
    <s v="Jeans"/>
    <n v="70"/>
    <n v="106"/>
    <n v="7420"/>
    <d v="2025-03-21T00:00:00"/>
    <d v="2025-03-23T00:00:00"/>
    <s v="M"/>
    <x v="4"/>
    <n v="5"/>
    <s v="California"/>
    <s v="San Diego County"/>
    <n v="2"/>
    <n v="12"/>
    <x v="1"/>
  </r>
  <r>
    <s v="TX502167"/>
    <s v="Casual Dresses"/>
    <n v="5"/>
    <n v="76.8"/>
    <n v="384"/>
    <d v="2025-03-21T00:00:00"/>
    <d v="2025-03-27T00:00:00"/>
    <s v=""/>
    <x v="1"/>
    <n v="3"/>
    <s v="California"/>
    <s v="Sonoma County"/>
    <n v="6"/>
    <n v="12"/>
    <x v="0"/>
  </r>
  <r>
    <s v="TX502168"/>
    <s v="Jeans"/>
    <n v="2"/>
    <n v="80.400000000000006"/>
    <n v="160.80000000000001"/>
    <d v="2025-03-21T00:00:00"/>
    <d v="2025-03-22T00:00:00"/>
    <s v="F"/>
    <x v="2"/>
    <n v="4"/>
    <s v="California"/>
    <s v="Ventura County"/>
    <n v="1"/>
    <n v="12"/>
    <x v="2"/>
  </r>
  <r>
    <s v="TX502169"/>
    <s v="Jeans"/>
    <n v="4"/>
    <n v="69.099999999999994"/>
    <n v="276.39999999999998"/>
    <d v="2025-03-21T00:00:00"/>
    <d v="2025-03-22T00:00:00"/>
    <s v="M"/>
    <x v="1"/>
    <n v="5"/>
    <s v="California"/>
    <s v="Alameda County"/>
    <n v="1"/>
    <n v="12"/>
    <x v="1"/>
  </r>
  <r>
    <s v="TX502170"/>
    <s v="Leggings"/>
    <n v="2"/>
    <n v="76.400000000000006"/>
    <n v="152.80000000000001"/>
    <d v="2025-03-21T00:00:00"/>
    <d v="2025-03-21T00:00:00"/>
    <s v="M"/>
    <x v="3"/>
    <n v="4"/>
    <s v="California"/>
    <s v="Alameda County"/>
    <n v="0"/>
    <n v="12"/>
    <x v="1"/>
  </r>
  <r>
    <s v="TX502171"/>
    <s v="Sneakers"/>
    <n v="2"/>
    <n v="61.3"/>
    <n v="122.6"/>
    <d v="2025-03-21T00:00:00"/>
    <d v="2025-03-22T00:00:00"/>
    <s v="F"/>
    <x v="1"/>
    <n v="3"/>
    <s v="California"/>
    <s v="Alameda County"/>
    <n v="1"/>
    <n v="12"/>
    <x v="2"/>
  </r>
  <r>
    <s v="TX502172"/>
    <s v="Hoodies &amp; Sweatshirts"/>
    <n v="1"/>
    <n v="58"/>
    <n v="58"/>
    <d v="2025-03-21T00:00:00"/>
    <d v="2025-03-22T00:00:00"/>
    <s v="M"/>
    <x v="3"/>
    <n v="3"/>
    <s v="California"/>
    <s v="Contra Costa County"/>
    <n v="1"/>
    <n v="12"/>
    <x v="1"/>
  </r>
  <r>
    <s v="TX502173"/>
    <s v="Sneakers"/>
    <n v="8"/>
    <n v="102.3"/>
    <n v="818.4"/>
    <d v="2025-03-21T00:00:00"/>
    <d v="2025-03-23T00:00:00"/>
    <s v="M"/>
    <x v="2"/>
    <n v="4"/>
    <s v="California"/>
    <s v="El Dorado County"/>
    <n v="2"/>
    <n v="12"/>
    <x v="1"/>
  </r>
  <r>
    <s v="TX502174"/>
    <s v="Jewelry"/>
    <n v="2"/>
    <n v="13.8"/>
    <n v="27.6"/>
    <d v="2025-03-21T00:00:00"/>
    <d v="2025-03-22T00:00:00"/>
    <s v="F"/>
    <x v="4"/>
    <n v="5"/>
    <s v="California"/>
    <s v="Fresno County"/>
    <n v="1"/>
    <n v="12"/>
    <x v="2"/>
  </r>
  <r>
    <s v="TX502175"/>
    <s v="T-Shirts"/>
    <n v="3"/>
    <n v="33.299999999999997"/>
    <n v="99.899999999999991"/>
    <d v="2025-03-21T00:00:00"/>
    <d v="2025-03-24T00:00:00"/>
    <s v="F"/>
    <x v="2"/>
    <n v="4"/>
    <s v="California"/>
    <s v="Kern County"/>
    <n v="3"/>
    <n v="12"/>
    <x v="2"/>
  </r>
  <r>
    <s v="TX502176"/>
    <s v="Bikinis"/>
    <n v="1"/>
    <n v="27.4"/>
    <n v="27.4"/>
    <d v="2025-03-21T00:00:00"/>
    <d v="2025-03-24T00:00:00"/>
    <s v="M"/>
    <x v="0"/>
    <n v="5"/>
    <s v="California"/>
    <s v="Kern County"/>
    <n v="3"/>
    <n v="12"/>
    <x v="1"/>
  </r>
  <r>
    <s v="TX502177"/>
    <s v="Baseball Caps"/>
    <n v="2"/>
    <n v="25.6"/>
    <n v="51.2"/>
    <d v="2025-03-21T00:00:00"/>
    <d v="2025-03-22T00:00:00"/>
    <s v="F"/>
    <x v="1"/>
    <n v="3"/>
    <s v="California"/>
    <s v="Los Angeles County"/>
    <n v="1"/>
    <n v="12"/>
    <x v="2"/>
  </r>
  <r>
    <s v="TX502178"/>
    <s v="Tote Bags"/>
    <n v="1"/>
    <n v="58.4"/>
    <n v="58.4"/>
    <d v="2025-03-21T00:00:00"/>
    <d v="2025-03-22T00:00:00"/>
    <s v="F"/>
    <x v="2"/>
    <n v="5"/>
    <s v="California"/>
    <s v="Los Angeles County"/>
    <n v="1"/>
    <n v="12"/>
    <x v="2"/>
  </r>
  <r>
    <s v="TX502179"/>
    <s v="Maxi Dresses"/>
    <n v="30"/>
    <n v="27"/>
    <n v="810"/>
    <d v="2025-03-21T00:00:00"/>
    <d v="2025-03-22T00:00:00"/>
    <s v="F"/>
    <x v="4"/>
    <n v="4"/>
    <s v="California"/>
    <s v="Los Angeles County"/>
    <n v="1"/>
    <n v="12"/>
    <x v="2"/>
  </r>
  <r>
    <s v="TX502180"/>
    <s v="Shorts"/>
    <n v="4"/>
    <n v="14.2"/>
    <n v="56.8"/>
    <d v="2025-03-21T00:00:00"/>
    <d v="2025-03-22T00:00:00"/>
    <s v="M"/>
    <x v="0"/>
    <n v="5"/>
    <s v="California"/>
    <s v="Los Angeles County"/>
    <n v="1"/>
    <n v="12"/>
    <x v="1"/>
  </r>
  <r>
    <s v="TX502181"/>
    <s v="Hoodies &amp; Sweatshirts"/>
    <n v="2"/>
    <n v="68"/>
    <n v="136"/>
    <d v="2025-03-21T00:00:00"/>
    <d v="2025-03-31T00:00:00"/>
    <s v="M"/>
    <x v="2"/>
    <n v="3"/>
    <s v="California"/>
    <s v="Los Angeles County"/>
    <n v="10"/>
    <n v="12"/>
    <x v="1"/>
  </r>
  <r>
    <s v="TX502182"/>
    <s v="T-Shirts"/>
    <n v="1"/>
    <n v="30.7"/>
    <n v="30.7"/>
    <d v="2025-03-21T00:00:00"/>
    <d v="2025-03-22T00:00:00"/>
    <s v="M"/>
    <x v="0"/>
    <n v="4"/>
    <s v="California"/>
    <s v="Los Angeles County"/>
    <n v="1"/>
    <n v="12"/>
    <x v="1"/>
  </r>
  <r>
    <s v="TX502183"/>
    <s v="Pajama Sets"/>
    <n v="13"/>
    <n v="51.6"/>
    <n v="670.80000000000007"/>
    <d v="2025-03-21T00:00:00"/>
    <d v="2025-03-24T00:00:00"/>
    <s v="O"/>
    <x v="1"/>
    <n v="5"/>
    <s v="California"/>
    <s v="Los Angeles County"/>
    <n v="3"/>
    <n v="12"/>
    <x v="3"/>
  </r>
  <r>
    <s v="TX502184"/>
    <s v="T-Shirts"/>
    <n v="3"/>
    <n v="20.6"/>
    <n v="61.800000000000004"/>
    <d v="2025-03-21T00:00:00"/>
    <d v="2025-03-25T00:00:00"/>
    <s v="F"/>
    <x v="4"/>
    <n v="5"/>
    <s v="California"/>
    <s v="Los Angeles County"/>
    <n v="4"/>
    <n v="12"/>
    <x v="2"/>
  </r>
  <r>
    <s v="TX502185"/>
    <s v="T-Shirts"/>
    <n v="1"/>
    <n v="24.8"/>
    <n v="24.8"/>
    <d v="2025-03-21T00:00:00"/>
    <d v="2025-03-22T00:00:00"/>
    <s v="M"/>
    <x v="4"/>
    <n v="4"/>
    <s v="California"/>
    <s v="Los Angeles County"/>
    <n v="1"/>
    <n v="12"/>
    <x v="1"/>
  </r>
  <r>
    <s v="TX502186"/>
    <s v="Shorts"/>
    <n v="7"/>
    <n v="11.2"/>
    <n v="78.399999999999991"/>
    <d v="2025-03-21T00:00:00"/>
    <d v="2025-03-24T00:00:00"/>
    <s v="M"/>
    <x v="1"/>
    <n v="4"/>
    <s v="California"/>
    <s v="Los Angeles County"/>
    <n v="3"/>
    <n v="12"/>
    <x v="1"/>
  </r>
  <r>
    <s v="TX502187"/>
    <s v="Maxi Dresses"/>
    <n v="2"/>
    <n v="51.2"/>
    <n v="102.4"/>
    <d v="2025-03-21T00:00:00"/>
    <d v="2025-03-22T00:00:00"/>
    <s v="F"/>
    <x v="1"/>
    <n v="5"/>
    <s v="California"/>
    <s v="Los Angeles County"/>
    <n v="1"/>
    <n v="12"/>
    <x v="2"/>
  </r>
  <r>
    <s v="TX502188"/>
    <s v="Hoodies &amp; Sweatshirts"/>
    <n v="6"/>
    <n v="90.5"/>
    <n v="543"/>
    <d v="2025-03-21T00:00:00"/>
    <d v="2025-03-22T00:00:00"/>
    <s v="F"/>
    <x v="1"/>
    <n v="2"/>
    <s v="California"/>
    <s v="Los Angeles County"/>
    <n v="1"/>
    <n v="12"/>
    <x v="2"/>
  </r>
  <r>
    <s v="TX502189"/>
    <s v="Tank Tops"/>
    <n v="2"/>
    <n v="42.4"/>
    <n v="84.8"/>
    <d v="2025-03-21T00:00:00"/>
    <d v="2025-03-22T00:00:00"/>
    <s v="M"/>
    <x v="1"/>
    <n v="5"/>
    <s v="California"/>
    <s v="Nevada County"/>
    <n v="1"/>
    <n v="12"/>
    <x v="1"/>
  </r>
  <r>
    <s v="TX502190"/>
    <s v="Tank Tops"/>
    <n v="2"/>
    <n v="38.200000000000003"/>
    <n v="76.400000000000006"/>
    <d v="2025-03-21T00:00:00"/>
    <d v="2025-03-22T00:00:00"/>
    <s v="M"/>
    <x v="0"/>
    <n v="4"/>
    <s v="California"/>
    <s v="Placer County"/>
    <n v="1"/>
    <n v="12"/>
    <x v="1"/>
  </r>
  <r>
    <s v="TX502191"/>
    <s v="Sneakers"/>
    <n v="9"/>
    <n v="121.3"/>
    <n v="1091.7"/>
    <d v="2025-03-21T00:00:00"/>
    <d v="2025-03-26T00:00:00"/>
    <s v="M"/>
    <x v="0"/>
    <n v="4"/>
    <s v="California"/>
    <s v="Sacramento County"/>
    <n v="5"/>
    <n v="12"/>
    <x v="1"/>
  </r>
  <r>
    <s v="TX502192"/>
    <s v="Jeans"/>
    <n v="2"/>
    <n v="46.9"/>
    <n v="93.8"/>
    <d v="2025-03-21T00:00:00"/>
    <d v="2025-03-28T00:00:00"/>
    <s v="M"/>
    <x v="0"/>
    <n v="4"/>
    <s v="California"/>
    <s v="San Diego County"/>
    <n v="7"/>
    <n v="12"/>
    <x v="1"/>
  </r>
  <r>
    <s v="TX502193"/>
    <s v="Bikinis"/>
    <n v="1"/>
    <n v="55.3"/>
    <n v="55.3"/>
    <d v="2025-03-21T00:00:00"/>
    <d v="2025-03-23T00:00:00"/>
    <s v="M"/>
    <x v="0"/>
    <n v="4"/>
    <s v="California"/>
    <s v="San Diego County"/>
    <n v="2"/>
    <n v="12"/>
    <x v="1"/>
  </r>
  <r>
    <s v="TX502194"/>
    <s v="Sneakers"/>
    <n v="3"/>
    <n v="70.599999999999994"/>
    <n v="211.79999999999998"/>
    <d v="2025-03-22T00:00:00"/>
    <d v="2025-03-22T00:00:00"/>
    <s v="F"/>
    <x v="0"/>
    <n v="3"/>
    <s v="California"/>
    <s v="San Diego County"/>
    <n v="0"/>
    <n v="12"/>
    <x v="2"/>
  </r>
  <r>
    <s v="TX502195"/>
    <s v="Baseball Caps"/>
    <n v="4"/>
    <n v="26.1"/>
    <n v="104.4"/>
    <d v="2025-03-22T00:00:00"/>
    <d v="2025-03-24T00:00:00"/>
    <s v="M"/>
    <x v="0"/>
    <n v="4"/>
    <s v="California"/>
    <s v="San Diego County"/>
    <n v="2"/>
    <n v="12"/>
    <x v="1"/>
  </r>
  <r>
    <s v="TX502196"/>
    <s v="Sundresses"/>
    <n v="11"/>
    <n v="34.5"/>
    <n v="379.5"/>
    <d v="2025-03-22T00:00:00"/>
    <d v="2025-03-26T00:00:00"/>
    <s v="M"/>
    <x v="2"/>
    <n v="4"/>
    <s v="California"/>
    <s v="San Francisco"/>
    <n v="4"/>
    <n v="12"/>
    <x v="1"/>
  </r>
  <r>
    <s v="TX502197"/>
    <s v="Tank Tops"/>
    <n v="2"/>
    <n v="64.2"/>
    <n v="128.4"/>
    <d v="2025-03-22T00:00:00"/>
    <d v="2025-03-23T00:00:00"/>
    <s v="F"/>
    <x v="0"/>
    <n v="3"/>
    <s v="California"/>
    <s v="San Francisco"/>
    <n v="1"/>
    <n v="12"/>
    <x v="2"/>
  </r>
  <r>
    <s v="TX502198"/>
    <s v="Sneakers"/>
    <n v="4"/>
    <n v="145.69999999999999"/>
    <n v="582.79999999999995"/>
    <d v="2025-03-22T00:00:00"/>
    <d v="2025-03-23T00:00:00"/>
    <s v="F"/>
    <x v="0"/>
    <n v="2"/>
    <s v="California"/>
    <s v="San Francisco"/>
    <n v="1"/>
    <n v="12"/>
    <x v="2"/>
  </r>
  <r>
    <s v="TX502199"/>
    <s v="Casual Dresses"/>
    <n v="2"/>
    <n v="78.5"/>
    <n v="157"/>
    <d v="2025-03-22T00:00:00"/>
    <d v="2025-03-23T00:00:00"/>
    <s v="M"/>
    <x v="2"/>
    <n v="4"/>
    <s v="California"/>
    <s v="San Joaquin County"/>
    <n v="1"/>
    <n v="12"/>
    <x v="1"/>
  </r>
  <r>
    <s v="TX502200"/>
    <s v="Tank Tops"/>
    <n v="1"/>
    <n v="34.200000000000003"/>
    <n v="34.200000000000003"/>
    <d v="2025-03-22T00:00:00"/>
    <d v="2025-03-24T00:00:00"/>
    <s v="M"/>
    <x v="0"/>
    <n v="4"/>
    <s v="California"/>
    <s v="San Mateo County"/>
    <n v="2"/>
    <n v="12"/>
    <x v="1"/>
  </r>
  <r>
    <s v="TX502201"/>
    <s v="Jewelry"/>
    <n v="1"/>
    <n v="26.2"/>
    <n v="26.2"/>
    <d v="2025-03-22T00:00:00"/>
    <d v="2025-03-23T00:00:00"/>
    <s v="M"/>
    <x v="2"/>
    <n v="4"/>
    <s v="California"/>
    <s v="San Mateo County"/>
    <n v="1"/>
    <n v="12"/>
    <x v="1"/>
  </r>
  <r>
    <s v="TX502202"/>
    <s v="Jeans"/>
    <n v="4"/>
    <n v="53.2"/>
    <n v="212.8"/>
    <d v="2025-03-22T00:00:00"/>
    <d v="2025-03-23T00:00:00"/>
    <s v="M"/>
    <x v="1"/>
    <n v="3"/>
    <s v="California"/>
    <s v="Santa Clara County"/>
    <n v="1"/>
    <n v="12"/>
    <x v="1"/>
  </r>
  <r>
    <s v="TX502203"/>
    <s v="Tank Tops"/>
    <n v="1"/>
    <n v="35.4"/>
    <n v="35.4"/>
    <d v="2025-03-22T00:00:00"/>
    <d v="2025-03-26T00:00:00"/>
    <s v="M"/>
    <x v="1"/>
    <n v="2"/>
    <s v="California"/>
    <s v="Sonoma County"/>
    <n v="4"/>
    <n v="12"/>
    <x v="1"/>
  </r>
  <r>
    <s v="TX502204"/>
    <s v="Baseball Caps"/>
    <n v="2"/>
    <n v="21.3"/>
    <n v="42.6"/>
    <d v="2025-03-22T00:00:00"/>
    <d v="2025-03-23T00:00:00"/>
    <s v="M"/>
    <x v="2"/>
    <n v="4"/>
    <s v="California"/>
    <s v="Tulare County"/>
    <n v="1"/>
    <n v="12"/>
    <x v="1"/>
  </r>
  <r>
    <s v="TX502205"/>
    <s v="T-Shirts"/>
    <n v="4"/>
    <n v="32.9"/>
    <n v="131.6"/>
    <d v="2025-03-22T00:00:00"/>
    <d v="2025-03-25T00:00:00"/>
    <s v="F"/>
    <x v="4"/>
    <n v="5"/>
    <s v="California"/>
    <s v="Alameda County"/>
    <n v="3"/>
    <n v="12"/>
    <x v="2"/>
  </r>
  <r>
    <s v="TX502206"/>
    <s v="Sandals"/>
    <n v="15"/>
    <n v="85.5"/>
    <n v="1282.5"/>
    <d v="2025-03-22T00:00:00"/>
    <d v="2025-03-24T00:00:00"/>
    <s v="F"/>
    <x v="3"/>
    <n v="3"/>
    <s v="California"/>
    <s v="Alameda County"/>
    <n v="2"/>
    <n v="12"/>
    <x v="2"/>
  </r>
  <r>
    <s v="TX502207"/>
    <s v="Graphic Tees"/>
    <n v="1"/>
    <n v="26.8"/>
    <n v="26.8"/>
    <d v="2025-03-22T00:00:00"/>
    <d v="2025-03-23T00:00:00"/>
    <s v="F"/>
    <x v="0"/>
    <n v="3"/>
    <s v="California"/>
    <s v="Fresno County"/>
    <n v="1"/>
    <n v="12"/>
    <x v="2"/>
  </r>
  <r>
    <s v="TX502208"/>
    <s v="Sundresses"/>
    <n v="26"/>
    <n v="31.7"/>
    <n v="824.19999999999993"/>
    <d v="2025-03-22T00:00:00"/>
    <d v="2025-03-22T00:00:00"/>
    <s v="F"/>
    <x v="3"/>
    <n v="4"/>
    <s v="California"/>
    <s v="Fresno County"/>
    <n v="0"/>
    <n v="12"/>
    <x v="2"/>
  </r>
  <r>
    <s v="TX502209"/>
    <s v="Tank Tops"/>
    <n v="2"/>
    <n v="78.3"/>
    <n v="156.6"/>
    <d v="2025-03-22T00:00:00"/>
    <d v="2025-03-24T00:00:00"/>
    <s v="F"/>
    <x v="1"/>
    <n v="3"/>
    <s v="California"/>
    <s v="Los Angeles County"/>
    <n v="2"/>
    <n v="12"/>
    <x v="2"/>
  </r>
  <r>
    <s v="TX502210"/>
    <s v="Jeans"/>
    <n v="1"/>
    <n v="43.9"/>
    <n v="43.9"/>
    <d v="2025-03-22T00:00:00"/>
    <d v="2025-03-23T00:00:00"/>
    <s v="M"/>
    <x v="0"/>
    <n v="4"/>
    <s v="California"/>
    <s v="Los Angeles County"/>
    <n v="1"/>
    <n v="12"/>
    <x v="1"/>
  </r>
  <r>
    <s v="TX502211"/>
    <s v="Leggings"/>
    <n v="3"/>
    <n v="84"/>
    <n v="252"/>
    <d v="2025-03-22T00:00:00"/>
    <d v="2025-03-24T00:00:00"/>
    <s v=""/>
    <x v="3"/>
    <n v="5"/>
    <s v="California"/>
    <s v="Los Angeles County"/>
    <n v="2"/>
    <n v="12"/>
    <x v="0"/>
  </r>
  <r>
    <s v="TX502212"/>
    <s v="Shorts"/>
    <n v="3"/>
    <n v="11.4"/>
    <n v="34.200000000000003"/>
    <d v="2025-03-22T00:00:00"/>
    <d v="2025-03-23T00:00:00"/>
    <s v="M"/>
    <x v="4"/>
    <n v="4"/>
    <s v="California"/>
    <s v="Los Angeles County"/>
    <n v="1"/>
    <n v="12"/>
    <x v="1"/>
  </r>
  <r>
    <s v="TX502213"/>
    <s v="Casual Dresses"/>
    <n v="8"/>
    <n v="47.5"/>
    <n v="380"/>
    <d v="2025-03-22T00:00:00"/>
    <d v="2025-03-30T00:00:00"/>
    <s v="F"/>
    <x v="0"/>
    <n v="4"/>
    <s v="California"/>
    <s v="Los Angeles County"/>
    <n v="8"/>
    <n v="12"/>
    <x v="2"/>
  </r>
  <r>
    <s v="TX502214"/>
    <s v="Sundresses"/>
    <n v="11"/>
    <n v="50.5"/>
    <n v="555.5"/>
    <d v="2025-03-22T00:00:00"/>
    <d v="2025-03-24T00:00:00"/>
    <s v="M"/>
    <x v="2"/>
    <n v="4"/>
    <s v="California"/>
    <s v="Los Angeles County"/>
    <n v="2"/>
    <n v="12"/>
    <x v="1"/>
  </r>
  <r>
    <s v="TX502215"/>
    <s v="Crop Tops"/>
    <n v="1"/>
    <n v="36.299999999999997"/>
    <n v="36.299999999999997"/>
    <d v="2025-03-22T00:00:00"/>
    <d v="2025-03-25T00:00:00"/>
    <s v="O"/>
    <x v="0"/>
    <n v="3"/>
    <s v="California"/>
    <s v="San Diego County"/>
    <n v="3"/>
    <n v="12"/>
    <x v="3"/>
  </r>
  <r>
    <s v="TX502216"/>
    <s v="T-Shirts"/>
    <n v="2"/>
    <n v="35.4"/>
    <n v="70.8"/>
    <d v="2025-03-22T00:00:00"/>
    <d v="2025-03-23T00:00:00"/>
    <s v="F"/>
    <x v="0"/>
    <n v="4"/>
    <s v="California"/>
    <s v="San Francisco"/>
    <n v="1"/>
    <n v="12"/>
    <x v="2"/>
  </r>
  <r>
    <s v="TX502217"/>
    <s v="Tank Tops"/>
    <n v="3"/>
    <n v="45.9"/>
    <n v="137.69999999999999"/>
    <d v="2025-03-23T00:00:00"/>
    <d v="2025-03-24T00:00:00"/>
    <s v="M"/>
    <x v="3"/>
    <n v="4"/>
    <s v="California"/>
    <s v="San Mateo County"/>
    <n v="1"/>
    <n v="13"/>
    <x v="1"/>
  </r>
  <r>
    <s v="TX502218"/>
    <s v="Jeans"/>
    <n v="10"/>
    <n v="41.2"/>
    <n v="412"/>
    <d v="2025-03-23T00:00:00"/>
    <d v="2025-03-27T00:00:00"/>
    <s v="M"/>
    <x v="0"/>
    <n v="4"/>
    <s v="California"/>
    <s v="Santa Clara County"/>
    <n v="4"/>
    <n v="13"/>
    <x v="1"/>
  </r>
  <r>
    <s v="TX502219"/>
    <s v="Pajama Sets"/>
    <n v="2"/>
    <n v="45.1"/>
    <n v="90.2"/>
    <d v="2025-03-23T00:00:00"/>
    <d v="2025-03-24T00:00:00"/>
    <s v="M"/>
    <x v="1"/>
    <n v="3"/>
    <s v="California"/>
    <s v="Alameda County"/>
    <n v="1"/>
    <n v="13"/>
    <x v="1"/>
  </r>
  <r>
    <s v="TX502220"/>
    <s v="Jeans"/>
    <n v="10"/>
    <n v="63.6"/>
    <n v="636"/>
    <d v="2025-03-23T00:00:00"/>
    <d v="2025-03-23T00:00:00"/>
    <s v="M"/>
    <x v="2"/>
    <n v="4"/>
    <s v="California"/>
    <s v="Contra Costa County"/>
    <n v="0"/>
    <n v="13"/>
    <x v="1"/>
  </r>
  <r>
    <s v="TX502221"/>
    <s v="T-Shirts"/>
    <n v="1"/>
    <n v="70.5"/>
    <n v="70.5"/>
    <d v="2025-03-23T00:00:00"/>
    <d v="2025-03-24T00:00:00"/>
    <s v="M"/>
    <x v="0"/>
    <n v="4"/>
    <s v="California"/>
    <s v="Los Angeles County"/>
    <n v="1"/>
    <n v="13"/>
    <x v="1"/>
  </r>
  <r>
    <s v="TX502222"/>
    <s v="Jeans"/>
    <n v="1"/>
    <n v="41.3"/>
    <n v="41.3"/>
    <d v="2025-03-23T00:00:00"/>
    <d v="2025-03-23T00:00:00"/>
    <s v="M"/>
    <x v="4"/>
    <n v="4"/>
    <s v="California"/>
    <s v="Los Angeles County"/>
    <n v="0"/>
    <n v="13"/>
    <x v="1"/>
  </r>
  <r>
    <s v="TX502223"/>
    <s v="Graphic Tees"/>
    <n v="1"/>
    <n v="35.299999999999997"/>
    <n v="35.299999999999997"/>
    <d v="2025-03-23T00:00:00"/>
    <d v="2025-03-26T00:00:00"/>
    <s v="F"/>
    <x v="4"/>
    <n v="5"/>
    <s v="California"/>
    <s v="Los Angeles County"/>
    <n v="3"/>
    <n v="13"/>
    <x v="2"/>
  </r>
  <r>
    <s v="TX502224"/>
    <s v="T-Shirts"/>
    <n v="5"/>
    <n v="34.700000000000003"/>
    <n v="173.5"/>
    <d v="2025-03-23T00:00:00"/>
    <d v="2025-03-24T00:00:00"/>
    <s v="F"/>
    <x v="0"/>
    <n v="5"/>
    <s v="California"/>
    <s v="Los Angeles County"/>
    <n v="1"/>
    <n v="13"/>
    <x v="2"/>
  </r>
  <r>
    <s v="TX502225"/>
    <s v="T-Shirts"/>
    <n v="3"/>
    <n v="26.1"/>
    <n v="78.300000000000011"/>
    <d v="2025-03-23T00:00:00"/>
    <d v="2025-03-24T00:00:00"/>
    <s v="F"/>
    <x v="0"/>
    <n v="4"/>
    <s v="California"/>
    <s v="Los Angeles County"/>
    <n v="1"/>
    <n v="13"/>
    <x v="2"/>
  </r>
  <r>
    <s v="TX502226"/>
    <s v="Sundresses"/>
    <n v="5"/>
    <n v="22.6"/>
    <n v="113"/>
    <d v="2025-03-23T00:00:00"/>
    <d v="2025-03-23T00:00:00"/>
    <s v="F"/>
    <x v="1"/>
    <n v="5"/>
    <s v="California"/>
    <s v="Los Angeles County"/>
    <n v="0"/>
    <n v="13"/>
    <x v="2"/>
  </r>
  <r>
    <s v="TX502227"/>
    <s v="Sneakers"/>
    <n v="2"/>
    <n v="154.4"/>
    <n v="308.8"/>
    <d v="2025-03-23T00:00:00"/>
    <d v="2025-03-26T00:00:00"/>
    <s v="M"/>
    <x v="1"/>
    <n v="3"/>
    <s v="California"/>
    <s v="Los Angeles County"/>
    <n v="3"/>
    <n v="13"/>
    <x v="1"/>
  </r>
  <r>
    <s v="TX502228"/>
    <s v="T-Shirts"/>
    <n v="2"/>
    <n v="18.399999999999999"/>
    <n v="36.799999999999997"/>
    <d v="2025-03-23T00:00:00"/>
    <d v="2025-03-24T00:00:00"/>
    <s v="M"/>
    <x v="0"/>
    <n v="4"/>
    <s v="California"/>
    <s v="Los Angeles County"/>
    <n v="1"/>
    <n v="13"/>
    <x v="1"/>
  </r>
  <r>
    <s v="TX502229"/>
    <s v="Baseball Caps"/>
    <n v="1"/>
    <n v="25"/>
    <n v="25"/>
    <d v="2025-03-23T00:00:00"/>
    <d v="2025-03-26T00:00:00"/>
    <s v="F"/>
    <x v="0"/>
    <n v="4"/>
    <s v="California"/>
    <s v="Los Angeles County"/>
    <n v="3"/>
    <n v="13"/>
    <x v="2"/>
  </r>
  <r>
    <s v="TX502230"/>
    <s v="Sneakers"/>
    <n v="6"/>
    <n v="105.6"/>
    <n v="633.59999999999991"/>
    <d v="2025-03-23T00:00:00"/>
    <d v="2025-03-23T00:00:00"/>
    <s v="F"/>
    <x v="0"/>
    <n v="4"/>
    <s v="California"/>
    <s v="Los Angeles County"/>
    <n v="0"/>
    <n v="13"/>
    <x v="2"/>
  </r>
  <r>
    <s v="TX502231"/>
    <s v="Leggings"/>
    <n v="8"/>
    <n v="59.6"/>
    <n v="476.8"/>
    <d v="2025-03-23T00:00:00"/>
    <d v="2025-03-23T00:00:00"/>
    <s v="F"/>
    <x v="0"/>
    <n v="5"/>
    <s v="California"/>
    <s v="Riverside County"/>
    <n v="0"/>
    <n v="13"/>
    <x v="2"/>
  </r>
  <r>
    <s v="TX502232"/>
    <s v="Crop Tops"/>
    <n v="3"/>
    <n v="75.400000000000006"/>
    <n v="226.20000000000002"/>
    <d v="2025-03-23T00:00:00"/>
    <d v="2025-03-28T00:00:00"/>
    <s v="M"/>
    <x v="0"/>
    <n v="3"/>
    <s v="California"/>
    <s v="San Bernardino County"/>
    <n v="5"/>
    <n v="13"/>
    <x v="1"/>
  </r>
  <r>
    <s v="TX502233"/>
    <s v="Hoodies &amp; Sweatshirts"/>
    <n v="1"/>
    <n v="104.4"/>
    <n v="104.4"/>
    <d v="2025-03-23T00:00:00"/>
    <d v="2025-03-24T00:00:00"/>
    <s v="F"/>
    <x v="0"/>
    <n v="4"/>
    <s v="California"/>
    <s v="San Diego County"/>
    <n v="1"/>
    <n v="13"/>
    <x v="2"/>
  </r>
  <r>
    <s v="TX502234"/>
    <s v="Sneakers"/>
    <n v="10"/>
    <n v="208.2"/>
    <n v="2082"/>
    <d v="2025-03-23T00:00:00"/>
    <d v="2025-03-24T00:00:00"/>
    <s v="M"/>
    <x v="0"/>
    <n v="5"/>
    <s v="California"/>
    <s v="San Diego County"/>
    <n v="1"/>
    <n v="13"/>
    <x v="1"/>
  </r>
  <r>
    <s v="TX502235"/>
    <s v="Jeans"/>
    <n v="2"/>
    <n v="45"/>
    <n v="90"/>
    <d v="2025-03-23T00:00:00"/>
    <d v="2025-03-26T00:00:00"/>
    <s v="F"/>
    <x v="0"/>
    <n v="4"/>
    <s v="California"/>
    <s v="Santa Barbara County"/>
    <n v="3"/>
    <n v="13"/>
    <x v="2"/>
  </r>
  <r>
    <s v="TX502236"/>
    <s v="Crop Tops"/>
    <n v="2"/>
    <n v="20.3"/>
    <n v="40.6"/>
    <d v="2025-03-24T00:00:00"/>
    <d v="2025-03-26T00:00:00"/>
    <s v=""/>
    <x v="1"/>
    <n v="4"/>
    <s v="California"/>
    <s v="Santa Clara County"/>
    <n v="2"/>
    <n v="13"/>
    <x v="0"/>
  </r>
  <r>
    <s v="TX502237"/>
    <s v="Sneakers"/>
    <n v="3"/>
    <n v="94.4"/>
    <n v="283.20000000000005"/>
    <d v="2025-03-24T00:00:00"/>
    <d v="2025-03-25T00:00:00"/>
    <s v="F"/>
    <x v="0"/>
    <n v="5"/>
    <s v="California"/>
    <s v="Santa Clara County"/>
    <n v="1"/>
    <n v="13"/>
    <x v="2"/>
  </r>
  <r>
    <s v="TX502238"/>
    <s v="Sundresses"/>
    <n v="1"/>
    <n v="49"/>
    <n v="49"/>
    <d v="2025-03-24T00:00:00"/>
    <d v="2025-03-26T00:00:00"/>
    <s v="F"/>
    <x v="0"/>
    <n v="5"/>
    <s v="California"/>
    <s v="Tulare County"/>
    <n v="2"/>
    <n v="13"/>
    <x v="2"/>
  </r>
  <r>
    <s v="TX502239"/>
    <s v="Graphic Tees"/>
    <n v="2"/>
    <n v="27.2"/>
    <n v="54.4"/>
    <d v="2025-03-24T00:00:00"/>
    <d v="2025-03-26T00:00:00"/>
    <s v="M"/>
    <x v="0"/>
    <n v="5"/>
    <s v="California"/>
    <s v="Contra Costa County"/>
    <n v="2"/>
    <n v="13"/>
    <x v="1"/>
  </r>
  <r>
    <s v="TX502240"/>
    <s v="Sneakers"/>
    <n v="6"/>
    <n v="72.599999999999994"/>
    <n v="435.59999999999997"/>
    <d v="2025-03-24T00:00:00"/>
    <d v="2025-03-25T00:00:00"/>
    <s v="F"/>
    <x v="0"/>
    <n v="5"/>
    <s v="California"/>
    <s v="Fresno County"/>
    <n v="1"/>
    <n v="13"/>
    <x v="2"/>
  </r>
  <r>
    <s v="TX502241"/>
    <s v="Crop Tops"/>
    <n v="4"/>
    <n v="62.4"/>
    <n v="249.6"/>
    <d v="2025-03-24T00:00:00"/>
    <d v="2025-03-25T00:00:00"/>
    <s v="F"/>
    <x v="0"/>
    <n v="4"/>
    <s v="California"/>
    <s v="Los Angeles County"/>
    <n v="1"/>
    <n v="13"/>
    <x v="2"/>
  </r>
  <r>
    <s v="TX502242"/>
    <s v="T-Shirts"/>
    <n v="3"/>
    <n v="19.100000000000001"/>
    <n v="57.300000000000004"/>
    <d v="2025-03-24T00:00:00"/>
    <d v="2025-03-26T00:00:00"/>
    <s v="M"/>
    <x v="0"/>
    <n v="3"/>
    <s v="California"/>
    <s v="Los Angeles County"/>
    <n v="2"/>
    <n v="13"/>
    <x v="1"/>
  </r>
  <r>
    <s v="TX502243"/>
    <s v="Bikinis"/>
    <n v="1"/>
    <n v="29.6"/>
    <n v="29.6"/>
    <d v="2025-03-24T00:00:00"/>
    <d v="2025-03-28T00:00:00"/>
    <s v="M"/>
    <x v="0"/>
    <n v="2"/>
    <s v="California"/>
    <s v="Los Angeles County"/>
    <n v="4"/>
    <n v="13"/>
    <x v="1"/>
  </r>
  <r>
    <s v="TX502244"/>
    <s v="T-Shirts"/>
    <n v="2"/>
    <n v="18.899999999999999"/>
    <n v="37.799999999999997"/>
    <d v="2025-03-24T00:00:00"/>
    <d v="2025-03-26T00:00:00"/>
    <s v="F"/>
    <x v="4"/>
    <n v="5"/>
    <s v="California"/>
    <s v="Los Angeles County"/>
    <n v="2"/>
    <n v="13"/>
    <x v="2"/>
  </r>
  <r>
    <s v="TX502245"/>
    <s v="Bikinis"/>
    <n v="5"/>
    <n v="41.4"/>
    <n v="207"/>
    <d v="2025-03-24T00:00:00"/>
    <d v="2025-03-25T00:00:00"/>
    <s v="M"/>
    <x v="3"/>
    <n v="4"/>
    <s v="California"/>
    <s v="Los Angeles County"/>
    <n v="1"/>
    <n v="13"/>
    <x v="1"/>
  </r>
  <r>
    <s v="TX502246"/>
    <s v="Sneakers"/>
    <n v="1"/>
    <n v="118.4"/>
    <n v="118.4"/>
    <d v="2025-03-24T00:00:00"/>
    <d v="2025-03-25T00:00:00"/>
    <s v="F"/>
    <x v="0"/>
    <n v="5"/>
    <s v="California"/>
    <s v="Los Angeles County"/>
    <n v="1"/>
    <n v="13"/>
    <x v="2"/>
  </r>
  <r>
    <s v="TX502247"/>
    <s v="Sneakers"/>
    <n v="2"/>
    <n v="125.3"/>
    <n v="250.6"/>
    <d v="2025-03-24T00:00:00"/>
    <d v="2025-03-27T00:00:00"/>
    <s v="F"/>
    <x v="0"/>
    <n v="5"/>
    <s v="California"/>
    <s v="Los Angeles County"/>
    <n v="3"/>
    <n v="13"/>
    <x v="2"/>
  </r>
  <r>
    <s v="TX502248"/>
    <s v="Workout Tops"/>
    <n v="2"/>
    <n v="85.8"/>
    <n v="171.6"/>
    <d v="2025-03-24T00:00:00"/>
    <d v="2025-03-25T00:00:00"/>
    <s v="F"/>
    <x v="1"/>
    <n v="2"/>
    <s v="California"/>
    <s v="Los Angeles County"/>
    <n v="1"/>
    <n v="13"/>
    <x v="2"/>
  </r>
  <r>
    <s v="TX502249"/>
    <s v="Jeans"/>
    <n v="1"/>
    <n v="44.2"/>
    <n v="44.2"/>
    <d v="2025-03-24T00:00:00"/>
    <d v="2025-03-27T00:00:00"/>
    <s v="M"/>
    <x v="1"/>
    <n v="4"/>
    <s v="California"/>
    <s v="Los Angeles County"/>
    <n v="3"/>
    <n v="13"/>
    <x v="1"/>
  </r>
  <r>
    <s v="TX502250"/>
    <s v="Sandals"/>
    <n v="4"/>
    <n v="74.099999999999994"/>
    <n v="296.39999999999998"/>
    <d v="2025-03-24T00:00:00"/>
    <d v="2025-03-26T00:00:00"/>
    <s v="F"/>
    <x v="0"/>
    <n v="4"/>
    <s v="California"/>
    <s v="Los Angeles County"/>
    <n v="2"/>
    <n v="13"/>
    <x v="2"/>
  </r>
  <r>
    <s v="TX502251"/>
    <s v="T-Shirts"/>
    <n v="1"/>
    <n v="33.799999999999997"/>
    <n v="33.799999999999997"/>
    <d v="2025-03-24T00:00:00"/>
    <d v="2025-03-25T00:00:00"/>
    <s v="F"/>
    <x v="2"/>
    <n v="5"/>
    <s v="California"/>
    <s v="Merced County"/>
    <n v="1"/>
    <n v="13"/>
    <x v="2"/>
  </r>
  <r>
    <s v="TX502252"/>
    <s v="Tank Tops"/>
    <n v="2"/>
    <n v="39.1"/>
    <n v="78.2"/>
    <d v="2025-03-24T00:00:00"/>
    <d v="2025-03-25T00:00:00"/>
    <s v="M"/>
    <x v="0"/>
    <n v="3"/>
    <s v="California"/>
    <s v="Merced County"/>
    <n v="1"/>
    <n v="13"/>
    <x v="1"/>
  </r>
  <r>
    <s v="TX502253"/>
    <s v="Shorts"/>
    <n v="1"/>
    <n v="37.200000000000003"/>
    <n v="37.200000000000003"/>
    <d v="2025-03-24T00:00:00"/>
    <d v="2025-03-25T00:00:00"/>
    <s v="M"/>
    <x v="0"/>
    <n v="3"/>
    <s v="California"/>
    <s v="Napa County"/>
    <n v="1"/>
    <n v="13"/>
    <x v="1"/>
  </r>
  <r>
    <s v="TX502254"/>
    <s v="Crop Tops"/>
    <n v="3"/>
    <n v="33.9"/>
    <n v="101.69999999999999"/>
    <d v="2025-03-24T00:00:00"/>
    <d v="2025-03-26T00:00:00"/>
    <s v="M"/>
    <x v="2"/>
    <n v="4"/>
    <s v="California"/>
    <s v="Sacramento County"/>
    <n v="2"/>
    <n v="13"/>
    <x v="1"/>
  </r>
  <r>
    <s v="TX502255"/>
    <s v="Hoodies &amp; Sweatshirts"/>
    <n v="15"/>
    <n v="73.3"/>
    <n v="1099.5"/>
    <d v="2025-03-24T00:00:00"/>
    <d v="2025-03-27T00:00:00"/>
    <s v="F"/>
    <x v="2"/>
    <n v="3"/>
    <s v="California"/>
    <s v="San Diego County"/>
    <n v="3"/>
    <n v="13"/>
    <x v="2"/>
  </r>
  <r>
    <s v="TX502256"/>
    <s v="T-Shirts"/>
    <n v="4"/>
    <n v="35"/>
    <n v="140"/>
    <d v="2025-03-24T00:00:00"/>
    <d v="2025-03-26T00:00:00"/>
    <s v="F"/>
    <x v="1"/>
    <n v="4"/>
    <s v="California"/>
    <s v="San Diego County"/>
    <n v="2"/>
    <n v="13"/>
    <x v="2"/>
  </r>
  <r>
    <s v="TX502257"/>
    <s v="Shorts"/>
    <n v="3"/>
    <n v="22.2"/>
    <n v="66.599999999999994"/>
    <d v="2025-03-24T00:00:00"/>
    <d v="2025-03-25T00:00:00"/>
    <s v="M"/>
    <x v="1"/>
    <n v="4"/>
    <s v="California"/>
    <s v="San Francisco"/>
    <n v="1"/>
    <n v="13"/>
    <x v="1"/>
  </r>
  <r>
    <s v="TX502258"/>
    <s v="Bikinis"/>
    <n v="1"/>
    <n v="32.4"/>
    <n v="32.4"/>
    <d v="2025-03-24T00:00:00"/>
    <d v="2025-03-25T00:00:00"/>
    <s v="F"/>
    <x v="0"/>
    <n v="4"/>
    <s v="California"/>
    <s v="Santa Clara County"/>
    <n v="1"/>
    <n v="13"/>
    <x v="2"/>
  </r>
  <r>
    <s v="TX502259"/>
    <s v="Sandals"/>
    <n v="3"/>
    <n v="88.4"/>
    <n v="265.20000000000005"/>
    <d v="2025-03-25T00:00:00"/>
    <d v="2025-03-27T00:00:00"/>
    <s v="F"/>
    <x v="1"/>
    <n v="3"/>
    <s v="California"/>
    <s v="Santa Clara County"/>
    <n v="2"/>
    <n v="13"/>
    <x v="2"/>
  </r>
  <r>
    <s v="TX502260"/>
    <s v="Sandals"/>
    <n v="16"/>
    <n v="30.5"/>
    <n v="488"/>
    <d v="2025-03-25T00:00:00"/>
    <d v="2025-03-26T00:00:00"/>
    <s v="F"/>
    <x v="2"/>
    <n v="4"/>
    <s v="California"/>
    <s v="Santa Clara County"/>
    <n v="1"/>
    <n v="13"/>
    <x v="2"/>
  </r>
  <r>
    <s v="TX502261"/>
    <s v="Tank Tops"/>
    <n v="6"/>
    <n v="38.1"/>
    <n v="228.60000000000002"/>
    <d v="2025-03-25T00:00:00"/>
    <d v="2025-03-27T00:00:00"/>
    <s v="F"/>
    <x v="0"/>
    <n v="3"/>
    <s v="California"/>
    <s v="Santa Clara County"/>
    <n v="2"/>
    <n v="13"/>
    <x v="2"/>
  </r>
  <r>
    <s v="TX502262"/>
    <s v="Bikinis"/>
    <n v="5"/>
    <n v="37.6"/>
    <n v="188"/>
    <d v="2025-03-25T00:00:00"/>
    <d v="2025-03-29T00:00:00"/>
    <s v="M"/>
    <x v="0"/>
    <n v="4"/>
    <s v="California"/>
    <s v="Santa Clara County"/>
    <n v="4"/>
    <n v="13"/>
    <x v="1"/>
  </r>
  <r>
    <s v="TX502263"/>
    <s v="Crop Tops"/>
    <n v="2"/>
    <n v="31.4"/>
    <n v="62.8"/>
    <d v="2025-03-25T00:00:00"/>
    <d v="2025-03-26T00:00:00"/>
    <s v="M"/>
    <x v="0"/>
    <n v="5"/>
    <s v="California"/>
    <s v="Santa Clara County"/>
    <n v="1"/>
    <n v="13"/>
    <x v="1"/>
  </r>
  <r>
    <s v="TX502264"/>
    <s v="Jeans"/>
    <n v="2"/>
    <n v="61.5"/>
    <n v="123"/>
    <d v="2025-03-25T00:00:00"/>
    <d v="2025-03-26T00:00:00"/>
    <s v="M"/>
    <x v="3"/>
    <n v="4"/>
    <s v="California"/>
    <s v="Sutter County"/>
    <n v="1"/>
    <n v="13"/>
    <x v="1"/>
  </r>
  <r>
    <s v="TX502265"/>
    <s v="Jeans"/>
    <n v="1"/>
    <n v="72.599999999999994"/>
    <n v="72.599999999999994"/>
    <d v="2025-03-25T00:00:00"/>
    <d v="2025-03-26T00:00:00"/>
    <s v="M"/>
    <x v="0"/>
    <n v="3"/>
    <s v="California"/>
    <s v="Alameda County"/>
    <n v="1"/>
    <n v="13"/>
    <x v="1"/>
  </r>
  <r>
    <s v="TX502266"/>
    <s v="Sundresses"/>
    <n v="3"/>
    <n v="26.9"/>
    <n v="80.699999999999989"/>
    <d v="2025-03-25T00:00:00"/>
    <d v="2025-03-30T00:00:00"/>
    <s v="O"/>
    <x v="4"/>
    <n v="3"/>
    <s v="California"/>
    <s v="Amador County"/>
    <n v="5"/>
    <n v="13"/>
    <x v="3"/>
  </r>
  <r>
    <s v="TX502267"/>
    <s v="Pajama Sets"/>
    <n v="12"/>
    <n v="29.4"/>
    <n v="352.79999999999995"/>
    <d v="2025-03-25T00:00:00"/>
    <d v="2025-03-26T00:00:00"/>
    <s v="F"/>
    <x v="1"/>
    <n v="4"/>
    <s v="California"/>
    <s v="Butte County"/>
    <n v="1"/>
    <n v="13"/>
    <x v="2"/>
  </r>
  <r>
    <s v="TX502268"/>
    <s v="Pajama Sets"/>
    <n v="2"/>
    <n v="42.1"/>
    <n v="84.2"/>
    <d v="2025-03-25T00:00:00"/>
    <d v="2025-03-26T00:00:00"/>
    <s v="F"/>
    <x v="3"/>
    <n v="3"/>
    <s v="California"/>
    <s v="Contra Costa County"/>
    <n v="1"/>
    <n v="13"/>
    <x v="2"/>
  </r>
  <r>
    <s v="TX502269"/>
    <s v="Sandals"/>
    <n v="1"/>
    <n v="40.5"/>
    <n v="40.5"/>
    <d v="2025-03-25T00:00:00"/>
    <d v="2025-03-26T00:00:00"/>
    <s v="F"/>
    <x v="2"/>
    <n v="3"/>
    <s v="California"/>
    <s v="Contra Costa County"/>
    <n v="1"/>
    <n v="13"/>
    <x v="2"/>
  </r>
  <r>
    <s v="TX502270"/>
    <s v="Sneakers"/>
    <n v="4"/>
    <n v="182.3"/>
    <n v="729.2"/>
    <d v="2025-03-25T00:00:00"/>
    <d v="2025-03-26T00:00:00"/>
    <s v="F"/>
    <x v="1"/>
    <n v="4"/>
    <s v="California"/>
    <s v="Contra Costa County"/>
    <n v="1"/>
    <n v="13"/>
    <x v="2"/>
  </r>
  <r>
    <s v="TX502271"/>
    <s v="Sneakers"/>
    <n v="5"/>
    <n v="157"/>
    <n v="785"/>
    <d v="2025-03-25T00:00:00"/>
    <d v="2025-03-28T00:00:00"/>
    <s v="F"/>
    <x v="1"/>
    <n v="5"/>
    <s v="California"/>
    <s v="Fresno County"/>
    <n v="3"/>
    <n v="13"/>
    <x v="2"/>
  </r>
  <r>
    <s v="TX502272"/>
    <s v="Pajama Sets"/>
    <n v="5"/>
    <n v="45.2"/>
    <n v="226"/>
    <d v="2025-03-25T00:00:00"/>
    <d v="2025-03-28T00:00:00"/>
    <s v="F"/>
    <x v="1"/>
    <n v="4"/>
    <s v="California"/>
    <s v="Kern County"/>
    <n v="3"/>
    <n v="13"/>
    <x v="2"/>
  </r>
  <r>
    <s v="TX502273"/>
    <s v="Crop Tops"/>
    <n v="4"/>
    <n v="27.4"/>
    <n v="109.6"/>
    <d v="2025-03-25T00:00:00"/>
    <d v="2025-03-27T00:00:00"/>
    <s v="F"/>
    <x v="0"/>
    <n v="4"/>
    <s v="California"/>
    <s v="Los Angeles County"/>
    <n v="2"/>
    <n v="13"/>
    <x v="2"/>
  </r>
  <r>
    <s v="TX502274"/>
    <s v="Sandals"/>
    <n v="5"/>
    <n v="34.1"/>
    <n v="170.5"/>
    <d v="2025-03-25T00:00:00"/>
    <d v="2025-03-27T00:00:00"/>
    <s v="M"/>
    <x v="0"/>
    <n v="5"/>
    <s v="California"/>
    <s v="Los Angeles County"/>
    <n v="2"/>
    <n v="13"/>
    <x v="1"/>
  </r>
  <r>
    <s v="TX502275"/>
    <s v="Shorts"/>
    <n v="2"/>
    <n v="26"/>
    <n v="52"/>
    <d v="2025-03-25T00:00:00"/>
    <d v="2025-03-27T00:00:00"/>
    <s v="M"/>
    <x v="2"/>
    <n v="3"/>
    <s v="California"/>
    <s v="Los Angeles County"/>
    <n v="2"/>
    <n v="13"/>
    <x v="1"/>
  </r>
  <r>
    <s v="TX502276"/>
    <s v="T-Shirts"/>
    <n v="7"/>
    <n v="19.399999999999999"/>
    <n v="135.79999999999998"/>
    <d v="2025-03-25T00:00:00"/>
    <d v="2025-03-27T00:00:00"/>
    <s v=""/>
    <x v="1"/>
    <n v="3"/>
    <s v="California"/>
    <s v="Los Angeles County"/>
    <n v="2"/>
    <n v="13"/>
    <x v="0"/>
  </r>
  <r>
    <s v="TX502277"/>
    <s v="Sunglasses"/>
    <n v="3"/>
    <n v="30.3"/>
    <n v="90.9"/>
    <d v="2025-03-25T00:00:00"/>
    <d v="2025-03-28T00:00:00"/>
    <s v="F"/>
    <x v="1"/>
    <n v="5"/>
    <s v="California"/>
    <s v="Los Angeles County"/>
    <n v="3"/>
    <n v="13"/>
    <x v="2"/>
  </r>
  <r>
    <s v="TX502278"/>
    <s v="Sneakers"/>
    <n v="3"/>
    <n v="101.4"/>
    <n v="304.20000000000005"/>
    <d v="2025-03-25T00:00:00"/>
    <d v="2025-03-26T00:00:00"/>
    <s v="M"/>
    <x v="0"/>
    <n v="4"/>
    <s v="California"/>
    <s v="Los Angeles County"/>
    <n v="1"/>
    <n v="13"/>
    <x v="1"/>
  </r>
  <r>
    <s v="TX502279"/>
    <s v="Workout Tops"/>
    <n v="5"/>
    <n v="55.5"/>
    <n v="277.5"/>
    <d v="2025-03-25T00:00:00"/>
    <d v="2025-03-28T00:00:00"/>
    <s v="M"/>
    <x v="1"/>
    <n v="4"/>
    <s v="California"/>
    <s v="Merced County"/>
    <n v="3"/>
    <n v="13"/>
    <x v="1"/>
  </r>
  <r>
    <s v="TX502280"/>
    <s v="T-Shirts"/>
    <n v="1"/>
    <n v="23.1"/>
    <n v="23.1"/>
    <d v="2025-03-25T00:00:00"/>
    <d v="2025-03-26T00:00:00"/>
    <s v="M"/>
    <x v="0"/>
    <n v="4"/>
    <s v="California"/>
    <s v="Orange County"/>
    <n v="1"/>
    <n v="13"/>
    <x v="1"/>
  </r>
  <r>
    <s v="TX502281"/>
    <s v="Leggings"/>
    <n v="2"/>
    <n v="38.9"/>
    <n v="77.8"/>
    <d v="2025-03-25T00:00:00"/>
    <d v="2025-03-26T00:00:00"/>
    <s v="M"/>
    <x v="2"/>
    <n v="4"/>
    <s v="California"/>
    <s v="Orange County"/>
    <n v="1"/>
    <n v="13"/>
    <x v="1"/>
  </r>
  <r>
    <s v="TX502282"/>
    <s v="Jeans"/>
    <n v="9"/>
    <n v="116.3"/>
    <n v="1046.7"/>
    <d v="2025-03-25T00:00:00"/>
    <d v="2025-03-29T00:00:00"/>
    <s v="F"/>
    <x v="0"/>
    <n v="4"/>
    <s v="California"/>
    <s v="Placer County"/>
    <n v="4"/>
    <n v="13"/>
    <x v="2"/>
  </r>
  <r>
    <s v="TX502283"/>
    <s v="Sunglasses"/>
    <n v="9"/>
    <n v="64.099999999999994"/>
    <n v="576.9"/>
    <d v="2025-03-25T00:00:00"/>
    <d v="2025-03-25T00:00:00"/>
    <s v="F"/>
    <x v="0"/>
    <n v="5"/>
    <s v="California"/>
    <s v="Sacramento County"/>
    <n v="0"/>
    <n v="13"/>
    <x v="2"/>
  </r>
  <r>
    <s v="TX502284"/>
    <s v="Sneakers"/>
    <n v="6"/>
    <n v="109.2"/>
    <n v="655.20000000000005"/>
    <d v="2025-03-25T00:00:00"/>
    <d v="2025-03-27T00:00:00"/>
    <s v="M"/>
    <x v="0"/>
    <n v="3"/>
    <s v="California"/>
    <s v="San Diego County"/>
    <n v="2"/>
    <n v="13"/>
    <x v="1"/>
  </r>
  <r>
    <s v="TX502285"/>
    <s v="Bikinis"/>
    <n v="5"/>
    <n v="23.2"/>
    <n v="116"/>
    <d v="2025-03-26T00:00:00"/>
    <d v="2025-03-27T00:00:00"/>
    <s v="M"/>
    <x v="0"/>
    <n v="3"/>
    <s v="California"/>
    <s v="San Diego County"/>
    <n v="1"/>
    <n v="13"/>
    <x v="1"/>
  </r>
  <r>
    <s v="TX502286"/>
    <s v="Leggings"/>
    <n v="6"/>
    <n v="81.2"/>
    <n v="487.20000000000005"/>
    <d v="2025-03-26T00:00:00"/>
    <d v="2025-03-28T00:00:00"/>
    <s v="M"/>
    <x v="2"/>
    <n v="5"/>
    <s v="California"/>
    <s v="San Diego County"/>
    <n v="2"/>
    <n v="13"/>
    <x v="1"/>
  </r>
  <r>
    <s v="TX502287"/>
    <s v="Tank Tops"/>
    <n v="14"/>
    <n v="35.700000000000003"/>
    <n v="499.80000000000007"/>
    <d v="2025-03-26T00:00:00"/>
    <d v="2025-03-27T00:00:00"/>
    <s v="M"/>
    <x v="3"/>
    <n v="4"/>
    <s v="California"/>
    <s v="San Diego County"/>
    <n v="1"/>
    <n v="13"/>
    <x v="1"/>
  </r>
  <r>
    <s v="TX502288"/>
    <s v="Hoodies &amp; Sweatshirts"/>
    <n v="2"/>
    <n v="44.5"/>
    <n v="89"/>
    <d v="2025-03-26T00:00:00"/>
    <d v="2025-03-29T00:00:00"/>
    <s v="M"/>
    <x v="4"/>
    <n v="4"/>
    <s v="California"/>
    <s v="San Mateo County"/>
    <n v="3"/>
    <n v="13"/>
    <x v="1"/>
  </r>
  <r>
    <s v="TX502289"/>
    <s v="Tank Tops"/>
    <n v="5"/>
    <n v="32"/>
    <n v="160"/>
    <d v="2025-03-26T00:00:00"/>
    <d v="2025-03-28T00:00:00"/>
    <s v="O"/>
    <x v="1"/>
    <n v="3"/>
    <s v="California"/>
    <s v="San Mateo County"/>
    <n v="2"/>
    <n v="13"/>
    <x v="3"/>
  </r>
  <r>
    <s v="TX502290"/>
    <s v="T-Shirts"/>
    <n v="1"/>
    <n v="25.7"/>
    <n v="25.7"/>
    <d v="2025-03-26T00:00:00"/>
    <d v="2025-03-27T00:00:00"/>
    <s v="M"/>
    <x v="0"/>
    <n v="4"/>
    <s v="California"/>
    <s v="Santa Barbara County"/>
    <n v="1"/>
    <n v="13"/>
    <x v="1"/>
  </r>
  <r>
    <s v="TX502291"/>
    <s v="Sunglasses"/>
    <n v="3"/>
    <n v="65.599999999999994"/>
    <n v="196.79999999999998"/>
    <d v="2025-03-26T00:00:00"/>
    <d v="2025-04-01T00:00:00"/>
    <s v="M"/>
    <x v="0"/>
    <n v="4"/>
    <s v="California"/>
    <s v="Santa Clara County"/>
    <n v="6"/>
    <n v="13"/>
    <x v="1"/>
  </r>
  <r>
    <s v="TX502292"/>
    <s v="Tank Tops"/>
    <n v="4"/>
    <n v="52.1"/>
    <n v="208.4"/>
    <d v="2025-03-26T00:00:00"/>
    <d v="2025-03-27T00:00:00"/>
    <s v="F"/>
    <x v="0"/>
    <n v="5"/>
    <s v="California"/>
    <s v="Santa Clara County"/>
    <n v="1"/>
    <n v="13"/>
    <x v="2"/>
  </r>
  <r>
    <s v="TX502293"/>
    <s v="T-Shirts"/>
    <n v="1"/>
    <n v="31"/>
    <n v="31"/>
    <d v="2025-03-26T00:00:00"/>
    <d v="2025-03-27T00:00:00"/>
    <s v="M"/>
    <x v="0"/>
    <n v="3"/>
    <s v="California"/>
    <s v="Stanislaus County"/>
    <n v="1"/>
    <n v="13"/>
    <x v="1"/>
  </r>
  <r>
    <s v="TX502294"/>
    <s v="T-Shirts"/>
    <n v="1"/>
    <n v="32"/>
    <n v="32"/>
    <d v="2025-03-26T00:00:00"/>
    <d v="2025-03-28T00:00:00"/>
    <s v="O"/>
    <x v="3"/>
    <n v="3"/>
    <s v="California"/>
    <s v="Sutter County"/>
    <n v="2"/>
    <n v="13"/>
    <x v="3"/>
  </r>
  <r>
    <s v="TX502295"/>
    <s v="Sunglasses"/>
    <n v="4"/>
    <n v="58.3"/>
    <n v="233.2"/>
    <d v="2025-03-26T00:00:00"/>
    <d v="2025-03-30T00:00:00"/>
    <s v="M"/>
    <x v="1"/>
    <n v="2"/>
    <s v="California"/>
    <s v="Tulare County"/>
    <n v="4"/>
    <n v="13"/>
    <x v="1"/>
  </r>
  <r>
    <s v="TX502296"/>
    <s v="T-Shirts"/>
    <n v="3"/>
    <n v="31"/>
    <n v="93"/>
    <d v="2025-03-26T00:00:00"/>
    <d v="2025-03-28T00:00:00"/>
    <s v="F"/>
    <x v="2"/>
    <n v="2"/>
    <s v="California"/>
    <s v="Ventura County"/>
    <n v="2"/>
    <n v="13"/>
    <x v="2"/>
  </r>
  <r>
    <s v="TX502297"/>
    <s v="Workout Tops"/>
    <n v="1"/>
    <n v="40.299999999999997"/>
    <n v="40.299999999999997"/>
    <d v="2025-03-26T00:00:00"/>
    <d v="2025-03-27T00:00:00"/>
    <s v="M"/>
    <x v="1"/>
    <n v="5"/>
    <s v="California"/>
    <s v="Colusa County"/>
    <n v="1"/>
    <n v="13"/>
    <x v="1"/>
  </r>
  <r>
    <s v="TX502298"/>
    <s v="Jeans"/>
    <n v="3"/>
    <n v="47.3"/>
    <n v="141.89999999999998"/>
    <d v="2025-03-26T00:00:00"/>
    <d v="2025-03-28T00:00:00"/>
    <s v="M"/>
    <x v="4"/>
    <n v="5"/>
    <s v="California"/>
    <s v="Fresno County"/>
    <n v="2"/>
    <n v="13"/>
    <x v="1"/>
  </r>
  <r>
    <s v="TX502299"/>
    <s v="Sneakers"/>
    <n v="1"/>
    <n v="82.8"/>
    <n v="82.8"/>
    <d v="2025-03-26T00:00:00"/>
    <d v="2025-03-27T00:00:00"/>
    <s v="M"/>
    <x v="0"/>
    <n v="4"/>
    <s v="California"/>
    <s v="Fresno County"/>
    <n v="1"/>
    <n v="13"/>
    <x v="1"/>
  </r>
  <r>
    <s v="TX502300"/>
    <s v="T-Shirts"/>
    <n v="1"/>
    <n v="18.5"/>
    <n v="18.5"/>
    <d v="2025-03-26T00:00:00"/>
    <d v="2025-04-09T00:00:00"/>
    <s v="F"/>
    <x v="0"/>
    <n v="4"/>
    <s v="California"/>
    <s v="Humboldt County"/>
    <n v="14"/>
    <n v="13"/>
    <x v="2"/>
  </r>
  <r>
    <s v="TX502301"/>
    <s v="Workout Tops"/>
    <n v="2"/>
    <n v="60.4"/>
    <n v="120.8"/>
    <d v="2025-03-26T00:00:00"/>
    <d v="2025-03-27T00:00:00"/>
    <s v="M"/>
    <x v="2"/>
    <n v="4"/>
    <s v="California"/>
    <s v="Kern County"/>
    <n v="1"/>
    <n v="13"/>
    <x v="1"/>
  </r>
  <r>
    <s v="TX502302"/>
    <s v="Jeans"/>
    <n v="5"/>
    <n v="80.2"/>
    <n v="401"/>
    <d v="2025-03-26T00:00:00"/>
    <d v="2025-04-02T00:00:00"/>
    <s v="M"/>
    <x v="1"/>
    <n v="3"/>
    <s v="California"/>
    <s v="Lake County"/>
    <n v="7"/>
    <n v="13"/>
    <x v="1"/>
  </r>
  <r>
    <s v="TX502303"/>
    <s v="Graphic Tees"/>
    <n v="1"/>
    <n v="41.5"/>
    <n v="41.5"/>
    <d v="2025-03-26T00:00:00"/>
    <d v="2025-03-28T00:00:00"/>
    <s v="M"/>
    <x v="2"/>
    <n v="4"/>
    <s v="California"/>
    <s v="Los Angeles County"/>
    <n v="2"/>
    <n v="13"/>
    <x v="1"/>
  </r>
  <r>
    <s v="TX502304"/>
    <s v="Sneakers"/>
    <n v="2"/>
    <n v="83.9"/>
    <n v="167.8"/>
    <d v="2025-03-26T00:00:00"/>
    <d v="2025-03-29T00:00:00"/>
    <s v="F"/>
    <x v="0"/>
    <n v="4"/>
    <s v="California"/>
    <s v="Los Angeles County"/>
    <n v="3"/>
    <n v="13"/>
    <x v="2"/>
  </r>
  <r>
    <s v="TX502305"/>
    <s v="T-Shirts"/>
    <n v="2"/>
    <n v="16.7"/>
    <n v="33.4"/>
    <d v="2025-03-26T00:00:00"/>
    <d v="2025-03-30T00:00:00"/>
    <s v="F"/>
    <x v="0"/>
    <n v="3"/>
    <s v="California"/>
    <s v="Los Angeles County"/>
    <n v="4"/>
    <n v="13"/>
    <x v="2"/>
  </r>
  <r>
    <s v="TX502306"/>
    <s v="Sundresses"/>
    <n v="2"/>
    <n v="72.900000000000006"/>
    <n v="145.80000000000001"/>
    <d v="2025-03-26T00:00:00"/>
    <d v="2025-03-27T00:00:00"/>
    <s v="M"/>
    <x v="2"/>
    <n v="3"/>
    <s v="California"/>
    <s v="Los Angeles County"/>
    <n v="1"/>
    <n v="13"/>
    <x v="1"/>
  </r>
  <r>
    <s v="TX502307"/>
    <s v="Sandals"/>
    <n v="2"/>
    <n v="50.2"/>
    <n v="100.4"/>
    <d v="2025-03-26T00:00:00"/>
    <d v="2025-03-28T00:00:00"/>
    <s v="F"/>
    <x v="1"/>
    <n v="5"/>
    <s v="California"/>
    <s v="Los Angeles County"/>
    <n v="2"/>
    <n v="13"/>
    <x v="2"/>
  </r>
  <r>
    <s v="TX502308"/>
    <s v="Workout Tops"/>
    <n v="2"/>
    <n v="34.200000000000003"/>
    <n v="68.400000000000006"/>
    <d v="2025-03-26T00:00:00"/>
    <d v="2025-04-05T00:00:00"/>
    <s v=""/>
    <x v="1"/>
    <n v="4"/>
    <s v="California"/>
    <s v="Los Angeles County"/>
    <n v="10"/>
    <n v="13"/>
    <x v="0"/>
  </r>
  <r>
    <s v="TX502309"/>
    <s v="Sandals"/>
    <n v="2"/>
    <n v="107.9"/>
    <n v="215.8"/>
    <d v="2025-03-26T00:00:00"/>
    <d v="2025-03-26T00:00:00"/>
    <s v="M"/>
    <x v="1"/>
    <n v="2"/>
    <s v="California"/>
    <s v="Los Angeles County"/>
    <n v="0"/>
    <n v="13"/>
    <x v="1"/>
  </r>
  <r>
    <s v="TX502310"/>
    <s v="Shorts"/>
    <n v="3"/>
    <n v="17.5"/>
    <n v="52.5"/>
    <d v="2025-03-26T00:00:00"/>
    <d v="2025-03-28T00:00:00"/>
    <s v="M"/>
    <x v="4"/>
    <n v="4"/>
    <s v="California"/>
    <s v="Los Angeles County"/>
    <n v="2"/>
    <n v="13"/>
    <x v="1"/>
  </r>
  <r>
    <s v="TX502311"/>
    <s v="Tote Bags"/>
    <n v="15"/>
    <n v="44.7"/>
    <n v="670.5"/>
    <d v="2025-03-26T00:00:00"/>
    <d v="2025-03-27T00:00:00"/>
    <s v="M"/>
    <x v="0"/>
    <n v="3"/>
    <s v="California"/>
    <s v="Los Angeles County"/>
    <n v="1"/>
    <n v="13"/>
    <x v="1"/>
  </r>
  <r>
    <s v="TX502312"/>
    <s v="Casual Dresses"/>
    <n v="6"/>
    <n v="92.7"/>
    <n v="556.20000000000005"/>
    <d v="2025-03-26T00:00:00"/>
    <d v="2025-03-28T00:00:00"/>
    <s v="F"/>
    <x v="2"/>
    <n v="3"/>
    <s v="California"/>
    <s v="Los Angeles County"/>
    <n v="2"/>
    <n v="13"/>
    <x v="2"/>
  </r>
  <r>
    <s v="TX502313"/>
    <s v="Hoodies &amp; Sweatshirts"/>
    <n v="3"/>
    <n v="48.8"/>
    <n v="146.39999999999998"/>
    <d v="2025-03-26T00:00:00"/>
    <d v="2025-03-28T00:00:00"/>
    <s v="F"/>
    <x v="2"/>
    <n v="4"/>
    <s v="California"/>
    <s v="Los Angeles County"/>
    <n v="2"/>
    <n v="13"/>
    <x v="2"/>
  </r>
  <r>
    <s v="TX502314"/>
    <s v="Graphic Tees"/>
    <n v="16"/>
    <n v="21.3"/>
    <n v="340.8"/>
    <d v="2025-03-26T00:00:00"/>
    <d v="2025-03-30T00:00:00"/>
    <s v="F"/>
    <x v="3"/>
    <n v="1"/>
    <s v="California"/>
    <s v="Los Angeles County"/>
    <n v="4"/>
    <n v="13"/>
    <x v="2"/>
  </r>
  <r>
    <s v="TX502315"/>
    <s v="Sunglasses"/>
    <n v="1"/>
    <n v="52.5"/>
    <n v="52.5"/>
    <d v="2025-03-26T00:00:00"/>
    <d v="2025-03-27T00:00:00"/>
    <s v="F"/>
    <x v="0"/>
    <n v="4"/>
    <s v="California"/>
    <s v="Los Angeles County"/>
    <n v="1"/>
    <n v="13"/>
    <x v="2"/>
  </r>
  <r>
    <s v="TX502316"/>
    <s v="Tank Tops"/>
    <n v="2"/>
    <n v="92.4"/>
    <n v="184.8"/>
    <d v="2025-03-26T00:00:00"/>
    <d v="2025-04-01T00:00:00"/>
    <s v="F"/>
    <x v="0"/>
    <n v="5"/>
    <s v="California"/>
    <s v="Los Angeles County"/>
    <n v="6"/>
    <n v="13"/>
    <x v="2"/>
  </r>
  <r>
    <s v="TX502317"/>
    <s v="Graphic Tees"/>
    <n v="11"/>
    <n v="58.3"/>
    <n v="641.29999999999995"/>
    <d v="2025-03-26T00:00:00"/>
    <d v="2025-03-28T00:00:00"/>
    <s v="M"/>
    <x v="1"/>
    <n v="5"/>
    <s v="California"/>
    <s v="Los Angeles County"/>
    <n v="2"/>
    <n v="13"/>
    <x v="1"/>
  </r>
  <r>
    <s v="TX502318"/>
    <s v="Jeans"/>
    <n v="23"/>
    <n v="152.6"/>
    <n v="3509.7999999999997"/>
    <d v="2025-03-27T00:00:00"/>
    <d v="2025-03-29T00:00:00"/>
    <s v=""/>
    <x v="0"/>
    <n v="4"/>
    <s v="California"/>
    <s v="Los Angeles County"/>
    <n v="2"/>
    <n v="13"/>
    <x v="0"/>
  </r>
  <r>
    <s v="TX502319"/>
    <s v="T-Shirts"/>
    <n v="2"/>
    <n v="26"/>
    <n v="52"/>
    <d v="2025-03-27T00:00:00"/>
    <d v="2025-03-27T00:00:00"/>
    <s v=""/>
    <x v="0"/>
    <n v="3"/>
    <s v="California"/>
    <s v="Los Angeles County"/>
    <n v="0"/>
    <n v="13"/>
    <x v="0"/>
  </r>
  <r>
    <s v="TX502320"/>
    <s v="Tank Tops"/>
    <n v="4"/>
    <n v="33.1"/>
    <n v="132.4"/>
    <d v="2025-03-27T00:00:00"/>
    <d v="2025-03-27T00:00:00"/>
    <s v="M"/>
    <x v="2"/>
    <n v="2"/>
    <s v="California"/>
    <s v="Placer County"/>
    <n v="0"/>
    <n v="13"/>
    <x v="1"/>
  </r>
  <r>
    <s v="TX502321"/>
    <s v="Leggings"/>
    <n v="1"/>
    <n v="51.4"/>
    <n v="51.4"/>
    <d v="2025-03-27T00:00:00"/>
    <d v="2025-03-29T00:00:00"/>
    <s v="F"/>
    <x v="1"/>
    <n v="3"/>
    <s v="California"/>
    <s v="Placer County"/>
    <n v="2"/>
    <n v="13"/>
    <x v="2"/>
  </r>
  <r>
    <s v="TX502322"/>
    <s v="T-Shirts"/>
    <n v="2"/>
    <n v="30.2"/>
    <n v="60.4"/>
    <d v="2025-03-27T00:00:00"/>
    <d v="2025-03-28T00:00:00"/>
    <s v="F"/>
    <x v="2"/>
    <n v="5"/>
    <s v="California"/>
    <s v="Sacramento County"/>
    <n v="1"/>
    <n v="13"/>
    <x v="2"/>
  </r>
  <r>
    <s v="TX502323"/>
    <s v="Sneakers"/>
    <n v="6"/>
    <n v="97"/>
    <n v="582"/>
    <d v="2025-03-27T00:00:00"/>
    <d v="2025-03-31T00:00:00"/>
    <s v="F"/>
    <x v="0"/>
    <n v="5"/>
    <s v="California"/>
    <s v="San Bernardino County"/>
    <n v="4"/>
    <n v="13"/>
    <x v="2"/>
  </r>
  <r>
    <s v="TX502324"/>
    <s v="Sneakers"/>
    <n v="1"/>
    <n v="76.900000000000006"/>
    <n v="76.900000000000006"/>
    <d v="2025-03-27T00:00:00"/>
    <d v="2025-03-28T00:00:00"/>
    <s v="M"/>
    <x v="1"/>
    <n v="5"/>
    <s v="California"/>
    <s v="San Diego County"/>
    <n v="1"/>
    <n v="13"/>
    <x v="1"/>
  </r>
  <r>
    <s v="TX502325"/>
    <s v="Hoodies &amp; Sweatshirts"/>
    <n v="6"/>
    <n v="36.1"/>
    <n v="216.60000000000002"/>
    <d v="2025-03-27T00:00:00"/>
    <d v="2025-03-31T00:00:00"/>
    <s v="F"/>
    <x v="0"/>
    <n v="4"/>
    <s v="California"/>
    <s v="San Diego County"/>
    <n v="4"/>
    <n v="13"/>
    <x v="2"/>
  </r>
  <r>
    <s v="TX502326"/>
    <s v="Tank Tops"/>
    <n v="7"/>
    <n v="34.4"/>
    <n v="240.79999999999998"/>
    <d v="2025-03-27T00:00:00"/>
    <d v="2025-03-27T00:00:00"/>
    <s v="F"/>
    <x v="2"/>
    <n v="3"/>
    <s v="California"/>
    <s v="Santa Clara County"/>
    <n v="0"/>
    <n v="13"/>
    <x v="2"/>
  </r>
  <r>
    <s v="TX502327"/>
    <s v="Tank Tops"/>
    <n v="28"/>
    <n v="53.4"/>
    <n v="1495.2"/>
    <d v="2025-03-27T00:00:00"/>
    <d v="2025-03-29T00:00:00"/>
    <s v="F"/>
    <x v="1"/>
    <n v="4"/>
    <s v="California"/>
    <s v="Sonoma County"/>
    <n v="2"/>
    <n v="13"/>
    <x v="2"/>
  </r>
  <r>
    <s v="TX502328"/>
    <s v="Sneakers"/>
    <n v="1"/>
    <n v="77.599999999999994"/>
    <n v="77.599999999999994"/>
    <d v="2025-03-27T00:00:00"/>
    <d v="2025-03-28T00:00:00"/>
    <s v="F"/>
    <x v="0"/>
    <n v="3"/>
    <s v="California"/>
    <s v="Stanislaus County"/>
    <n v="1"/>
    <n v="13"/>
    <x v="2"/>
  </r>
  <r>
    <s v="TX502329"/>
    <s v="Tank Tops"/>
    <n v="3"/>
    <n v="71.7"/>
    <n v="215.10000000000002"/>
    <d v="2025-03-27T00:00:00"/>
    <d v="2025-03-30T00:00:00"/>
    <s v="F"/>
    <x v="1"/>
    <n v="4"/>
    <s v="California"/>
    <s v="Stanislaus County"/>
    <n v="3"/>
    <n v="13"/>
    <x v="2"/>
  </r>
  <r>
    <s v="TX502330"/>
    <s v="Workout Tops"/>
    <n v="3"/>
    <n v="80.599999999999994"/>
    <n v="241.79999999999998"/>
    <d v="2025-03-27T00:00:00"/>
    <d v="2025-03-28T00:00:00"/>
    <s v="M"/>
    <x v="4"/>
    <n v="3"/>
    <s v="California"/>
    <s v="Stanislaus County"/>
    <n v="1"/>
    <n v="13"/>
    <x v="1"/>
  </r>
  <r>
    <s v="TX502331"/>
    <s v="Tank Tops"/>
    <n v="15"/>
    <n v="70"/>
    <n v="1050"/>
    <d v="2025-03-27T00:00:00"/>
    <d v="2025-03-29T00:00:00"/>
    <s v="M"/>
    <x v="0"/>
    <n v="4"/>
    <s v="California"/>
    <s v="Tulare County"/>
    <n v="2"/>
    <n v="13"/>
    <x v="1"/>
  </r>
  <r>
    <s v="TX502332"/>
    <s v="Graphic Tees"/>
    <n v="6"/>
    <n v="27.3"/>
    <n v="163.80000000000001"/>
    <d v="2025-03-27T00:00:00"/>
    <d v="2025-03-29T00:00:00"/>
    <s v="F"/>
    <x v="1"/>
    <n v="3"/>
    <s v="California"/>
    <s v="Fresno County"/>
    <n v="2"/>
    <n v="13"/>
    <x v="2"/>
  </r>
  <r>
    <s v="TX502333"/>
    <s v="T-Shirts"/>
    <n v="14"/>
    <n v="37.6"/>
    <n v="526.4"/>
    <d v="2025-03-27T00:00:00"/>
    <d v="2025-03-29T00:00:00"/>
    <s v="M"/>
    <x v="1"/>
    <n v="4"/>
    <s v="California"/>
    <s v="Los Angeles County"/>
    <n v="2"/>
    <n v="13"/>
    <x v="1"/>
  </r>
  <r>
    <s v="TX502334"/>
    <s v="Sandals"/>
    <n v="3"/>
    <n v="36.6"/>
    <n v="109.80000000000001"/>
    <d v="2025-03-27T00:00:00"/>
    <d v="2025-03-29T00:00:00"/>
    <s v="F"/>
    <x v="4"/>
    <n v="4"/>
    <s v="California"/>
    <s v="Los Angeles County"/>
    <n v="2"/>
    <n v="13"/>
    <x v="2"/>
  </r>
  <r>
    <s v="TX502335"/>
    <s v="Tote Bags"/>
    <n v="1"/>
    <n v="55.2"/>
    <n v="55.2"/>
    <d v="2025-03-27T00:00:00"/>
    <d v="2025-03-29T00:00:00"/>
    <s v="M"/>
    <x v="3"/>
    <n v="4"/>
    <s v="California"/>
    <s v="Los Angeles County"/>
    <n v="2"/>
    <n v="13"/>
    <x v="1"/>
  </r>
  <r>
    <s v="TX502336"/>
    <s v="Jeans"/>
    <n v="5"/>
    <n v="59.9"/>
    <n v="299.5"/>
    <d v="2025-03-27T00:00:00"/>
    <d v="2025-03-29T00:00:00"/>
    <s v="M"/>
    <x v="0"/>
    <n v="4"/>
    <s v="California"/>
    <s v="Los Angeles County"/>
    <n v="2"/>
    <n v="13"/>
    <x v="1"/>
  </r>
  <r>
    <s v="TX502337"/>
    <s v="Jeans"/>
    <n v="1"/>
    <n v="44"/>
    <n v="44"/>
    <d v="2025-03-27T00:00:00"/>
    <d v="2025-03-28T00:00:00"/>
    <s v="F"/>
    <x v="2"/>
    <n v="5"/>
    <s v="California"/>
    <s v="Los Angeles County"/>
    <n v="1"/>
    <n v="13"/>
    <x v="2"/>
  </r>
  <r>
    <s v="TX502338"/>
    <s v="Sundresses"/>
    <n v="2"/>
    <n v="68.7"/>
    <n v="137.4"/>
    <d v="2025-03-27T00:00:00"/>
    <d v="2025-03-27T00:00:00"/>
    <s v="M"/>
    <x v="0"/>
    <n v="4"/>
    <s v="California"/>
    <s v="Los Angeles County"/>
    <n v="0"/>
    <n v="13"/>
    <x v="1"/>
  </r>
  <r>
    <s v="TX502339"/>
    <s v="Sandals"/>
    <n v="2"/>
    <n v="61.6"/>
    <n v="123.2"/>
    <d v="2025-03-27T00:00:00"/>
    <d v="2025-03-31T00:00:00"/>
    <s v="M"/>
    <x v="3"/>
    <n v="3"/>
    <s v="California"/>
    <s v="Los Angeles County"/>
    <n v="4"/>
    <n v="13"/>
    <x v="1"/>
  </r>
  <r>
    <s v="TX502340"/>
    <s v="Hoodies &amp; Sweatshirts"/>
    <n v="7"/>
    <n v="51.8"/>
    <n v="362.59999999999997"/>
    <d v="2025-03-27T00:00:00"/>
    <d v="2025-03-28T00:00:00"/>
    <s v="M"/>
    <x v="0"/>
    <n v="4"/>
    <s v="California"/>
    <s v="Los Angeles County"/>
    <n v="1"/>
    <n v="13"/>
    <x v="1"/>
  </r>
  <r>
    <s v="TX502341"/>
    <s v="T-Shirts"/>
    <n v="10"/>
    <n v="46.2"/>
    <n v="462"/>
    <d v="2025-03-27T00:00:00"/>
    <d v="2025-03-29T00:00:00"/>
    <s v="M"/>
    <x v="1"/>
    <n v="5"/>
    <s v="California"/>
    <s v="Los Angeles County"/>
    <n v="2"/>
    <n v="13"/>
    <x v="1"/>
  </r>
  <r>
    <s v="TX502342"/>
    <s v="Shorts"/>
    <n v="2"/>
    <n v="19.399999999999999"/>
    <n v="38.799999999999997"/>
    <d v="2025-03-27T00:00:00"/>
    <d v="2025-03-29T00:00:00"/>
    <s v="F"/>
    <x v="1"/>
    <n v="5"/>
    <s v="California"/>
    <s v="Sacramento County"/>
    <n v="2"/>
    <n v="13"/>
    <x v="2"/>
  </r>
  <r>
    <s v="TX502343"/>
    <s v="Maxi Dresses"/>
    <n v="3"/>
    <n v="52.1"/>
    <n v="156.30000000000001"/>
    <d v="2025-03-27T00:00:00"/>
    <d v="2025-03-30T00:00:00"/>
    <s v="M"/>
    <x v="3"/>
    <n v="1"/>
    <s v="California"/>
    <s v="Sacramento County"/>
    <n v="3"/>
    <n v="13"/>
    <x v="1"/>
  </r>
  <r>
    <s v="TX502344"/>
    <s v="Jeans"/>
    <n v="1"/>
    <n v="74.900000000000006"/>
    <n v="74.900000000000006"/>
    <d v="2025-03-27T00:00:00"/>
    <d v="2025-03-29T00:00:00"/>
    <s v="O"/>
    <x v="0"/>
    <n v="4"/>
    <s v="California"/>
    <s v="San Bernardino County"/>
    <n v="2"/>
    <n v="13"/>
    <x v="3"/>
  </r>
  <r>
    <s v="TX502345"/>
    <s v="Sundresses"/>
    <n v="7"/>
    <n v="49.6"/>
    <n v="347.2"/>
    <d v="2025-03-27T00:00:00"/>
    <d v="2025-03-30T00:00:00"/>
    <s v="F"/>
    <x v="4"/>
    <n v="4"/>
    <s v="California"/>
    <s v="San Diego County"/>
    <n v="3"/>
    <n v="13"/>
    <x v="2"/>
  </r>
  <r>
    <s v="TX502346"/>
    <s v="Sunglasses"/>
    <n v="4"/>
    <n v="82.8"/>
    <n v="331.2"/>
    <d v="2025-03-28T00:00:00"/>
    <d v="2025-03-31T00:00:00"/>
    <s v="F"/>
    <x v="4"/>
    <n v="4"/>
    <s v="California"/>
    <s v="San Diego County"/>
    <n v="3"/>
    <n v="13"/>
    <x v="2"/>
  </r>
  <r>
    <s v="TX502347"/>
    <s v="Sneakers"/>
    <n v="1"/>
    <n v="97.7"/>
    <n v="97.7"/>
    <d v="2025-03-28T00:00:00"/>
    <d v="2025-03-29T00:00:00"/>
    <s v="F"/>
    <x v="1"/>
    <n v="4"/>
    <s v="California"/>
    <s v="San Diego County"/>
    <n v="1"/>
    <n v="13"/>
    <x v="2"/>
  </r>
  <r>
    <s v="TX502348"/>
    <s v="Jeans"/>
    <n v="5"/>
    <n v="83.6"/>
    <n v="418"/>
    <d v="2025-03-28T00:00:00"/>
    <d v="2025-03-29T00:00:00"/>
    <s v="F"/>
    <x v="4"/>
    <n v="4"/>
    <s v="California"/>
    <s v="San Diego County"/>
    <n v="1"/>
    <n v="13"/>
    <x v="2"/>
  </r>
  <r>
    <s v="TX502349"/>
    <s v="T-Shirts"/>
    <n v="5"/>
    <n v="23.5"/>
    <n v="117.5"/>
    <d v="2025-03-28T00:00:00"/>
    <d v="2025-04-01T00:00:00"/>
    <s v="O"/>
    <x v="0"/>
    <n v="4"/>
    <s v="California"/>
    <s v="San Diego County"/>
    <n v="4"/>
    <n v="13"/>
    <x v="3"/>
  </r>
  <r>
    <s v="TX502350"/>
    <s v="Sundresses"/>
    <n v="3"/>
    <n v="44.6"/>
    <n v="133.80000000000001"/>
    <d v="2025-03-28T00:00:00"/>
    <d v="2025-03-31T00:00:00"/>
    <s v="F"/>
    <x v="4"/>
    <n v="3"/>
    <s v="California"/>
    <s v="San Joaquin County"/>
    <n v="3"/>
    <n v="13"/>
    <x v="2"/>
  </r>
  <r>
    <s v="TX502351"/>
    <s v="Shorts"/>
    <n v="3"/>
    <n v="20.100000000000001"/>
    <n v="60.300000000000004"/>
    <d v="2025-03-28T00:00:00"/>
    <d v="2025-03-30T00:00:00"/>
    <s v="F"/>
    <x v="3"/>
    <n v="2"/>
    <s v="California"/>
    <s v="Santa Clara County"/>
    <n v="2"/>
    <n v="13"/>
    <x v="2"/>
  </r>
  <r>
    <s v="TX502352"/>
    <s v="Sneakers"/>
    <n v="5"/>
    <n v="153.6"/>
    <n v="768"/>
    <d v="2025-03-28T00:00:00"/>
    <d v="2025-03-29T00:00:00"/>
    <s v="F"/>
    <x v="1"/>
    <n v="5"/>
    <s v="California"/>
    <s v="Shasta County"/>
    <n v="1"/>
    <n v="13"/>
    <x v="2"/>
  </r>
  <r>
    <s v="TX502353"/>
    <s v="Tank Tops"/>
    <n v="2"/>
    <n v="71.8"/>
    <n v="143.6"/>
    <d v="2025-03-28T00:00:00"/>
    <d v="2025-04-01T00:00:00"/>
    <s v="F"/>
    <x v="1"/>
    <n v="4"/>
    <s v="California"/>
    <s v="Contra Costa County"/>
    <n v="4"/>
    <n v="13"/>
    <x v="2"/>
  </r>
  <r>
    <s v="TX502354"/>
    <s v="Bikinis"/>
    <n v="1"/>
    <n v="64.7"/>
    <n v="64.7"/>
    <d v="2025-03-28T00:00:00"/>
    <d v="2025-03-30T00:00:00"/>
    <s v=""/>
    <x v="0"/>
    <n v="3"/>
    <s v="California"/>
    <s v="Contra Costa County"/>
    <n v="2"/>
    <n v="13"/>
    <x v="0"/>
  </r>
  <r>
    <s v="TX502355"/>
    <s v="Sundresses"/>
    <n v="8"/>
    <n v="60.4"/>
    <n v="483.2"/>
    <d v="2025-03-28T00:00:00"/>
    <d v="2025-03-30T00:00:00"/>
    <s v="F"/>
    <x v="3"/>
    <n v="5"/>
    <s v="California"/>
    <s v="Fresno County"/>
    <n v="2"/>
    <n v="13"/>
    <x v="2"/>
  </r>
  <r>
    <s v="TX502356"/>
    <s v="Jeans"/>
    <n v="4"/>
    <n v="86"/>
    <n v="344"/>
    <d v="2025-03-28T00:00:00"/>
    <d v="2025-03-31T00:00:00"/>
    <s v="F"/>
    <x v="2"/>
    <n v="5"/>
    <s v="California"/>
    <s v="Kern County"/>
    <n v="3"/>
    <n v="13"/>
    <x v="2"/>
  </r>
  <r>
    <s v="TX502357"/>
    <s v="Casual Dresses"/>
    <n v="2"/>
    <n v="42.1"/>
    <n v="84.2"/>
    <d v="2025-03-28T00:00:00"/>
    <d v="2025-03-29T00:00:00"/>
    <s v="F"/>
    <x v="4"/>
    <n v="3"/>
    <s v="California"/>
    <s v="Kings County"/>
    <n v="1"/>
    <n v="13"/>
    <x v="2"/>
  </r>
  <r>
    <s v="TX502358"/>
    <s v="Sunglasses"/>
    <n v="9"/>
    <n v="51.1"/>
    <n v="459.90000000000003"/>
    <d v="2025-03-28T00:00:00"/>
    <d v="2025-03-29T00:00:00"/>
    <s v="M"/>
    <x v="2"/>
    <n v="3"/>
    <s v="California"/>
    <s v="Los Angeles County"/>
    <n v="1"/>
    <n v="13"/>
    <x v="1"/>
  </r>
  <r>
    <s v="TX502359"/>
    <s v="Sundresses"/>
    <n v="4"/>
    <n v="73.8"/>
    <n v="295.2"/>
    <d v="2025-03-28T00:00:00"/>
    <d v="2025-03-29T00:00:00"/>
    <s v="M"/>
    <x v="4"/>
    <n v="4"/>
    <s v="California"/>
    <s v="Los Angeles County"/>
    <n v="1"/>
    <n v="13"/>
    <x v="1"/>
  </r>
  <r>
    <s v="TX502360"/>
    <s v="T-Shirts"/>
    <n v="5"/>
    <n v="27"/>
    <n v="135"/>
    <d v="2025-03-28T00:00:00"/>
    <d v="2025-03-31T00:00:00"/>
    <s v="F"/>
    <x v="2"/>
    <n v="5"/>
    <s v="California"/>
    <s v="Los Angeles County"/>
    <n v="3"/>
    <n v="13"/>
    <x v="2"/>
  </r>
  <r>
    <s v="TX502361"/>
    <s v="T-Shirts"/>
    <n v="6"/>
    <n v="60.1"/>
    <n v="360.6"/>
    <d v="2025-03-28T00:00:00"/>
    <d v="2025-03-29T00:00:00"/>
    <s v="M"/>
    <x v="3"/>
    <n v="4"/>
    <s v="California"/>
    <s v="Los Angeles County"/>
    <n v="1"/>
    <n v="13"/>
    <x v="1"/>
  </r>
  <r>
    <s v="TX502362"/>
    <s v="Sneakers"/>
    <n v="7"/>
    <n v="94.1"/>
    <n v="658.69999999999993"/>
    <d v="2025-03-28T00:00:00"/>
    <d v="2025-03-30T00:00:00"/>
    <s v="F"/>
    <x v="4"/>
    <n v="3"/>
    <s v="California"/>
    <s v="Los Angeles County"/>
    <n v="2"/>
    <n v="13"/>
    <x v="2"/>
  </r>
  <r>
    <s v="TX502363"/>
    <s v="Sneakers"/>
    <n v="2"/>
    <n v="124.1"/>
    <n v="248.2"/>
    <d v="2025-03-28T00:00:00"/>
    <d v="2025-03-28T00:00:00"/>
    <s v="F"/>
    <x v="2"/>
    <n v="1"/>
    <s v="California"/>
    <s v="Marin County"/>
    <n v="0"/>
    <n v="13"/>
    <x v="2"/>
  </r>
  <r>
    <s v="TX502364"/>
    <s v="T-Shirts"/>
    <n v="4"/>
    <n v="16.899999999999999"/>
    <n v="67.599999999999994"/>
    <d v="2025-03-28T00:00:00"/>
    <d v="2025-03-31T00:00:00"/>
    <s v="M"/>
    <x v="3"/>
    <n v="4"/>
    <s v="California"/>
    <s v="Sacramento County"/>
    <n v="3"/>
    <n v="13"/>
    <x v="1"/>
  </r>
  <r>
    <s v="TX502365"/>
    <s v="Tank Tops"/>
    <n v="1"/>
    <n v="36.9"/>
    <n v="36.9"/>
    <d v="2025-03-28T00:00:00"/>
    <d v="2025-03-29T00:00:00"/>
    <s v="M"/>
    <x v="0"/>
    <n v="4"/>
    <s v="California"/>
    <s v="Sacramento County"/>
    <n v="1"/>
    <n v="13"/>
    <x v="1"/>
  </r>
  <r>
    <s v="TX502366"/>
    <s v="Sundresses"/>
    <n v="2"/>
    <n v="22.6"/>
    <n v="45.2"/>
    <d v="2025-03-28T00:00:00"/>
    <d v="2025-04-10T00:00:00"/>
    <s v="F"/>
    <x v="2"/>
    <n v="3"/>
    <s v="California"/>
    <s v="San Diego County"/>
    <n v="13"/>
    <n v="13"/>
    <x v="2"/>
  </r>
  <r>
    <s v="TX502367"/>
    <s v="Hoodies &amp; Sweatshirts"/>
    <n v="4"/>
    <n v="35"/>
    <n v="140"/>
    <d v="2025-03-28T00:00:00"/>
    <d v="2025-04-02T00:00:00"/>
    <s v="M"/>
    <x v="3"/>
    <n v="3"/>
    <s v="California"/>
    <s v="San Diego County"/>
    <n v="5"/>
    <n v="13"/>
    <x v="1"/>
  </r>
  <r>
    <s v="TX502368"/>
    <s v="Sundresses"/>
    <n v="6"/>
    <n v="63.6"/>
    <n v="381.6"/>
    <d v="2025-03-28T00:00:00"/>
    <d v="2025-04-04T00:00:00"/>
    <s v=""/>
    <x v="1"/>
    <n v="5"/>
    <s v="California"/>
    <s v="San Diego County"/>
    <n v="7"/>
    <n v="13"/>
    <x v="0"/>
  </r>
  <r>
    <s v="TX502369"/>
    <s v="Crop Tops"/>
    <n v="4"/>
    <n v="78.599999999999994"/>
    <n v="314.39999999999998"/>
    <d v="2025-03-28T00:00:00"/>
    <d v="2025-03-29T00:00:00"/>
    <s v="M"/>
    <x v="4"/>
    <n v="3"/>
    <s v="California"/>
    <s v="San Diego County"/>
    <n v="1"/>
    <n v="13"/>
    <x v="1"/>
  </r>
  <r>
    <s v="TX502370"/>
    <s v="Workout Tops"/>
    <n v="2"/>
    <n v="38.5"/>
    <n v="77"/>
    <d v="2025-03-28T00:00:00"/>
    <d v="2025-03-29T00:00:00"/>
    <s v="M"/>
    <x v="0"/>
    <n v="5"/>
    <s v="California"/>
    <s v="San Diego County"/>
    <n v="1"/>
    <n v="13"/>
    <x v="1"/>
  </r>
  <r>
    <s v="TX502371"/>
    <s v="T-Shirts"/>
    <n v="11"/>
    <n v="71.5"/>
    <n v="786.5"/>
    <d v="2025-03-28T00:00:00"/>
    <d v="2025-03-29T00:00:00"/>
    <s v="F"/>
    <x v="1"/>
    <n v="2"/>
    <s v="California"/>
    <s v="San Diego County"/>
    <n v="1"/>
    <n v="13"/>
    <x v="2"/>
  </r>
  <r>
    <s v="TX502372"/>
    <s v="Jeans"/>
    <n v="4"/>
    <n v="121.4"/>
    <n v="485.6"/>
    <d v="2025-03-28T00:00:00"/>
    <d v="2025-04-01T00:00:00"/>
    <s v="M"/>
    <x v="1"/>
    <n v="5"/>
    <s v="California"/>
    <s v="San Francisco"/>
    <n v="4"/>
    <n v="13"/>
    <x v="1"/>
  </r>
  <r>
    <s v="TX502373"/>
    <s v="Maxi Dresses"/>
    <n v="1"/>
    <n v="40.200000000000003"/>
    <n v="40.200000000000003"/>
    <d v="2025-03-28T00:00:00"/>
    <d v="2025-03-31T00:00:00"/>
    <s v="F"/>
    <x v="0"/>
    <n v="5"/>
    <s v="California"/>
    <s v="Santa Clara County"/>
    <n v="3"/>
    <n v="13"/>
    <x v="2"/>
  </r>
  <r>
    <s v="TX502374"/>
    <s v="Sandals"/>
    <n v="5"/>
    <n v="31.9"/>
    <n v="159.5"/>
    <d v="2025-03-28T00:00:00"/>
    <d v="2025-03-30T00:00:00"/>
    <s v="F"/>
    <x v="2"/>
    <n v="5"/>
    <s v="California"/>
    <s v="Yolo County"/>
    <n v="2"/>
    <n v="13"/>
    <x v="2"/>
  </r>
  <r>
    <s v="TX502375"/>
    <s v="Baseball Caps"/>
    <n v="5"/>
    <n v="15.8"/>
    <n v="79"/>
    <d v="2025-03-29T00:00:00"/>
    <d v="2025-03-30T00:00:00"/>
    <s v="M"/>
    <x v="3"/>
    <n v="5"/>
    <s v="California"/>
    <s v="Alameda County"/>
    <n v="1"/>
    <n v="13"/>
    <x v="1"/>
  </r>
  <r>
    <s v="TX502376"/>
    <s v="Bikinis"/>
    <n v="2"/>
    <n v="25.1"/>
    <n v="50.2"/>
    <d v="2025-03-29T00:00:00"/>
    <d v="2025-03-31T00:00:00"/>
    <s v=""/>
    <x v="1"/>
    <n v="4"/>
    <s v="California"/>
    <s v="Alameda County"/>
    <n v="2"/>
    <n v="13"/>
    <x v="0"/>
  </r>
  <r>
    <s v="TX502377"/>
    <s v="Tank Tops"/>
    <n v="23"/>
    <n v="38.1"/>
    <n v="876.30000000000007"/>
    <d v="2025-03-29T00:00:00"/>
    <d v="2025-03-30T00:00:00"/>
    <s v="F"/>
    <x v="4"/>
    <n v="4"/>
    <s v="California"/>
    <s v="Contra Costa County"/>
    <n v="1"/>
    <n v="13"/>
    <x v="2"/>
  </r>
  <r>
    <s v="TX502378"/>
    <s v="Workout Tops"/>
    <n v="2"/>
    <n v="42.2"/>
    <n v="84.4"/>
    <d v="2025-03-29T00:00:00"/>
    <d v="2025-03-31T00:00:00"/>
    <s v="F"/>
    <x v="0"/>
    <n v="5"/>
    <s v="California"/>
    <s v="Contra Costa County"/>
    <n v="2"/>
    <n v="13"/>
    <x v="2"/>
  </r>
  <r>
    <s v="TX502379"/>
    <s v="Shorts"/>
    <n v="10"/>
    <n v="12.3"/>
    <n v="123"/>
    <d v="2025-03-29T00:00:00"/>
    <d v="2025-03-30T00:00:00"/>
    <s v="F"/>
    <x v="4"/>
    <n v="4"/>
    <s v="California"/>
    <s v="Fresno County"/>
    <n v="1"/>
    <n v="13"/>
    <x v="2"/>
  </r>
  <r>
    <s v="TX502380"/>
    <s v="Hoodies &amp; Sweatshirts"/>
    <n v="1"/>
    <n v="30.2"/>
    <n v="30.2"/>
    <d v="2025-03-29T00:00:00"/>
    <d v="2025-03-31T00:00:00"/>
    <s v="F"/>
    <x v="1"/>
    <n v="5"/>
    <s v="California"/>
    <s v="Kings County"/>
    <n v="2"/>
    <n v="13"/>
    <x v="2"/>
  </r>
  <r>
    <s v="TX502381"/>
    <s v="Sandals"/>
    <n v="3"/>
    <n v="25.3"/>
    <n v="75.900000000000006"/>
    <d v="2025-03-29T00:00:00"/>
    <d v="2025-04-01T00:00:00"/>
    <s v="F"/>
    <x v="2"/>
    <n v="4"/>
    <s v="California"/>
    <s v="Los Angeles County"/>
    <n v="3"/>
    <n v="13"/>
    <x v="2"/>
  </r>
  <r>
    <s v="TX502382"/>
    <s v="T-Shirts"/>
    <n v="5"/>
    <n v="29.7"/>
    <n v="148.5"/>
    <d v="2025-03-29T00:00:00"/>
    <d v="2025-03-31T00:00:00"/>
    <s v="M"/>
    <x v="3"/>
    <n v="4"/>
    <s v="California"/>
    <s v="Los Angeles County"/>
    <n v="2"/>
    <n v="13"/>
    <x v="1"/>
  </r>
  <r>
    <s v="TX502383"/>
    <s v="Sundresses"/>
    <n v="8"/>
    <n v="32.9"/>
    <n v="263.2"/>
    <d v="2025-03-29T00:00:00"/>
    <d v="2025-03-30T00:00:00"/>
    <s v=""/>
    <x v="3"/>
    <n v="5"/>
    <s v="California"/>
    <s v="Los Angeles County"/>
    <n v="1"/>
    <n v="13"/>
    <x v="0"/>
  </r>
  <r>
    <s v="TX502384"/>
    <s v="Bikinis"/>
    <n v="2"/>
    <n v="43.6"/>
    <n v="87.2"/>
    <d v="2025-03-29T00:00:00"/>
    <d v="2025-03-30T00:00:00"/>
    <s v="M"/>
    <x v="1"/>
    <n v="5"/>
    <s v="California"/>
    <s v="Los Angeles County"/>
    <n v="1"/>
    <n v="13"/>
    <x v="1"/>
  </r>
  <r>
    <s v="TX502385"/>
    <s v="Crop Tops"/>
    <n v="4"/>
    <n v="78.400000000000006"/>
    <n v="313.60000000000002"/>
    <d v="2025-03-29T00:00:00"/>
    <d v="2025-03-30T00:00:00"/>
    <s v="M"/>
    <x v="2"/>
    <n v="4"/>
    <s v="California"/>
    <s v="Los Angeles County"/>
    <n v="1"/>
    <n v="13"/>
    <x v="1"/>
  </r>
  <r>
    <s v="TX502386"/>
    <s v="Jeans"/>
    <n v="2"/>
    <n v="56.5"/>
    <n v="113"/>
    <d v="2025-03-29T00:00:00"/>
    <d v="2025-04-02T00:00:00"/>
    <s v="M"/>
    <x v="1"/>
    <n v="3"/>
    <s v="California"/>
    <s v="Los Angeles County"/>
    <n v="4"/>
    <n v="13"/>
    <x v="1"/>
  </r>
  <r>
    <s v="TX502387"/>
    <s v="Sunglasses"/>
    <n v="1"/>
    <n v="36.700000000000003"/>
    <n v="36.700000000000003"/>
    <d v="2025-03-29T00:00:00"/>
    <d v="2025-03-30T00:00:00"/>
    <s v="F"/>
    <x v="0"/>
    <n v="5"/>
    <s v="California"/>
    <s v="Los Angeles County"/>
    <n v="1"/>
    <n v="13"/>
    <x v="2"/>
  </r>
  <r>
    <s v="TX502388"/>
    <s v="Sneakers"/>
    <n v="4"/>
    <n v="103.6"/>
    <n v="414.4"/>
    <d v="2025-03-29T00:00:00"/>
    <d v="2025-04-09T00:00:00"/>
    <s v="M"/>
    <x v="4"/>
    <n v="5"/>
    <s v="California"/>
    <s v="Los Angeles County"/>
    <n v="11"/>
    <n v="13"/>
    <x v="1"/>
  </r>
  <r>
    <s v="TX502389"/>
    <s v="T-Shirts"/>
    <n v="6"/>
    <n v="16.2"/>
    <n v="97.199999999999989"/>
    <d v="2025-03-29T00:00:00"/>
    <d v="2025-04-02T00:00:00"/>
    <s v="M"/>
    <x v="1"/>
    <n v="5"/>
    <s v="California"/>
    <s v="Sacramento County"/>
    <n v="4"/>
    <n v="13"/>
    <x v="1"/>
  </r>
  <r>
    <s v="TX502390"/>
    <s v="T-Shirts"/>
    <n v="2"/>
    <n v="20.2"/>
    <n v="40.4"/>
    <d v="2025-03-29T00:00:00"/>
    <d v="2025-03-30T00:00:00"/>
    <s v="F"/>
    <x v="0"/>
    <n v="4"/>
    <s v="California"/>
    <s v="Sacramento County"/>
    <n v="1"/>
    <n v="13"/>
    <x v="2"/>
  </r>
  <r>
    <s v="TX502391"/>
    <s v="Maxi Dresses"/>
    <n v="2"/>
    <n v="26.9"/>
    <n v="53.8"/>
    <d v="2025-03-29T00:00:00"/>
    <d v="2025-03-31T00:00:00"/>
    <s v="F"/>
    <x v="2"/>
    <n v="4"/>
    <s v="California"/>
    <s v="Sacramento County"/>
    <n v="2"/>
    <n v="13"/>
    <x v="2"/>
  </r>
  <r>
    <s v="TX502392"/>
    <s v="Tank Tops"/>
    <n v="2"/>
    <n v="82.4"/>
    <n v="164.8"/>
    <d v="2025-03-29T00:00:00"/>
    <d v="2025-04-01T00:00:00"/>
    <s v=""/>
    <x v="0"/>
    <n v="4"/>
    <s v="California"/>
    <s v="San Bernardino County"/>
    <n v="3"/>
    <n v="13"/>
    <x v="0"/>
  </r>
  <r>
    <s v="TX502393"/>
    <s v="Sneakers"/>
    <n v="2"/>
    <n v="117.8"/>
    <n v="235.6"/>
    <d v="2025-03-29T00:00:00"/>
    <d v="2025-03-31T00:00:00"/>
    <s v="M"/>
    <x v="1"/>
    <n v="5"/>
    <s v="California"/>
    <s v="San Diego County"/>
    <n v="2"/>
    <n v="13"/>
    <x v="1"/>
  </r>
  <r>
    <s v="TX502394"/>
    <s v="Maxi Dresses"/>
    <n v="4"/>
    <n v="36.700000000000003"/>
    <n v="146.80000000000001"/>
    <d v="2025-03-29T00:00:00"/>
    <d v="2025-03-30T00:00:00"/>
    <s v="M"/>
    <x v="1"/>
    <n v="4"/>
    <s v="California"/>
    <s v="San Diego County"/>
    <n v="1"/>
    <n v="13"/>
    <x v="1"/>
  </r>
  <r>
    <s v="TX502395"/>
    <s v="Pajama Sets"/>
    <n v="3"/>
    <n v="46.8"/>
    <n v="140.39999999999998"/>
    <d v="2025-03-29T00:00:00"/>
    <d v="2025-03-30T00:00:00"/>
    <s v="M"/>
    <x v="4"/>
    <n v="5"/>
    <s v="California"/>
    <s v="Santa Barbara County"/>
    <n v="1"/>
    <n v="13"/>
    <x v="1"/>
  </r>
  <r>
    <s v="TX502396"/>
    <s v="Workout Tops"/>
    <n v="1"/>
    <n v="61.4"/>
    <n v="61.4"/>
    <d v="2025-03-29T00:00:00"/>
    <d v="2025-03-30T00:00:00"/>
    <s v="M"/>
    <x v="1"/>
    <n v="4"/>
    <s v="California"/>
    <s v="Santa Barbara County"/>
    <n v="1"/>
    <n v="13"/>
    <x v="1"/>
  </r>
  <r>
    <s v="TX502397"/>
    <s v="Crop Tops"/>
    <n v="2"/>
    <n v="22.9"/>
    <n v="45.8"/>
    <d v="2025-03-29T00:00:00"/>
    <d v="2025-03-30T00:00:00"/>
    <s v="M"/>
    <x v="0"/>
    <n v="4"/>
    <s v="California"/>
    <s v="Santa Clara County"/>
    <n v="1"/>
    <n v="13"/>
    <x v="1"/>
  </r>
  <r>
    <s v="TX502398"/>
    <s v="Bikinis"/>
    <n v="2"/>
    <n v="22.1"/>
    <n v="44.2"/>
    <d v="2025-03-29T00:00:00"/>
    <d v="2025-03-30T00:00:00"/>
    <s v="F"/>
    <x v="4"/>
    <n v="4"/>
    <s v="California"/>
    <s v="Santa Clara County"/>
    <n v="1"/>
    <n v="13"/>
    <x v="2"/>
  </r>
  <r>
    <s v="TX502399"/>
    <s v="Casual Dresses"/>
    <n v="2"/>
    <n v="31"/>
    <n v="62"/>
    <d v="2025-03-29T00:00:00"/>
    <d v="2025-03-31T00:00:00"/>
    <s v="F"/>
    <x v="2"/>
    <n v="4"/>
    <s v="California"/>
    <s v="Sonoma County"/>
    <n v="2"/>
    <n v="13"/>
    <x v="2"/>
  </r>
  <r>
    <s v="TX502400"/>
    <s v="Leggings"/>
    <n v="2"/>
    <n v="84.2"/>
    <n v="168.4"/>
    <d v="2025-03-29T00:00:00"/>
    <d v="2025-03-31T00:00:00"/>
    <s v="M"/>
    <x v="2"/>
    <n v="5"/>
    <s v="California"/>
    <s v="Ventura County"/>
    <n v="2"/>
    <n v="1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93B53-D744-4D0E-A10F-DCE306A78360}" name="Order mode +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5">
    <pivotField showAll="0"/>
    <pivotField showAll="0"/>
    <pivotField showAll="0"/>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AC8BC0-6891-4BAF-B05A-F5A8133F1C3E}" name="Summary"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TX ID" fld="1" subtotal="count" baseField="0" baseItem="0"/>
    <dataField name="Sum of Amount" fld="2" baseField="0" baseItem="0"/>
    <dataField name="Sum of Quantity" fld="0" baseField="0" baseItem="0"/>
    <dataField name="Average of Days to Deliver" fld="3" subtotal="average" baseField="0" baseItem="3"/>
    <dataField name="Average of Rating C" fld="4" subtotal="average" baseField="0" baseItem="4"/>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C055E-73F5-45A1-83F4-1AB153B7A495}"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H33:I38" firstHeaderRow="1" firstDataRow="1" firstDataCol="1"/>
  <pivotFields count="3">
    <pivotField dataField="1" subtotalTop="0" showAll="0" defaultSubtotal="0"/>
    <pivotField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Quantity" fld="0" baseField="0" baseItem="0"/>
  </dataFields>
  <chartFormats count="8">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 chart="40" format="11">
      <pivotArea type="data" outline="0" fieldPosition="0">
        <references count="2">
          <reference field="4294967294" count="1" selected="0">
            <x v="0"/>
          </reference>
          <reference field="2" count="1" selected="0">
            <x v="0"/>
          </reference>
        </references>
      </pivotArea>
    </chartFormat>
    <chartFormat chart="40" format="12">
      <pivotArea type="data" outline="0" fieldPosition="0">
        <references count="2">
          <reference field="4294967294" count="1" selected="0">
            <x v="0"/>
          </reference>
          <reference field="2" count="1" selected="0">
            <x v="1"/>
          </reference>
        </references>
      </pivotArea>
    </chartFormat>
    <chartFormat chart="40" format="13">
      <pivotArea type="data" outline="0" fieldPosition="0">
        <references count="2">
          <reference field="4294967294" count="1" selected="0">
            <x v="0"/>
          </reference>
          <reference field="2" count="1" selected="0">
            <x v="2"/>
          </reference>
        </references>
      </pivotArea>
    </chartFormat>
    <chartFormat chart="40" format="14">
      <pivotArea type="data" outline="0" fieldPosition="0">
        <references count="2">
          <reference field="4294967294" count="1" selected="0">
            <x v="0"/>
          </reference>
          <reference field="2"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0F5782-9306-49BA-9DBB-E390AD9F3027}" name="Major Products - M&amp;F"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33:F55" firstHeaderRow="1" firstDataRow="2" firstDataCol="1"/>
  <pivotFields count="4">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2"/>
  </colFields>
  <colItems count="5">
    <i>
      <x/>
    </i>
    <i>
      <x v="1"/>
    </i>
    <i>
      <x v="2"/>
    </i>
    <i>
      <x v="3"/>
    </i>
    <i t="grand">
      <x/>
    </i>
  </colItems>
  <dataFields count="1">
    <dataField name="Sum of Quantity" fld="0" baseField="0" baseItem="0"/>
  </dataFields>
  <chartFormats count="7">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9" format="8" series="1">
      <pivotArea type="data" outline="0" fieldPosition="0">
        <references count="2">
          <reference field="4294967294" count="1" selected="0">
            <x v="0"/>
          </reference>
          <reference field="2" count="1" selected="0">
            <x v="0"/>
          </reference>
        </references>
      </pivotArea>
    </chartFormat>
    <chartFormat chart="29" format="9" series="1">
      <pivotArea type="data" outline="0" fieldPosition="0">
        <references count="2">
          <reference field="4294967294" count="1" selected="0">
            <x v="0"/>
          </reference>
          <reference field="2" count="1" selected="0">
            <x v="1"/>
          </reference>
        </references>
      </pivotArea>
    </chartFormat>
    <chartFormat chart="29" format="10" series="1">
      <pivotArea type="data" outline="0" fieldPosition="0">
        <references count="2">
          <reference field="4294967294" count="1" selected="0">
            <x v="0"/>
          </reference>
          <reference field="2" count="1" selected="0">
            <x v="2"/>
          </reference>
        </references>
      </pivotArea>
    </chartFormat>
    <chartFormat chart="29" format="11" series="1">
      <pivotArea type="data" outline="0" fieldPosition="0">
        <references count="2">
          <reference field="4294967294" count="1" selected="0">
            <x v="0"/>
          </reference>
          <reference field="2"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170496-DE1A-4553-A2AD-72278C981DDA}" name="Number of Qty"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5:B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fld="1" baseField="0" baseItem="0"/>
  </dataFields>
  <chartFormats count="1">
    <chartFormat chart="1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AEF6B-A34D-42D6-B236-23F2B3EDC1B2}" name="Rating by month"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A140:G145" firstHeaderRow="1" firstDataRow="2" firstDataCol="1"/>
  <pivotFields count="4">
    <pivotField dataField="1" subtotalTop="0" showAll="0" defaultSubtotal="0"/>
    <pivotField axis="axisCol" allDrilled="1" subtotalTop="0" showAll="0" dataSourceSort="1" defaultSubtotal="0" defaultAttributeDrillState="1">
      <items count="5">
        <item x="0"/>
        <item x="1"/>
        <item x="2"/>
        <item x="3"/>
        <item x="4"/>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6">
    <i>
      <x/>
    </i>
    <i>
      <x v="1"/>
    </i>
    <i>
      <x v="2"/>
    </i>
    <i>
      <x v="3"/>
    </i>
    <i>
      <x v="4"/>
    </i>
    <i t="grand">
      <x/>
    </i>
  </colItems>
  <dataFields count="1">
    <dataField name="Count of TX ID" fld="0" subtotal="count" baseField="0" baseItem="0"/>
  </dataFields>
  <chartFormats count="7">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40" format="10" series="1">
      <pivotArea type="data" outline="0" fieldPosition="0">
        <references count="2">
          <reference field="4294967294" count="1" selected="0">
            <x v="0"/>
          </reference>
          <reference field="1" count="1" selected="0">
            <x v="0"/>
          </reference>
        </references>
      </pivotArea>
    </chartFormat>
    <chartFormat chart="40" format="11" series="1">
      <pivotArea type="data" outline="0" fieldPosition="0">
        <references count="2">
          <reference field="4294967294" count="1" selected="0">
            <x v="0"/>
          </reference>
          <reference field="1" count="1" selected="0">
            <x v="1"/>
          </reference>
        </references>
      </pivotArea>
    </chartFormat>
    <chartFormat chart="40" format="12" series="1">
      <pivotArea type="data" outline="0" fieldPosition="0">
        <references count="2">
          <reference field="4294967294" count="1" selected="0">
            <x v="0"/>
          </reference>
          <reference field="1" count="1" selected="0">
            <x v="2"/>
          </reference>
        </references>
      </pivotArea>
    </chartFormat>
    <chartFormat chart="40" format="13" series="1">
      <pivotArea type="data" outline="0" fieldPosition="0">
        <references count="2">
          <reference field="4294967294" count="1" selected="0">
            <x v="0"/>
          </reference>
          <reference field="1" count="1" selected="0">
            <x v="3"/>
          </reference>
        </references>
      </pivotArea>
    </chartFormat>
    <chartFormat chart="40" format="14" series="1">
      <pivotArea type="data" outline="0" fieldPosition="0">
        <references count="2">
          <reference field="4294967294" count="1" selected="0">
            <x v="0"/>
          </reference>
          <reference field="1" count="1" selected="0">
            <x v="4"/>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0F785A-F8FB-4482-9E1D-CC6E58F897DC}" name="PivotTable12"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A119:B135" firstHeaderRow="1" firstDataRow="1" firstDataCol="1"/>
  <pivotFields count="3">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6461B6-A535-44F4-AD3C-51626BBCC0BC}" name="Week wise - product &amp; amoun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8:C2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2"/>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1" baseField="2" baseItem="0" numFmtId="164"/>
    <dataField name="Sum of Quantity" fld="0" baseField="0"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567976-9C13-4360-9479-F41C658A4166}" name="Ma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30">
  <location ref="A58:D116" firstHeaderRow="0" firstDataRow="1" firstDataCol="2"/>
  <pivotFields count="6">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3"/>
    <field x="4"/>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0" baseField="0" baseItem="0"/>
    <dataField name="Sum of Amount" fld="2" baseField="0" baseItem="0"/>
  </dataFields>
  <chartFormats count="3">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ays to Deliver"/>
    <pivotHierarchy dragToData="1" caption="Average of Rating C"/>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44D6A88-F171-4F96-870E-AB85AE504600}" sourceName="[orders].[Gender Value]">
  <pivotTables>
    <pivotTable tabId="5" name="Rating by month"/>
    <pivotTable tabId="5" name="Week wise - product &amp; amount"/>
    <pivotTable tabId="5" name="PivotTable12"/>
    <pivotTable tabId="5" name="Number of Qty"/>
    <pivotTable tabId="5" name="Map"/>
  </pivotTables>
  <data>
    <olap pivotCacheId="2004480628">
      <levels count="2">
        <level uniqueName="[orders].[Gender Value].[(All)]" sourceCaption="(All)" count="0"/>
        <level uniqueName="[orders].[Gender Value].[Gender Value]" sourceCaption="Gender Value" count="4">
          <ranges>
            <range startItem="0">
              <i n="[orders].[Gender Value].&amp;[Female]" c="Female"/>
              <i n="[orders].[Gender Value].&amp;[Male]" c="Male"/>
              <i n="[orders].[Gender Value].&amp;[Other]" c="Other"/>
              <i n="[orders].[Gender Value].&amp;[Unknown]" c="Unknown"/>
            </range>
          </ranges>
        </level>
      </levels>
      <selections count="1">
        <selection n="[orders].[Gender Valu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414A04F-9DCE-4DAC-A0F9-FC8D7EA604A0}" sourceName="[orders].[Order Mode]">
  <pivotTables>
    <pivotTable tabId="5" name="Rating by month"/>
    <pivotTable tabId="5" name="Week wise - product &amp; amount"/>
    <pivotTable tabId="5" name="Major Products - M&amp;F"/>
    <pivotTable tabId="5" name="PivotTable12"/>
    <pivotTable tabId="5" name="Number of Qty"/>
    <pivotTable tabId="5" name="Map"/>
  </pivotTables>
  <data>
    <olap pivotCacheId="2004480628">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1591C896-673A-4A65-A111-91CC7BF29003}" cache="Slicer_Gender_Value" caption="Gender Value" level="1" rowHeight="247650"/>
  <slicer name="Order Mode" xr10:uid="{17CC7693-EB27-454D-8DE5-138DAFB328E0}" cache="Slicer_Order_Mode" caption="Order Mod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P2401" totalsRowShown="0">
  <autoFilter ref="A1:P2401" xr:uid="{32EEAC7A-86FC-461F-9D5F-511044F2AF9D}"/>
  <tableColumns count="16">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5"/>
    <tableColumn id="7" xr3:uid="{43BB5DBF-46E1-4185-80C0-4361F55A385C}" name="Ship Date" dataDxfId="4"/>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
      <calculatedColumnFormula>orders[[#This Row],[Ship Date]]-orders[[#This Row],[Order Date]]</calculatedColumnFormula>
    </tableColumn>
    <tableColumn id="12" xr3:uid="{B071C0DA-87A9-4516-B4D9-4F5B7D3FF44A}" name="Weeknum" dataDxfId="2">
      <calculatedColumnFormula>WEEKNUM(orders[[#This Row],[Order Date]])</calculatedColumnFormula>
    </tableColumn>
    <tableColumn id="13" xr3:uid="{B8EA9E28-7541-4E76-9935-C26438661A18}" name="Gender Value" dataDxfId="1">
      <calculatedColumnFormula array="1">_xlfn.IFS(orders[[#This Row],[Customer Gender]]="M","Male", orders[[#This Row],[Customer Gender]]="F","Female", orders[[#This Row],[Customer Gender]]="O","Other", TRUE,"Unknown")</calculatedColumnFormula>
    </tableColumn>
    <tableColumn id="16" xr3:uid="{7BEA62F7-E852-4922-B8DA-E4A303326787}" name="Qty Group" dataDxfId="0">
      <calculatedColumnFormula array="1">_xlfn.IFS(orders[[#This Row],[Quantity]]&lt;=5,"1 to 5",orders[[#This Row],[Quantity]]&lt;=10,"6 to 10",orders[[#This Row],[Quantity]]&lt;=16,"11 to 16",orders[[#This Row],[Quantity]]&gt;16,"Above 16")</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Normal="100" workbookViewId="0">
      <selection activeCell="X9" sqref="X9"/>
    </sheetView>
  </sheetViews>
  <sheetFormatPr defaultRowHeight="14.4" x14ac:dyDescent="0.3"/>
  <cols>
    <col min="1" max="5" width="8.8867187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1FD7E-0E5F-4EB6-B9EB-3D67D011A63C}">
  <dimension ref="A3:M10"/>
  <sheetViews>
    <sheetView zoomScaleNormal="100" workbookViewId="0">
      <selection activeCell="C4" sqref="C4"/>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7" width="10.5546875" bestFit="1" customWidth="1"/>
    <col min="8" max="8" width="12.5546875" style="7" customWidth="1"/>
    <col min="9" max="9" width="9" style="7" customWidth="1"/>
    <col min="10" max="13" width="10.77734375" style="7" customWidth="1"/>
  </cols>
  <sheetData>
    <row r="3" spans="1:13" x14ac:dyDescent="0.3">
      <c r="A3" s="3" t="s">
        <v>2507</v>
      </c>
      <c r="B3" s="3" t="s">
        <v>2512</v>
      </c>
    </row>
    <row r="4" spans="1:13" ht="19.95" customHeight="1" x14ac:dyDescent="0.3">
      <c r="A4" s="3" t="s">
        <v>2510</v>
      </c>
      <c r="B4" t="s">
        <v>2513</v>
      </c>
      <c r="C4" t="s">
        <v>2514</v>
      </c>
      <c r="D4" t="s">
        <v>2515</v>
      </c>
      <c r="E4" t="s">
        <v>2516</v>
      </c>
      <c r="F4" t="s">
        <v>2511</v>
      </c>
      <c r="H4" s="8"/>
      <c r="I4" s="8" t="str">
        <f t="shared" ref="I4:L4" si="0">B4</f>
        <v>Female</v>
      </c>
      <c r="J4" s="8" t="str">
        <f t="shared" si="0"/>
        <v>Male</v>
      </c>
      <c r="K4" s="8" t="str">
        <f t="shared" si="0"/>
        <v>Other</v>
      </c>
      <c r="L4" s="8" t="str">
        <f t="shared" si="0"/>
        <v>Unknown</v>
      </c>
      <c r="M4" s="8" t="s">
        <v>2517</v>
      </c>
    </row>
    <row r="5" spans="1:13" ht="19.95" customHeight="1" x14ac:dyDescent="0.3">
      <c r="A5" s="4" t="s">
        <v>18</v>
      </c>
      <c r="B5" s="6">
        <v>0.18961825201634841</v>
      </c>
      <c r="C5" s="6">
        <v>0.12262322351336576</v>
      </c>
      <c r="D5" s="6">
        <v>1.060537752469185E-2</v>
      </c>
      <c r="E5" s="6">
        <v>3.0599220547662797E-2</v>
      </c>
      <c r="F5" s="6">
        <v>0.35344607360206881</v>
      </c>
      <c r="H5" s="8" t="str">
        <f>A5</f>
        <v>App</v>
      </c>
      <c r="I5" s="9">
        <f t="shared" ref="I5:M9" si="1">B5</f>
        <v>0.18961825201634841</v>
      </c>
      <c r="J5" s="9">
        <f t="shared" si="1"/>
        <v>0.12262322351336576</v>
      </c>
      <c r="K5" s="9">
        <f t="shared" si="1"/>
        <v>1.060537752469185E-2</v>
      </c>
      <c r="L5" s="9">
        <f t="shared" si="1"/>
        <v>3.0599220547662797E-2</v>
      </c>
      <c r="M5" s="9">
        <f>F5</f>
        <v>0.35344607360206881</v>
      </c>
    </row>
    <row r="6" spans="1:13" ht="19.95" customHeight="1" x14ac:dyDescent="0.3">
      <c r="A6" s="4" t="s">
        <v>51</v>
      </c>
      <c r="B6" s="6">
        <v>5.0283982091147303E-2</v>
      </c>
      <c r="C6" s="6">
        <v>4.3060781812819873E-2</v>
      </c>
      <c r="D6" s="6">
        <v>1.5320025675641944E-3</v>
      </c>
      <c r="E6" s="6">
        <v>1.7794988689097006E-2</v>
      </c>
      <c r="F6" s="6">
        <v>0.11267175516062837</v>
      </c>
      <c r="H6" s="8" t="str">
        <f t="shared" ref="H6:H9" si="2">A6</f>
        <v>Instagram</v>
      </c>
      <c r="I6" s="9">
        <f t="shared" si="1"/>
        <v>5.0283982091147303E-2</v>
      </c>
      <c r="J6" s="9">
        <f t="shared" si="1"/>
        <v>4.3060781812819873E-2</v>
      </c>
      <c r="K6" s="9">
        <f t="shared" si="1"/>
        <v>1.5320025675641944E-3</v>
      </c>
      <c r="L6" s="9">
        <f t="shared" si="1"/>
        <v>1.7794988689097006E-2</v>
      </c>
      <c r="M6" s="9">
        <f t="shared" si="1"/>
        <v>0.11267175516062837</v>
      </c>
    </row>
    <row r="7" spans="1:13" ht="19.95" customHeight="1" x14ac:dyDescent="0.3">
      <c r="A7" s="4" t="s">
        <v>70</v>
      </c>
      <c r="B7" s="6">
        <v>6.3496059750411282E-2</v>
      </c>
      <c r="C7" s="6">
        <v>4.6071629863988765E-2</v>
      </c>
      <c r="D7" s="6">
        <v>2.306247051322625E-3</v>
      </c>
      <c r="E7" s="6">
        <v>3.8927934093844286E-3</v>
      </c>
      <c r="F7" s="6">
        <v>0.11576673007510711</v>
      </c>
      <c r="H7" s="8" t="str">
        <f t="shared" si="2"/>
        <v>Partner App</v>
      </c>
      <c r="I7" s="9">
        <f t="shared" si="1"/>
        <v>6.3496059750411282E-2</v>
      </c>
      <c r="J7" s="9">
        <f t="shared" si="1"/>
        <v>4.6071629863988765E-2</v>
      </c>
      <c r="K7" s="9">
        <f t="shared" si="1"/>
        <v>2.306247051322625E-3</v>
      </c>
      <c r="L7" s="9">
        <f t="shared" si="1"/>
        <v>3.8927934093844286E-3</v>
      </c>
      <c r="M7" s="9">
        <f t="shared" si="1"/>
        <v>0.11576673007510711</v>
      </c>
    </row>
    <row r="8" spans="1:13" ht="19.95" customHeight="1" x14ac:dyDescent="0.3">
      <c r="A8" s="4" t="s">
        <v>40</v>
      </c>
      <c r="B8" s="6">
        <v>9.6337892927149532E-2</v>
      </c>
      <c r="C8" s="6">
        <v>6.7920115842382611E-2</v>
      </c>
      <c r="D8" s="6">
        <v>5.4979832664581261E-3</v>
      </c>
      <c r="E8" s="6">
        <v>1.2933041488102518E-2</v>
      </c>
      <c r="F8" s="6">
        <v>0.1826890335240928</v>
      </c>
      <c r="H8" s="8" t="str">
        <f t="shared" si="2"/>
        <v>Target.com</v>
      </c>
      <c r="I8" s="9">
        <f t="shared" si="1"/>
        <v>9.6337892927149532E-2</v>
      </c>
      <c r="J8" s="9">
        <f t="shared" si="1"/>
        <v>6.7920115842382611E-2</v>
      </c>
      <c r="K8" s="9">
        <f t="shared" si="1"/>
        <v>5.4979832664581261E-3</v>
      </c>
      <c r="L8" s="9">
        <f t="shared" si="1"/>
        <v>1.2933041488102518E-2</v>
      </c>
      <c r="M8" s="9">
        <f t="shared" si="1"/>
        <v>0.1826890335240928</v>
      </c>
    </row>
    <row r="9" spans="1:13" ht="19.95" customHeight="1" x14ac:dyDescent="0.3">
      <c r="A9" s="4" t="s">
        <v>35</v>
      </c>
      <c r="B9" s="6">
        <v>0.12522098709469262</v>
      </c>
      <c r="C9" s="6">
        <v>9.1492740283116228E-2</v>
      </c>
      <c r="D9" s="6">
        <v>6.3042760790965081E-3</v>
      </c>
      <c r="E9" s="6">
        <v>1.2408404181197551E-2</v>
      </c>
      <c r="F9" s="6">
        <v>0.23542640763810288</v>
      </c>
      <c r="H9" s="8" t="str">
        <f t="shared" si="2"/>
        <v>Website</v>
      </c>
      <c r="I9" s="9">
        <f t="shared" si="1"/>
        <v>0.12522098709469262</v>
      </c>
      <c r="J9" s="9">
        <f t="shared" si="1"/>
        <v>9.1492740283116228E-2</v>
      </c>
      <c r="K9" s="9">
        <f t="shared" si="1"/>
        <v>6.3042760790965081E-3</v>
      </c>
      <c r="L9" s="9">
        <f t="shared" si="1"/>
        <v>1.2408404181197551E-2</v>
      </c>
      <c r="M9" s="9">
        <f t="shared" si="1"/>
        <v>0.23542640763810288</v>
      </c>
    </row>
    <row r="10" spans="1:13" x14ac:dyDescent="0.3">
      <c r="A10" s="4" t="s">
        <v>2511</v>
      </c>
      <c r="B10" s="6">
        <v>0.52495717387974916</v>
      </c>
      <c r="C10" s="6">
        <v>0.3711684913156732</v>
      </c>
      <c r="D10" s="6">
        <v>2.6245886489133303E-2</v>
      </c>
      <c r="E10" s="6">
        <v>7.7628448315444312E-2</v>
      </c>
      <c r="F10" s="6">
        <v>1</v>
      </c>
    </row>
  </sheetData>
  <conditionalFormatting sqref="I5:M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D6232-0458-4C01-9548-0E8C6C5ED317}">
  <dimension ref="A3:M145"/>
  <sheetViews>
    <sheetView topLeftCell="A87" workbookViewId="0">
      <selection activeCell="M114" sqref="M114"/>
    </sheetView>
  </sheetViews>
  <sheetFormatPr defaultRowHeight="14.4" x14ac:dyDescent="0.3"/>
  <cols>
    <col min="1" max="1" width="12.44140625" bestFit="1" customWidth="1"/>
    <col min="2" max="2" width="19.6640625" bestFit="1" customWidth="1"/>
    <col min="3" max="3" width="14.21875" bestFit="1" customWidth="1"/>
    <col min="4" max="4" width="13.5546875" bestFit="1" customWidth="1"/>
    <col min="5" max="5" width="5" bestFit="1" customWidth="1"/>
    <col min="6" max="6" width="4" bestFit="1" customWidth="1"/>
    <col min="7" max="7" width="10.5546875" bestFit="1" customWidth="1"/>
    <col min="8" max="8" width="12.44140625" bestFit="1" customWidth="1"/>
    <col min="9" max="9" width="14.21875" bestFit="1" customWidth="1"/>
    <col min="10" max="10" width="18.77734375" bestFit="1" customWidth="1"/>
    <col min="11" max="11" width="20.77734375" bestFit="1" customWidth="1"/>
    <col min="12" max="12" width="16.88671875" customWidth="1"/>
    <col min="13" max="13" width="14.21875" customWidth="1"/>
  </cols>
  <sheetData>
    <row r="3" spans="1:11" x14ac:dyDescent="0.3">
      <c r="A3" t="s">
        <v>2504</v>
      </c>
      <c r="B3" t="s">
        <v>2507</v>
      </c>
      <c r="C3" t="s">
        <v>2503</v>
      </c>
      <c r="D3" t="s">
        <v>2508</v>
      </c>
      <c r="E3" t="s">
        <v>2509</v>
      </c>
      <c r="G3" t="s">
        <v>2504</v>
      </c>
      <c r="H3" t="s">
        <v>2507</v>
      </c>
      <c r="I3" t="s">
        <v>2503</v>
      </c>
      <c r="J3" t="s">
        <v>2505</v>
      </c>
      <c r="K3" t="s">
        <v>2506</v>
      </c>
    </row>
    <row r="4" spans="1:11" x14ac:dyDescent="0.3">
      <c r="A4">
        <v>2400</v>
      </c>
      <c r="B4">
        <v>649019.80000000144</v>
      </c>
      <c r="C4">
        <v>11997</v>
      </c>
      <c r="D4">
        <v>2.3424999999999998</v>
      </c>
      <c r="E4">
        <v>3.9620833333333332</v>
      </c>
      <c r="G4" t="str">
        <f>TEXT(A4,"#,##")</f>
        <v>2,400</v>
      </c>
      <c r="H4" t="str">
        <f>TEXT(B4,"$,#,##,.0K")</f>
        <v>$,649.0K</v>
      </c>
      <c r="I4" t="str">
        <f>TEXT(C4,"#,##")</f>
        <v>11,997</v>
      </c>
      <c r="J4" t="str">
        <f>TEXT(D4,"0.0")</f>
        <v>2.3</v>
      </c>
      <c r="K4" t="str">
        <f>TEXT(E4,"0.0")</f>
        <v>4.0</v>
      </c>
    </row>
    <row r="8" spans="1:11" x14ac:dyDescent="0.3">
      <c r="A8" s="3" t="s">
        <v>2510</v>
      </c>
      <c r="B8" t="s">
        <v>2507</v>
      </c>
      <c r="C8" t="s">
        <v>2503</v>
      </c>
    </row>
    <row r="9" spans="1:11" x14ac:dyDescent="0.3">
      <c r="A9" s="4">
        <v>1</v>
      </c>
      <c r="B9" s="5">
        <v>32413.300000000003</v>
      </c>
      <c r="C9">
        <v>546</v>
      </c>
    </row>
    <row r="10" spans="1:11" x14ac:dyDescent="0.3">
      <c r="A10" s="4">
        <v>2</v>
      </c>
      <c r="B10" s="5">
        <v>49562.999999999993</v>
      </c>
      <c r="C10">
        <v>905</v>
      </c>
    </row>
    <row r="11" spans="1:11" x14ac:dyDescent="0.3">
      <c r="A11" s="4">
        <v>3</v>
      </c>
      <c r="B11" s="5">
        <v>41700.400000000016</v>
      </c>
      <c r="C11">
        <v>796</v>
      </c>
    </row>
    <row r="12" spans="1:11" x14ac:dyDescent="0.3">
      <c r="A12" s="4">
        <v>4</v>
      </c>
      <c r="B12" s="5">
        <v>46782.599999999984</v>
      </c>
      <c r="C12">
        <v>913</v>
      </c>
    </row>
    <row r="13" spans="1:11" x14ac:dyDescent="0.3">
      <c r="A13" s="4">
        <v>5</v>
      </c>
      <c r="B13" s="5">
        <v>42676.100000000006</v>
      </c>
      <c r="C13">
        <v>844</v>
      </c>
    </row>
    <row r="14" spans="1:11" x14ac:dyDescent="0.3">
      <c r="A14" s="4">
        <v>6</v>
      </c>
      <c r="B14" s="5">
        <v>62910.7</v>
      </c>
      <c r="C14">
        <v>1202</v>
      </c>
    </row>
    <row r="15" spans="1:11" x14ac:dyDescent="0.3">
      <c r="A15" s="4">
        <v>7</v>
      </c>
      <c r="B15" s="5">
        <v>50332.200000000004</v>
      </c>
      <c r="C15">
        <v>935</v>
      </c>
    </row>
    <row r="16" spans="1:11" x14ac:dyDescent="0.3">
      <c r="A16" s="4">
        <v>8</v>
      </c>
      <c r="B16" s="5">
        <v>58760.599999999977</v>
      </c>
      <c r="C16">
        <v>1128</v>
      </c>
    </row>
    <row r="17" spans="1:3" x14ac:dyDescent="0.3">
      <c r="A17" s="4">
        <v>9</v>
      </c>
      <c r="B17" s="5">
        <v>52017.299999999996</v>
      </c>
      <c r="C17">
        <v>1007</v>
      </c>
    </row>
    <row r="18" spans="1:3" x14ac:dyDescent="0.3">
      <c r="A18" s="4">
        <v>10</v>
      </c>
      <c r="B18" s="5">
        <v>64915.700000000033</v>
      </c>
      <c r="C18">
        <v>1128</v>
      </c>
    </row>
    <row r="19" spans="1:3" x14ac:dyDescent="0.3">
      <c r="A19" s="4">
        <v>11</v>
      </c>
      <c r="B19" s="5">
        <v>45943.80000000001</v>
      </c>
      <c r="C19">
        <v>861</v>
      </c>
    </row>
    <row r="20" spans="1:3" x14ac:dyDescent="0.3">
      <c r="A20" s="4">
        <v>12</v>
      </c>
      <c r="B20" s="5">
        <v>55077.900000000031</v>
      </c>
      <c r="C20">
        <v>944</v>
      </c>
    </row>
    <row r="21" spans="1:3" x14ac:dyDescent="0.3">
      <c r="A21" s="4">
        <v>13</v>
      </c>
      <c r="B21" s="5">
        <v>45926.19999999999</v>
      </c>
      <c r="C21">
        <v>788</v>
      </c>
    </row>
    <row r="22" spans="1:3" x14ac:dyDescent="0.3">
      <c r="A22" s="4" t="s">
        <v>2511</v>
      </c>
      <c r="B22" s="5">
        <v>649019.80000000144</v>
      </c>
      <c r="C22">
        <v>11997</v>
      </c>
    </row>
    <row r="25" spans="1:3" x14ac:dyDescent="0.3">
      <c r="A25" s="3" t="s">
        <v>2510</v>
      </c>
      <c r="B25" t="s">
        <v>2503</v>
      </c>
    </row>
    <row r="26" spans="1:3" x14ac:dyDescent="0.3">
      <c r="A26" s="4" t="s">
        <v>2519</v>
      </c>
      <c r="B26">
        <v>4561</v>
      </c>
    </row>
    <row r="27" spans="1:3" x14ac:dyDescent="0.3">
      <c r="A27" s="4" t="s">
        <v>2522</v>
      </c>
      <c r="B27">
        <v>1773</v>
      </c>
    </row>
    <row r="28" spans="1:3" x14ac:dyDescent="0.3">
      <c r="A28" s="4" t="s">
        <v>2520</v>
      </c>
      <c r="B28">
        <v>3112</v>
      </c>
    </row>
    <row r="29" spans="1:3" x14ac:dyDescent="0.3">
      <c r="A29" s="4" t="s">
        <v>2521</v>
      </c>
      <c r="B29">
        <v>2551</v>
      </c>
    </row>
    <row r="30" spans="1:3" x14ac:dyDescent="0.3">
      <c r="A30" s="4" t="s">
        <v>2511</v>
      </c>
      <c r="B30">
        <v>11997</v>
      </c>
    </row>
    <row r="33" spans="1:9" x14ac:dyDescent="0.3">
      <c r="A33" s="3" t="s">
        <v>2503</v>
      </c>
      <c r="B33" s="3" t="s">
        <v>2512</v>
      </c>
      <c r="H33" s="3" t="s">
        <v>2510</v>
      </c>
      <c r="I33" t="s">
        <v>2503</v>
      </c>
    </row>
    <row r="34" spans="1:9" x14ac:dyDescent="0.3">
      <c r="A34" s="3" t="s">
        <v>2510</v>
      </c>
      <c r="C34" t="s">
        <v>27</v>
      </c>
      <c r="D34" t="s">
        <v>23</v>
      </c>
      <c r="E34" t="s">
        <v>89</v>
      </c>
      <c r="F34" t="s">
        <v>2511</v>
      </c>
      <c r="H34" s="4" t="s">
        <v>2513</v>
      </c>
      <c r="I34">
        <v>6272</v>
      </c>
    </row>
    <row r="35" spans="1:9" x14ac:dyDescent="0.3">
      <c r="A35" s="4" t="s">
        <v>44</v>
      </c>
      <c r="B35">
        <v>98</v>
      </c>
      <c r="C35">
        <v>744</v>
      </c>
      <c r="D35">
        <v>713</v>
      </c>
      <c r="E35">
        <v>90</v>
      </c>
      <c r="F35">
        <v>1645</v>
      </c>
      <c r="H35" s="4" t="s">
        <v>2514</v>
      </c>
      <c r="I35">
        <v>4672</v>
      </c>
    </row>
    <row r="36" spans="1:9" x14ac:dyDescent="0.3">
      <c r="A36" s="4" t="s">
        <v>39</v>
      </c>
      <c r="B36">
        <v>214</v>
      </c>
      <c r="C36">
        <v>716</v>
      </c>
      <c r="D36">
        <v>598</v>
      </c>
      <c r="E36">
        <v>18</v>
      </c>
      <c r="F36">
        <v>1546</v>
      </c>
      <c r="H36" s="4" t="s">
        <v>2515</v>
      </c>
      <c r="I36">
        <v>317</v>
      </c>
    </row>
    <row r="37" spans="1:9" x14ac:dyDescent="0.3">
      <c r="A37" s="4" t="s">
        <v>26</v>
      </c>
      <c r="B37">
        <v>137</v>
      </c>
      <c r="C37">
        <v>627</v>
      </c>
      <c r="D37">
        <v>393</v>
      </c>
      <c r="E37">
        <v>29</v>
      </c>
      <c r="F37">
        <v>1186</v>
      </c>
      <c r="H37" s="4" t="s">
        <v>2516</v>
      </c>
      <c r="I37">
        <v>736</v>
      </c>
    </row>
    <row r="38" spans="1:9" x14ac:dyDescent="0.3">
      <c r="A38" s="4" t="s">
        <v>22</v>
      </c>
      <c r="B38">
        <v>16</v>
      </c>
      <c r="C38">
        <v>568</v>
      </c>
      <c r="D38">
        <v>306</v>
      </c>
      <c r="E38">
        <v>22</v>
      </c>
      <c r="F38">
        <v>912</v>
      </c>
      <c r="H38" s="4" t="s">
        <v>2511</v>
      </c>
      <c r="I38">
        <v>11997</v>
      </c>
    </row>
    <row r="39" spans="1:9" x14ac:dyDescent="0.3">
      <c r="A39" s="4" t="s">
        <v>54</v>
      </c>
      <c r="B39">
        <v>22</v>
      </c>
      <c r="C39">
        <v>482</v>
      </c>
      <c r="D39">
        <v>295</v>
      </c>
      <c r="E39">
        <v>8</v>
      </c>
      <c r="F39">
        <v>807</v>
      </c>
    </row>
    <row r="40" spans="1:9" x14ac:dyDescent="0.3">
      <c r="A40" s="4" t="s">
        <v>16</v>
      </c>
      <c r="B40">
        <v>24</v>
      </c>
      <c r="C40">
        <v>428</v>
      </c>
      <c r="D40">
        <v>293</v>
      </c>
      <c r="F40">
        <v>745</v>
      </c>
    </row>
    <row r="41" spans="1:9" x14ac:dyDescent="0.3">
      <c r="A41" s="4" t="s">
        <v>46</v>
      </c>
      <c r="B41">
        <v>39</v>
      </c>
      <c r="C41">
        <v>445</v>
      </c>
      <c r="D41">
        <v>202</v>
      </c>
      <c r="E41">
        <v>14</v>
      </c>
      <c r="F41">
        <v>700</v>
      </c>
    </row>
    <row r="42" spans="1:9" x14ac:dyDescent="0.3">
      <c r="A42" s="4" t="s">
        <v>32</v>
      </c>
      <c r="B42">
        <v>15</v>
      </c>
      <c r="C42">
        <v>431</v>
      </c>
      <c r="D42">
        <v>187</v>
      </c>
      <c r="E42">
        <v>14</v>
      </c>
      <c r="F42">
        <v>647</v>
      </c>
    </row>
    <row r="43" spans="1:9" x14ac:dyDescent="0.3">
      <c r="A43" s="4" t="s">
        <v>42</v>
      </c>
      <c r="B43">
        <v>9</v>
      </c>
      <c r="C43">
        <v>264</v>
      </c>
      <c r="D43">
        <v>318</v>
      </c>
      <c r="E43">
        <v>15</v>
      </c>
      <c r="F43">
        <v>606</v>
      </c>
    </row>
    <row r="44" spans="1:9" x14ac:dyDescent="0.3">
      <c r="A44" s="4" t="s">
        <v>37</v>
      </c>
      <c r="B44">
        <v>23</v>
      </c>
      <c r="C44">
        <v>296</v>
      </c>
      <c r="D44">
        <v>275</v>
      </c>
      <c r="E44">
        <v>9</v>
      </c>
      <c r="F44">
        <v>603</v>
      </c>
    </row>
    <row r="45" spans="1:9" x14ac:dyDescent="0.3">
      <c r="A45" s="4" t="s">
        <v>123</v>
      </c>
      <c r="B45">
        <v>8</v>
      </c>
      <c r="C45">
        <v>153</v>
      </c>
      <c r="D45">
        <v>246</v>
      </c>
      <c r="E45">
        <v>30</v>
      </c>
      <c r="F45">
        <v>437</v>
      </c>
    </row>
    <row r="46" spans="1:9" x14ac:dyDescent="0.3">
      <c r="A46" s="4" t="s">
        <v>146</v>
      </c>
      <c r="B46">
        <v>31</v>
      </c>
      <c r="C46">
        <v>189</v>
      </c>
      <c r="D46">
        <v>168</v>
      </c>
      <c r="E46">
        <v>10</v>
      </c>
      <c r="F46">
        <v>398</v>
      </c>
    </row>
    <row r="47" spans="1:9" x14ac:dyDescent="0.3">
      <c r="A47" s="4" t="s">
        <v>69</v>
      </c>
      <c r="B47">
        <v>24</v>
      </c>
      <c r="C47">
        <v>234</v>
      </c>
      <c r="D47">
        <v>93</v>
      </c>
      <c r="E47">
        <v>19</v>
      </c>
      <c r="F47">
        <v>370</v>
      </c>
    </row>
    <row r="48" spans="1:9" x14ac:dyDescent="0.3">
      <c r="A48" s="4" t="s">
        <v>30</v>
      </c>
      <c r="B48">
        <v>28</v>
      </c>
      <c r="C48">
        <v>146</v>
      </c>
      <c r="D48">
        <v>94</v>
      </c>
      <c r="E48">
        <v>4</v>
      </c>
      <c r="F48">
        <v>272</v>
      </c>
    </row>
    <row r="49" spans="1:13" x14ac:dyDescent="0.3">
      <c r="A49" s="4" t="s">
        <v>135</v>
      </c>
      <c r="B49">
        <v>12</v>
      </c>
      <c r="C49">
        <v>127</v>
      </c>
      <c r="D49">
        <v>118</v>
      </c>
      <c r="E49">
        <v>13</v>
      </c>
      <c r="F49">
        <v>270</v>
      </c>
    </row>
    <row r="50" spans="1:13" x14ac:dyDescent="0.3">
      <c r="A50" s="4" t="s">
        <v>67</v>
      </c>
      <c r="C50">
        <v>179</v>
      </c>
      <c r="D50">
        <v>76</v>
      </c>
      <c r="E50">
        <v>3</v>
      </c>
      <c r="F50">
        <v>258</v>
      </c>
    </row>
    <row r="51" spans="1:13" x14ac:dyDescent="0.3">
      <c r="A51" s="4" t="s">
        <v>128</v>
      </c>
      <c r="B51">
        <v>24</v>
      </c>
      <c r="C51">
        <v>99</v>
      </c>
      <c r="D51">
        <v>69</v>
      </c>
      <c r="E51">
        <v>3</v>
      </c>
      <c r="F51">
        <v>195</v>
      </c>
    </row>
    <row r="52" spans="1:13" x14ac:dyDescent="0.3">
      <c r="A52" s="4" t="s">
        <v>76</v>
      </c>
      <c r="B52">
        <v>6</v>
      </c>
      <c r="C52">
        <v>75</v>
      </c>
      <c r="D52">
        <v>103</v>
      </c>
      <c r="E52">
        <v>4</v>
      </c>
      <c r="F52">
        <v>188</v>
      </c>
    </row>
    <row r="53" spans="1:13" x14ac:dyDescent="0.3">
      <c r="A53" s="4" t="s">
        <v>81</v>
      </c>
      <c r="B53">
        <v>6</v>
      </c>
      <c r="C53">
        <v>43</v>
      </c>
      <c r="D53">
        <v>90</v>
      </c>
      <c r="E53">
        <v>8</v>
      </c>
      <c r="F53">
        <v>147</v>
      </c>
    </row>
    <row r="54" spans="1:13" x14ac:dyDescent="0.3">
      <c r="A54" s="4" t="s">
        <v>171</v>
      </c>
      <c r="C54">
        <v>26</v>
      </c>
      <c r="D54">
        <v>35</v>
      </c>
      <c r="E54">
        <v>4</v>
      </c>
      <c r="F54">
        <v>65</v>
      </c>
    </row>
    <row r="55" spans="1:13" x14ac:dyDescent="0.3">
      <c r="A55" s="4" t="s">
        <v>2511</v>
      </c>
      <c r="B55">
        <v>736</v>
      </c>
      <c r="C55">
        <v>6272</v>
      </c>
      <c r="D55">
        <v>4672</v>
      </c>
      <c r="E55">
        <v>317</v>
      </c>
      <c r="F55">
        <v>11997</v>
      </c>
    </row>
    <row r="58" spans="1:13" x14ac:dyDescent="0.3">
      <c r="A58" s="3" t="s">
        <v>10</v>
      </c>
      <c r="B58" s="3" t="s">
        <v>11</v>
      </c>
      <c r="C58" t="s">
        <v>2503</v>
      </c>
      <c r="D58" t="s">
        <v>2507</v>
      </c>
      <c r="G58" t="str">
        <f>A58</f>
        <v>State</v>
      </c>
      <c r="H58" t="str">
        <f t="shared" ref="H58:I58" si="0">B58</f>
        <v>County</v>
      </c>
      <c r="I58" t="str">
        <f t="shared" si="0"/>
        <v>Sum of Quantity</v>
      </c>
      <c r="K58" t="str">
        <f>A58</f>
        <v>State</v>
      </c>
      <c r="L58" t="str">
        <f>B58</f>
        <v>County</v>
      </c>
      <c r="M58" t="str">
        <f>D58</f>
        <v>Sum of Amount</v>
      </c>
    </row>
    <row r="59" spans="1:13" x14ac:dyDescent="0.3">
      <c r="A59" t="s">
        <v>19</v>
      </c>
      <c r="B59" t="s">
        <v>115</v>
      </c>
      <c r="C59">
        <v>579</v>
      </c>
      <c r="D59">
        <v>31884.999999999996</v>
      </c>
      <c r="G59" t="str">
        <f>IF(A59="","",A59)</f>
        <v>California</v>
      </c>
      <c r="H59" t="str">
        <f t="shared" ref="H59:I59" si="1">IF(B59="","",B59)</f>
        <v>Alameda County</v>
      </c>
      <c r="I59">
        <f t="shared" si="1"/>
        <v>579</v>
      </c>
      <c r="K59" t="str">
        <f>IF(A59="","",A59)</f>
        <v>California</v>
      </c>
      <c r="L59" t="str">
        <f>IF(B59="","",B59)</f>
        <v>Alameda County</v>
      </c>
      <c r="M59">
        <f>IF(D59="","",D59)</f>
        <v>31884.999999999996</v>
      </c>
    </row>
    <row r="60" spans="1:13" x14ac:dyDescent="0.3">
      <c r="A60" t="s">
        <v>19</v>
      </c>
      <c r="B60" t="s">
        <v>20</v>
      </c>
      <c r="C60">
        <v>1</v>
      </c>
      <c r="D60">
        <v>10.9</v>
      </c>
      <c r="G60" t="str">
        <f t="shared" ref="G60:G116" si="2">IF(A60="","",A60)</f>
        <v>California</v>
      </c>
      <c r="H60" t="str">
        <f t="shared" ref="H60:H116" si="3">IF(B60="","",B60)</f>
        <v>Alpine County</v>
      </c>
      <c r="I60">
        <f t="shared" ref="I60:I116" si="4">IF(C60="","",C60)</f>
        <v>1</v>
      </c>
      <c r="K60" t="str">
        <f t="shared" ref="K60:K116" si="5">IF(A60="","",A60)</f>
        <v>California</v>
      </c>
      <c r="L60" t="str">
        <f t="shared" ref="L60:L116" si="6">IF(B60="","",B60)</f>
        <v>Alpine County</v>
      </c>
      <c r="M60">
        <f t="shared" ref="M60:M116" si="7">IF(D60="","",D60)</f>
        <v>10.9</v>
      </c>
    </row>
    <row r="61" spans="1:13" x14ac:dyDescent="0.3">
      <c r="A61" t="s">
        <v>19</v>
      </c>
      <c r="B61" t="s">
        <v>641</v>
      </c>
      <c r="C61">
        <v>9</v>
      </c>
      <c r="D61">
        <v>800.3</v>
      </c>
      <c r="G61" t="str">
        <f t="shared" si="2"/>
        <v>California</v>
      </c>
      <c r="H61" t="str">
        <f t="shared" si="3"/>
        <v>Amador County</v>
      </c>
      <c r="I61">
        <f t="shared" si="4"/>
        <v>9</v>
      </c>
      <c r="K61" t="str">
        <f t="shared" si="5"/>
        <v>California</v>
      </c>
      <c r="L61" t="str">
        <f t="shared" si="6"/>
        <v>Amador County</v>
      </c>
      <c r="M61">
        <f t="shared" si="7"/>
        <v>800.3</v>
      </c>
    </row>
    <row r="62" spans="1:13" x14ac:dyDescent="0.3">
      <c r="A62" t="s">
        <v>19</v>
      </c>
      <c r="B62" t="s">
        <v>967</v>
      </c>
      <c r="C62">
        <v>35</v>
      </c>
      <c r="D62">
        <v>1062.5999999999999</v>
      </c>
      <c r="G62" t="str">
        <f t="shared" si="2"/>
        <v>California</v>
      </c>
      <c r="H62" t="str">
        <f t="shared" si="3"/>
        <v>Butte County</v>
      </c>
      <c r="I62">
        <f t="shared" si="4"/>
        <v>35</v>
      </c>
      <c r="K62" t="str">
        <f t="shared" si="5"/>
        <v>California</v>
      </c>
      <c r="L62" t="str">
        <f t="shared" si="6"/>
        <v>Butte County</v>
      </c>
      <c r="M62">
        <f t="shared" si="7"/>
        <v>1062.5999999999999</v>
      </c>
    </row>
    <row r="63" spans="1:13" x14ac:dyDescent="0.3">
      <c r="A63" t="s">
        <v>19</v>
      </c>
      <c r="B63" t="s">
        <v>84</v>
      </c>
      <c r="C63">
        <v>12</v>
      </c>
      <c r="D63">
        <v>326.20000000000005</v>
      </c>
      <c r="G63" t="str">
        <f t="shared" si="2"/>
        <v>California</v>
      </c>
      <c r="H63" t="str">
        <f t="shared" si="3"/>
        <v>Calaveras County</v>
      </c>
      <c r="I63">
        <f t="shared" si="4"/>
        <v>12</v>
      </c>
      <c r="K63" t="str">
        <f t="shared" si="5"/>
        <v>California</v>
      </c>
      <c r="L63" t="str">
        <f t="shared" si="6"/>
        <v>Calaveras County</v>
      </c>
      <c r="M63">
        <f t="shared" si="7"/>
        <v>326.20000000000005</v>
      </c>
    </row>
    <row r="64" spans="1:13" x14ac:dyDescent="0.3">
      <c r="A64" t="s">
        <v>19</v>
      </c>
      <c r="B64" t="s">
        <v>1383</v>
      </c>
      <c r="C64">
        <v>4</v>
      </c>
      <c r="D64">
        <v>167.5</v>
      </c>
      <c r="G64" t="str">
        <f t="shared" si="2"/>
        <v>California</v>
      </c>
      <c r="H64" t="str">
        <f t="shared" si="3"/>
        <v>Colusa County</v>
      </c>
      <c r="I64">
        <f t="shared" si="4"/>
        <v>4</v>
      </c>
      <c r="K64" t="str">
        <f t="shared" si="5"/>
        <v>California</v>
      </c>
      <c r="L64" t="str">
        <f t="shared" si="6"/>
        <v>Colusa County</v>
      </c>
      <c r="M64">
        <f t="shared" si="7"/>
        <v>167.5</v>
      </c>
    </row>
    <row r="65" spans="1:13" x14ac:dyDescent="0.3">
      <c r="A65" t="s">
        <v>19</v>
      </c>
      <c r="B65" t="s">
        <v>24</v>
      </c>
      <c r="C65">
        <v>341</v>
      </c>
      <c r="D65">
        <v>16168.7</v>
      </c>
      <c r="G65" t="str">
        <f t="shared" si="2"/>
        <v>California</v>
      </c>
      <c r="H65" t="str">
        <f t="shared" si="3"/>
        <v>Contra Costa County</v>
      </c>
      <c r="I65">
        <f t="shared" si="4"/>
        <v>341</v>
      </c>
      <c r="K65" t="str">
        <f t="shared" si="5"/>
        <v>California</v>
      </c>
      <c r="L65" t="str">
        <f t="shared" si="6"/>
        <v>Contra Costa County</v>
      </c>
      <c r="M65">
        <f t="shared" si="7"/>
        <v>16168.7</v>
      </c>
    </row>
    <row r="66" spans="1:13" x14ac:dyDescent="0.3">
      <c r="A66" t="s">
        <v>19</v>
      </c>
      <c r="B66" t="s">
        <v>2204</v>
      </c>
      <c r="C66">
        <v>13</v>
      </c>
      <c r="D66">
        <v>322.40000000000003</v>
      </c>
      <c r="G66" t="str">
        <f t="shared" si="2"/>
        <v>California</v>
      </c>
      <c r="H66" t="str">
        <f t="shared" si="3"/>
        <v>Del Norte County</v>
      </c>
      <c r="I66">
        <f t="shared" si="4"/>
        <v>13</v>
      </c>
      <c r="K66" t="str">
        <f t="shared" si="5"/>
        <v>California</v>
      </c>
      <c r="L66" t="str">
        <f t="shared" si="6"/>
        <v>Del Norte County</v>
      </c>
      <c r="M66">
        <f t="shared" si="7"/>
        <v>322.40000000000003</v>
      </c>
    </row>
    <row r="67" spans="1:13" x14ac:dyDescent="0.3">
      <c r="A67" t="s">
        <v>19</v>
      </c>
      <c r="B67" t="s">
        <v>437</v>
      </c>
      <c r="C67">
        <v>31</v>
      </c>
      <c r="D67">
        <v>2092.8000000000002</v>
      </c>
      <c r="G67" t="str">
        <f t="shared" si="2"/>
        <v>California</v>
      </c>
      <c r="H67" t="str">
        <f t="shared" si="3"/>
        <v>El Dorado County</v>
      </c>
      <c r="I67">
        <f t="shared" si="4"/>
        <v>31</v>
      </c>
      <c r="K67" t="str">
        <f t="shared" si="5"/>
        <v>California</v>
      </c>
      <c r="L67" t="str">
        <f t="shared" si="6"/>
        <v>El Dorado County</v>
      </c>
      <c r="M67">
        <f t="shared" si="7"/>
        <v>2092.8000000000002</v>
      </c>
    </row>
    <row r="68" spans="1:13" x14ac:dyDescent="0.3">
      <c r="A68" t="s">
        <v>19</v>
      </c>
      <c r="B68" t="s">
        <v>28</v>
      </c>
      <c r="C68">
        <v>279</v>
      </c>
      <c r="D68">
        <v>12662.500000000002</v>
      </c>
      <c r="G68" t="str">
        <f t="shared" si="2"/>
        <v>California</v>
      </c>
      <c r="H68" t="str">
        <f t="shared" si="3"/>
        <v>Fresno County</v>
      </c>
      <c r="I68">
        <f t="shared" si="4"/>
        <v>279</v>
      </c>
      <c r="K68" t="str">
        <f t="shared" si="5"/>
        <v>California</v>
      </c>
      <c r="L68" t="str">
        <f t="shared" si="6"/>
        <v>Fresno County</v>
      </c>
      <c r="M68">
        <f t="shared" si="7"/>
        <v>12662.500000000002</v>
      </c>
    </row>
    <row r="69" spans="1:13" x14ac:dyDescent="0.3">
      <c r="A69" t="s">
        <v>19</v>
      </c>
      <c r="B69" t="s">
        <v>208</v>
      </c>
      <c r="C69">
        <v>9</v>
      </c>
      <c r="D69">
        <v>343.2</v>
      </c>
      <c r="G69" t="str">
        <f t="shared" si="2"/>
        <v>California</v>
      </c>
      <c r="H69" t="str">
        <f t="shared" si="3"/>
        <v>Glenn County</v>
      </c>
      <c r="I69">
        <f t="shared" si="4"/>
        <v>9</v>
      </c>
      <c r="K69" t="str">
        <f t="shared" si="5"/>
        <v>California</v>
      </c>
      <c r="L69" t="str">
        <f t="shared" si="6"/>
        <v>Glenn County</v>
      </c>
      <c r="M69">
        <f t="shared" si="7"/>
        <v>343.2</v>
      </c>
    </row>
    <row r="70" spans="1:13" x14ac:dyDescent="0.3">
      <c r="A70" t="s">
        <v>19</v>
      </c>
      <c r="B70" t="s">
        <v>587</v>
      </c>
      <c r="C70">
        <v>49</v>
      </c>
      <c r="D70">
        <v>2188.2999999999997</v>
      </c>
      <c r="G70" t="str">
        <f t="shared" si="2"/>
        <v>California</v>
      </c>
      <c r="H70" t="str">
        <f t="shared" si="3"/>
        <v>Humboldt County</v>
      </c>
      <c r="I70">
        <f t="shared" si="4"/>
        <v>49</v>
      </c>
      <c r="K70" t="str">
        <f t="shared" si="5"/>
        <v>California</v>
      </c>
      <c r="L70" t="str">
        <f t="shared" si="6"/>
        <v>Humboldt County</v>
      </c>
      <c r="M70">
        <f t="shared" si="7"/>
        <v>2188.2999999999997</v>
      </c>
    </row>
    <row r="71" spans="1:13" x14ac:dyDescent="0.3">
      <c r="A71" t="s">
        <v>19</v>
      </c>
      <c r="B71" t="s">
        <v>331</v>
      </c>
      <c r="C71">
        <v>59</v>
      </c>
      <c r="D71">
        <v>2661.5999999999995</v>
      </c>
      <c r="G71" t="str">
        <f t="shared" si="2"/>
        <v>California</v>
      </c>
      <c r="H71" t="str">
        <f t="shared" si="3"/>
        <v>Imperial County</v>
      </c>
      <c r="I71">
        <f t="shared" si="4"/>
        <v>59</v>
      </c>
      <c r="K71" t="str">
        <f t="shared" si="5"/>
        <v>California</v>
      </c>
      <c r="L71" t="str">
        <f t="shared" si="6"/>
        <v>Imperial County</v>
      </c>
      <c r="M71">
        <f t="shared" si="7"/>
        <v>2661.5999999999995</v>
      </c>
    </row>
    <row r="72" spans="1:13" x14ac:dyDescent="0.3">
      <c r="A72" t="s">
        <v>19</v>
      </c>
      <c r="B72" t="s">
        <v>86</v>
      </c>
      <c r="C72">
        <v>8</v>
      </c>
      <c r="D72">
        <v>887.5</v>
      </c>
      <c r="G72" t="str">
        <f t="shared" si="2"/>
        <v>California</v>
      </c>
      <c r="H72" t="str">
        <f t="shared" si="3"/>
        <v>Inyo County</v>
      </c>
      <c r="I72">
        <f t="shared" si="4"/>
        <v>8</v>
      </c>
      <c r="K72" t="str">
        <f t="shared" si="5"/>
        <v>California</v>
      </c>
      <c r="L72" t="str">
        <f t="shared" si="6"/>
        <v>Inyo County</v>
      </c>
      <c r="M72">
        <f t="shared" si="7"/>
        <v>887.5</v>
      </c>
    </row>
    <row r="73" spans="1:13" x14ac:dyDescent="0.3">
      <c r="A73" t="s">
        <v>19</v>
      </c>
      <c r="B73" t="s">
        <v>147</v>
      </c>
      <c r="C73">
        <v>222</v>
      </c>
      <c r="D73">
        <v>11354.199999999993</v>
      </c>
      <c r="G73" t="str">
        <f t="shared" si="2"/>
        <v>California</v>
      </c>
      <c r="H73" t="str">
        <f t="shared" si="3"/>
        <v>Kern County</v>
      </c>
      <c r="I73">
        <f t="shared" si="4"/>
        <v>222</v>
      </c>
      <c r="K73" t="str">
        <f t="shared" si="5"/>
        <v>California</v>
      </c>
      <c r="L73" t="str">
        <f t="shared" si="6"/>
        <v>Kern County</v>
      </c>
      <c r="M73">
        <f t="shared" si="7"/>
        <v>11354.199999999993</v>
      </c>
    </row>
    <row r="74" spans="1:13" x14ac:dyDescent="0.3">
      <c r="A74" t="s">
        <v>19</v>
      </c>
      <c r="B74" t="s">
        <v>334</v>
      </c>
      <c r="C74">
        <v>36</v>
      </c>
      <c r="D74">
        <v>1558.4</v>
      </c>
      <c r="G74" t="str">
        <f t="shared" si="2"/>
        <v>California</v>
      </c>
      <c r="H74" t="str">
        <f t="shared" si="3"/>
        <v>Kings County</v>
      </c>
      <c r="I74">
        <f t="shared" si="4"/>
        <v>36</v>
      </c>
      <c r="K74" t="str">
        <f t="shared" si="5"/>
        <v>California</v>
      </c>
      <c r="L74" t="str">
        <f t="shared" si="6"/>
        <v>Kings County</v>
      </c>
      <c r="M74">
        <f t="shared" si="7"/>
        <v>1558.4</v>
      </c>
    </row>
    <row r="75" spans="1:13" x14ac:dyDescent="0.3">
      <c r="A75" t="s">
        <v>19</v>
      </c>
      <c r="B75" t="s">
        <v>949</v>
      </c>
      <c r="C75">
        <v>30</v>
      </c>
      <c r="D75">
        <v>2223.9</v>
      </c>
      <c r="G75" t="str">
        <f t="shared" si="2"/>
        <v>California</v>
      </c>
      <c r="H75" t="str">
        <f t="shared" si="3"/>
        <v>Lake County</v>
      </c>
      <c r="I75">
        <f t="shared" si="4"/>
        <v>30</v>
      </c>
      <c r="K75" t="str">
        <f t="shared" si="5"/>
        <v>California</v>
      </c>
      <c r="L75" t="str">
        <f t="shared" si="6"/>
        <v>Lake County</v>
      </c>
      <c r="M75">
        <f t="shared" si="7"/>
        <v>2223.9</v>
      </c>
    </row>
    <row r="76" spans="1:13" x14ac:dyDescent="0.3">
      <c r="A76" t="s">
        <v>19</v>
      </c>
      <c r="B76" t="s">
        <v>1426</v>
      </c>
      <c r="C76">
        <v>1</v>
      </c>
      <c r="D76">
        <v>26.2</v>
      </c>
      <c r="G76" t="str">
        <f t="shared" si="2"/>
        <v>California</v>
      </c>
      <c r="H76" t="str">
        <f t="shared" si="3"/>
        <v>Lassen County</v>
      </c>
      <c r="I76">
        <f t="shared" si="4"/>
        <v>1</v>
      </c>
      <c r="K76" t="str">
        <f t="shared" si="5"/>
        <v>California</v>
      </c>
      <c r="L76" t="str">
        <f t="shared" si="6"/>
        <v>Lassen County</v>
      </c>
      <c r="M76">
        <f t="shared" si="7"/>
        <v>26.2</v>
      </c>
    </row>
    <row r="77" spans="1:13" x14ac:dyDescent="0.3">
      <c r="A77" t="s">
        <v>19</v>
      </c>
      <c r="B77" t="s">
        <v>33</v>
      </c>
      <c r="C77">
        <v>3991</v>
      </c>
      <c r="D77">
        <v>215551.19999999981</v>
      </c>
      <c r="G77" t="str">
        <f t="shared" si="2"/>
        <v>California</v>
      </c>
      <c r="H77" t="str">
        <f t="shared" si="3"/>
        <v>Los Angeles County</v>
      </c>
      <c r="I77">
        <f t="shared" si="4"/>
        <v>3991</v>
      </c>
      <c r="K77" t="str">
        <f t="shared" si="5"/>
        <v>California</v>
      </c>
      <c r="L77" t="str">
        <f t="shared" si="6"/>
        <v>Los Angeles County</v>
      </c>
      <c r="M77">
        <f t="shared" si="7"/>
        <v>215551.19999999981</v>
      </c>
    </row>
    <row r="78" spans="1:13" x14ac:dyDescent="0.3">
      <c r="A78" t="s">
        <v>19</v>
      </c>
      <c r="B78" t="s">
        <v>364</v>
      </c>
      <c r="C78">
        <v>45</v>
      </c>
      <c r="D78">
        <v>2687.3999999999996</v>
      </c>
      <c r="G78" t="str">
        <f t="shared" si="2"/>
        <v>California</v>
      </c>
      <c r="H78" t="str">
        <f t="shared" si="3"/>
        <v>Madera County</v>
      </c>
      <c r="I78">
        <f t="shared" si="4"/>
        <v>45</v>
      </c>
      <c r="K78" t="str">
        <f t="shared" si="5"/>
        <v>California</v>
      </c>
      <c r="L78" t="str">
        <f t="shared" si="6"/>
        <v>Madera County</v>
      </c>
      <c r="M78">
        <f t="shared" si="7"/>
        <v>2687.3999999999996</v>
      </c>
    </row>
    <row r="79" spans="1:13" x14ac:dyDescent="0.3">
      <c r="A79" t="s">
        <v>19</v>
      </c>
      <c r="B79" t="s">
        <v>545</v>
      </c>
      <c r="C79">
        <v>39</v>
      </c>
      <c r="D79">
        <v>1463.3000000000002</v>
      </c>
      <c r="G79" t="str">
        <f t="shared" si="2"/>
        <v>California</v>
      </c>
      <c r="H79" t="str">
        <f t="shared" si="3"/>
        <v>Marin County</v>
      </c>
      <c r="I79">
        <f t="shared" si="4"/>
        <v>39</v>
      </c>
      <c r="K79" t="str">
        <f t="shared" si="5"/>
        <v>California</v>
      </c>
      <c r="L79" t="str">
        <f t="shared" si="6"/>
        <v>Marin County</v>
      </c>
      <c r="M79">
        <f t="shared" si="7"/>
        <v>1463.3000000000002</v>
      </c>
    </row>
    <row r="80" spans="1:13" x14ac:dyDescent="0.3">
      <c r="A80" t="s">
        <v>19</v>
      </c>
      <c r="B80" t="s">
        <v>416</v>
      </c>
      <c r="C80">
        <v>6</v>
      </c>
      <c r="D80">
        <v>445.79999999999995</v>
      </c>
      <c r="G80" t="str">
        <f t="shared" si="2"/>
        <v>California</v>
      </c>
      <c r="H80" t="str">
        <f t="shared" si="3"/>
        <v>Mariposa County</v>
      </c>
      <c r="I80">
        <f t="shared" si="4"/>
        <v>6</v>
      </c>
      <c r="K80" t="str">
        <f t="shared" si="5"/>
        <v>California</v>
      </c>
      <c r="L80" t="str">
        <f t="shared" si="6"/>
        <v>Mariposa County</v>
      </c>
      <c r="M80">
        <f t="shared" si="7"/>
        <v>445.79999999999995</v>
      </c>
    </row>
    <row r="81" spans="1:13" x14ac:dyDescent="0.3">
      <c r="A81" t="s">
        <v>19</v>
      </c>
      <c r="B81" t="s">
        <v>258</v>
      </c>
      <c r="C81">
        <v>9</v>
      </c>
      <c r="D81">
        <v>273.59999999999997</v>
      </c>
      <c r="G81" t="str">
        <f t="shared" si="2"/>
        <v>California</v>
      </c>
      <c r="H81" t="str">
        <f t="shared" si="3"/>
        <v>Mendocino County</v>
      </c>
      <c r="I81">
        <f t="shared" si="4"/>
        <v>9</v>
      </c>
      <c r="K81" t="str">
        <f t="shared" si="5"/>
        <v>California</v>
      </c>
      <c r="L81" t="str">
        <f t="shared" si="6"/>
        <v>Mendocino County</v>
      </c>
      <c r="M81">
        <f t="shared" si="7"/>
        <v>273.59999999999997</v>
      </c>
    </row>
    <row r="82" spans="1:13" x14ac:dyDescent="0.3">
      <c r="A82" t="s">
        <v>19</v>
      </c>
      <c r="B82" t="s">
        <v>186</v>
      </c>
      <c r="C82">
        <v>60</v>
      </c>
      <c r="D82">
        <v>2690.4</v>
      </c>
      <c r="G82" t="str">
        <f t="shared" si="2"/>
        <v>California</v>
      </c>
      <c r="H82" t="str">
        <f t="shared" si="3"/>
        <v>Merced County</v>
      </c>
      <c r="I82">
        <f t="shared" si="4"/>
        <v>60</v>
      </c>
      <c r="K82" t="str">
        <f t="shared" si="5"/>
        <v>California</v>
      </c>
      <c r="L82" t="str">
        <f t="shared" si="6"/>
        <v>Merced County</v>
      </c>
      <c r="M82">
        <f t="shared" si="7"/>
        <v>2690.4</v>
      </c>
    </row>
    <row r="83" spans="1:13" x14ac:dyDescent="0.3">
      <c r="A83" t="s">
        <v>19</v>
      </c>
      <c r="B83" t="s">
        <v>392</v>
      </c>
      <c r="C83">
        <v>2</v>
      </c>
      <c r="D83">
        <v>28.4</v>
      </c>
      <c r="G83" t="str">
        <f t="shared" si="2"/>
        <v>California</v>
      </c>
      <c r="H83" t="str">
        <f t="shared" si="3"/>
        <v>Modoc County</v>
      </c>
      <c r="I83">
        <f t="shared" si="4"/>
        <v>2</v>
      </c>
      <c r="K83" t="str">
        <f t="shared" si="5"/>
        <v>California</v>
      </c>
      <c r="L83" t="str">
        <f t="shared" si="6"/>
        <v>Modoc County</v>
      </c>
      <c r="M83">
        <f t="shared" si="7"/>
        <v>28.4</v>
      </c>
    </row>
    <row r="84" spans="1:13" x14ac:dyDescent="0.3">
      <c r="A84" t="s">
        <v>19</v>
      </c>
      <c r="B84" t="s">
        <v>670</v>
      </c>
      <c r="C84">
        <v>4</v>
      </c>
      <c r="D84">
        <v>204.8</v>
      </c>
      <c r="G84" t="str">
        <f t="shared" si="2"/>
        <v>California</v>
      </c>
      <c r="H84" t="str">
        <f t="shared" si="3"/>
        <v>Mono County</v>
      </c>
      <c r="I84">
        <f t="shared" si="4"/>
        <v>4</v>
      </c>
      <c r="K84" t="str">
        <f t="shared" si="5"/>
        <v>California</v>
      </c>
      <c r="L84" t="str">
        <f t="shared" si="6"/>
        <v>Mono County</v>
      </c>
      <c r="M84">
        <f t="shared" si="7"/>
        <v>204.8</v>
      </c>
    </row>
    <row r="85" spans="1:13" x14ac:dyDescent="0.3">
      <c r="A85" t="s">
        <v>19</v>
      </c>
      <c r="B85" t="s">
        <v>802</v>
      </c>
      <c r="C85">
        <v>31</v>
      </c>
      <c r="D85">
        <v>1607.8999999999999</v>
      </c>
      <c r="G85" t="str">
        <f t="shared" si="2"/>
        <v>California</v>
      </c>
      <c r="H85" t="str">
        <f t="shared" si="3"/>
        <v>Monterey County</v>
      </c>
      <c r="I85">
        <f t="shared" si="4"/>
        <v>31</v>
      </c>
      <c r="K85" t="str">
        <f t="shared" si="5"/>
        <v>California</v>
      </c>
      <c r="L85" t="str">
        <f t="shared" si="6"/>
        <v>Monterey County</v>
      </c>
      <c r="M85">
        <f t="shared" si="7"/>
        <v>1607.8999999999999</v>
      </c>
    </row>
    <row r="86" spans="1:13" x14ac:dyDescent="0.3">
      <c r="A86" t="s">
        <v>19</v>
      </c>
      <c r="B86" t="s">
        <v>98</v>
      </c>
      <c r="C86">
        <v>88</v>
      </c>
      <c r="D86">
        <v>6444.9</v>
      </c>
      <c r="G86" t="str">
        <f t="shared" si="2"/>
        <v>California</v>
      </c>
      <c r="H86" t="str">
        <f t="shared" si="3"/>
        <v>Napa County</v>
      </c>
      <c r="I86">
        <f t="shared" si="4"/>
        <v>88</v>
      </c>
      <c r="K86" t="str">
        <f t="shared" si="5"/>
        <v>California</v>
      </c>
      <c r="L86" t="str">
        <f t="shared" si="6"/>
        <v>Napa County</v>
      </c>
      <c r="M86">
        <f t="shared" si="7"/>
        <v>6444.9</v>
      </c>
    </row>
    <row r="87" spans="1:13" x14ac:dyDescent="0.3">
      <c r="A87" t="s">
        <v>19</v>
      </c>
      <c r="B87" t="s">
        <v>49</v>
      </c>
      <c r="C87">
        <v>25</v>
      </c>
      <c r="D87">
        <v>1809.3</v>
      </c>
      <c r="G87" t="str">
        <f t="shared" si="2"/>
        <v>California</v>
      </c>
      <c r="H87" t="str">
        <f t="shared" si="3"/>
        <v>Nevada County</v>
      </c>
      <c r="I87">
        <f t="shared" si="4"/>
        <v>25</v>
      </c>
      <c r="K87" t="str">
        <f t="shared" si="5"/>
        <v>California</v>
      </c>
      <c r="L87" t="str">
        <f t="shared" si="6"/>
        <v>Nevada County</v>
      </c>
      <c r="M87">
        <f t="shared" si="7"/>
        <v>1809.3</v>
      </c>
    </row>
    <row r="88" spans="1:13" x14ac:dyDescent="0.3">
      <c r="A88" t="s">
        <v>19</v>
      </c>
      <c r="B88" t="s">
        <v>188</v>
      </c>
      <c r="C88">
        <v>178</v>
      </c>
      <c r="D88">
        <v>9680.399999999996</v>
      </c>
      <c r="G88" t="str">
        <f t="shared" si="2"/>
        <v>California</v>
      </c>
      <c r="H88" t="str">
        <f t="shared" si="3"/>
        <v>Orange County</v>
      </c>
      <c r="I88">
        <f t="shared" si="4"/>
        <v>178</v>
      </c>
      <c r="K88" t="str">
        <f t="shared" si="5"/>
        <v>California</v>
      </c>
      <c r="L88" t="str">
        <f t="shared" si="6"/>
        <v>Orange County</v>
      </c>
      <c r="M88">
        <f t="shared" si="7"/>
        <v>9680.399999999996</v>
      </c>
    </row>
    <row r="89" spans="1:13" x14ac:dyDescent="0.3">
      <c r="A89" t="s">
        <v>19</v>
      </c>
      <c r="B89" t="s">
        <v>52</v>
      </c>
      <c r="C89">
        <v>141</v>
      </c>
      <c r="D89">
        <v>9414.7999999999993</v>
      </c>
      <c r="G89" t="str">
        <f t="shared" si="2"/>
        <v>California</v>
      </c>
      <c r="H89" t="str">
        <f t="shared" si="3"/>
        <v>Placer County</v>
      </c>
      <c r="I89">
        <f t="shared" si="4"/>
        <v>141</v>
      </c>
      <c r="K89" t="str">
        <f t="shared" si="5"/>
        <v>California</v>
      </c>
      <c r="L89" t="str">
        <f t="shared" si="6"/>
        <v>Placer County</v>
      </c>
      <c r="M89">
        <f t="shared" si="7"/>
        <v>9414.7999999999993</v>
      </c>
    </row>
    <row r="90" spans="1:13" x14ac:dyDescent="0.3">
      <c r="A90" t="s">
        <v>19</v>
      </c>
      <c r="B90" t="s">
        <v>338</v>
      </c>
      <c r="C90">
        <v>6</v>
      </c>
      <c r="D90">
        <v>206.1</v>
      </c>
      <c r="G90" t="str">
        <f t="shared" si="2"/>
        <v>California</v>
      </c>
      <c r="H90" t="str">
        <f t="shared" si="3"/>
        <v>Plumas County</v>
      </c>
      <c r="I90">
        <f t="shared" si="4"/>
        <v>6</v>
      </c>
      <c r="K90" t="str">
        <f t="shared" si="5"/>
        <v>California</v>
      </c>
      <c r="L90" t="str">
        <f t="shared" si="6"/>
        <v>Plumas County</v>
      </c>
      <c r="M90">
        <f t="shared" si="7"/>
        <v>206.1</v>
      </c>
    </row>
    <row r="91" spans="1:13" x14ac:dyDescent="0.3">
      <c r="A91" t="s">
        <v>19</v>
      </c>
      <c r="B91" t="s">
        <v>158</v>
      </c>
      <c r="C91">
        <v>178</v>
      </c>
      <c r="D91">
        <v>7691.3</v>
      </c>
      <c r="G91" t="str">
        <f t="shared" si="2"/>
        <v>California</v>
      </c>
      <c r="H91" t="str">
        <f t="shared" si="3"/>
        <v>Riverside County</v>
      </c>
      <c r="I91">
        <f t="shared" si="4"/>
        <v>178</v>
      </c>
      <c r="K91" t="str">
        <f t="shared" si="5"/>
        <v>California</v>
      </c>
      <c r="L91" t="str">
        <f t="shared" si="6"/>
        <v>Riverside County</v>
      </c>
      <c r="M91">
        <f t="shared" si="7"/>
        <v>7691.3</v>
      </c>
    </row>
    <row r="92" spans="1:13" x14ac:dyDescent="0.3">
      <c r="A92" t="s">
        <v>19</v>
      </c>
      <c r="B92" t="s">
        <v>55</v>
      </c>
      <c r="C92">
        <v>699</v>
      </c>
      <c r="D92">
        <v>37784.900000000016</v>
      </c>
      <c r="G92" t="str">
        <f t="shared" si="2"/>
        <v>California</v>
      </c>
      <c r="H92" t="str">
        <f t="shared" si="3"/>
        <v>Sacramento County</v>
      </c>
      <c r="I92">
        <f t="shared" si="4"/>
        <v>699</v>
      </c>
      <c r="K92" t="str">
        <f t="shared" si="5"/>
        <v>California</v>
      </c>
      <c r="L92" t="str">
        <f t="shared" si="6"/>
        <v>Sacramento County</v>
      </c>
      <c r="M92">
        <f t="shared" si="7"/>
        <v>37784.900000000016</v>
      </c>
    </row>
    <row r="93" spans="1:13" x14ac:dyDescent="0.3">
      <c r="A93" t="s">
        <v>19</v>
      </c>
      <c r="B93" t="s">
        <v>342</v>
      </c>
      <c r="C93">
        <v>23</v>
      </c>
      <c r="D93">
        <v>1129.7</v>
      </c>
      <c r="G93" t="str">
        <f t="shared" si="2"/>
        <v>California</v>
      </c>
      <c r="H93" t="str">
        <f t="shared" si="3"/>
        <v>San Benito County</v>
      </c>
      <c r="I93">
        <f t="shared" si="4"/>
        <v>23</v>
      </c>
      <c r="K93" t="str">
        <f t="shared" si="5"/>
        <v>California</v>
      </c>
      <c r="L93" t="str">
        <f t="shared" si="6"/>
        <v>San Benito County</v>
      </c>
      <c r="M93">
        <f t="shared" si="7"/>
        <v>1129.7</v>
      </c>
    </row>
    <row r="94" spans="1:13" x14ac:dyDescent="0.3">
      <c r="A94" t="s">
        <v>19</v>
      </c>
      <c r="B94" t="s">
        <v>59</v>
      </c>
      <c r="C94">
        <v>356</v>
      </c>
      <c r="D94">
        <v>20988.9</v>
      </c>
      <c r="G94" t="str">
        <f t="shared" si="2"/>
        <v>California</v>
      </c>
      <c r="H94" t="str">
        <f t="shared" si="3"/>
        <v>San Bernardino County</v>
      </c>
      <c r="I94">
        <f t="shared" si="4"/>
        <v>356</v>
      </c>
      <c r="K94" t="str">
        <f t="shared" si="5"/>
        <v>California</v>
      </c>
      <c r="L94" t="str">
        <f t="shared" si="6"/>
        <v>San Bernardino County</v>
      </c>
      <c r="M94">
        <f t="shared" si="7"/>
        <v>20988.9</v>
      </c>
    </row>
    <row r="95" spans="1:13" x14ac:dyDescent="0.3">
      <c r="A95" t="s">
        <v>19</v>
      </c>
      <c r="B95" t="s">
        <v>62</v>
      </c>
      <c r="C95">
        <v>1768</v>
      </c>
      <c r="D95">
        <v>98367.099999999977</v>
      </c>
      <c r="G95" t="str">
        <f t="shared" si="2"/>
        <v>California</v>
      </c>
      <c r="H95" t="str">
        <f t="shared" si="3"/>
        <v>San Diego County</v>
      </c>
      <c r="I95">
        <f t="shared" si="4"/>
        <v>1768</v>
      </c>
      <c r="K95" t="str">
        <f t="shared" si="5"/>
        <v>California</v>
      </c>
      <c r="L95" t="str">
        <f t="shared" si="6"/>
        <v>San Diego County</v>
      </c>
      <c r="M95">
        <f t="shared" si="7"/>
        <v>98367.099999999977</v>
      </c>
    </row>
    <row r="96" spans="1:13" x14ac:dyDescent="0.3">
      <c r="A96" t="s">
        <v>19</v>
      </c>
      <c r="B96" t="s">
        <v>103</v>
      </c>
      <c r="C96">
        <v>307</v>
      </c>
      <c r="D96">
        <v>21911.9</v>
      </c>
      <c r="G96" t="str">
        <f t="shared" si="2"/>
        <v>California</v>
      </c>
      <c r="H96" t="str">
        <f t="shared" si="3"/>
        <v>San Francisco</v>
      </c>
      <c r="I96">
        <f t="shared" si="4"/>
        <v>307</v>
      </c>
      <c r="K96" t="str">
        <f t="shared" si="5"/>
        <v>California</v>
      </c>
      <c r="L96" t="str">
        <f t="shared" si="6"/>
        <v>San Francisco</v>
      </c>
      <c r="M96">
        <f t="shared" si="7"/>
        <v>21911.9</v>
      </c>
    </row>
    <row r="97" spans="1:13" x14ac:dyDescent="0.3">
      <c r="A97" t="s">
        <v>19</v>
      </c>
      <c r="B97" t="s">
        <v>201</v>
      </c>
      <c r="C97">
        <v>117</v>
      </c>
      <c r="D97">
        <v>5441.2</v>
      </c>
      <c r="G97" t="str">
        <f t="shared" si="2"/>
        <v>California</v>
      </c>
      <c r="H97" t="str">
        <f t="shared" si="3"/>
        <v>San Joaquin County</v>
      </c>
      <c r="I97">
        <f t="shared" si="4"/>
        <v>117</v>
      </c>
      <c r="K97" t="str">
        <f t="shared" si="5"/>
        <v>California</v>
      </c>
      <c r="L97" t="str">
        <f t="shared" si="6"/>
        <v>San Joaquin County</v>
      </c>
      <c r="M97">
        <f t="shared" si="7"/>
        <v>5441.2</v>
      </c>
    </row>
    <row r="98" spans="1:13" x14ac:dyDescent="0.3">
      <c r="A98" t="s">
        <v>19</v>
      </c>
      <c r="B98" t="s">
        <v>429</v>
      </c>
      <c r="C98">
        <v>13</v>
      </c>
      <c r="D98">
        <v>392.8</v>
      </c>
      <c r="G98" t="str">
        <f t="shared" si="2"/>
        <v>California</v>
      </c>
      <c r="H98" t="str">
        <f t="shared" si="3"/>
        <v>San Luis Obispo County</v>
      </c>
      <c r="I98">
        <f t="shared" si="4"/>
        <v>13</v>
      </c>
      <c r="K98" t="str">
        <f t="shared" si="5"/>
        <v>California</v>
      </c>
      <c r="L98" t="str">
        <f t="shared" si="6"/>
        <v>San Luis Obispo County</v>
      </c>
      <c r="M98">
        <f t="shared" si="7"/>
        <v>392.8</v>
      </c>
    </row>
    <row r="99" spans="1:13" x14ac:dyDescent="0.3">
      <c r="A99" t="s">
        <v>19</v>
      </c>
      <c r="B99" t="s">
        <v>72</v>
      </c>
      <c r="C99">
        <v>364</v>
      </c>
      <c r="D99">
        <v>16172.000000000005</v>
      </c>
      <c r="G99" t="str">
        <f t="shared" si="2"/>
        <v>California</v>
      </c>
      <c r="H99" t="str">
        <f t="shared" si="3"/>
        <v>San Mateo County</v>
      </c>
      <c r="I99">
        <f t="shared" si="4"/>
        <v>364</v>
      </c>
      <c r="K99" t="str">
        <f t="shared" si="5"/>
        <v>California</v>
      </c>
      <c r="L99" t="str">
        <f t="shared" si="6"/>
        <v>San Mateo County</v>
      </c>
      <c r="M99">
        <f t="shared" si="7"/>
        <v>16172.000000000005</v>
      </c>
    </row>
    <row r="100" spans="1:13" x14ac:dyDescent="0.3">
      <c r="A100" t="s">
        <v>19</v>
      </c>
      <c r="B100" t="s">
        <v>74</v>
      </c>
      <c r="C100">
        <v>95</v>
      </c>
      <c r="D100">
        <v>4334.9999999999991</v>
      </c>
      <c r="G100" t="str">
        <f t="shared" si="2"/>
        <v>California</v>
      </c>
      <c r="H100" t="str">
        <f t="shared" si="3"/>
        <v>Santa Barbara County</v>
      </c>
      <c r="I100">
        <f t="shared" si="4"/>
        <v>95</v>
      </c>
      <c r="K100" t="str">
        <f t="shared" si="5"/>
        <v>California</v>
      </c>
      <c r="L100" t="str">
        <f t="shared" si="6"/>
        <v>Santa Barbara County</v>
      </c>
      <c r="M100">
        <f t="shared" si="7"/>
        <v>4334.9999999999991</v>
      </c>
    </row>
    <row r="101" spans="1:13" x14ac:dyDescent="0.3">
      <c r="A101" t="s">
        <v>19</v>
      </c>
      <c r="B101" t="s">
        <v>77</v>
      </c>
      <c r="C101">
        <v>737</v>
      </c>
      <c r="D101">
        <v>37449.000000000007</v>
      </c>
      <c r="G101" t="str">
        <f t="shared" si="2"/>
        <v>California</v>
      </c>
      <c r="H101" t="str">
        <f t="shared" si="3"/>
        <v>Santa Clara County</v>
      </c>
      <c r="I101">
        <f t="shared" si="4"/>
        <v>737</v>
      </c>
      <c r="K101" t="str">
        <f t="shared" si="5"/>
        <v>California</v>
      </c>
      <c r="L101" t="str">
        <f t="shared" si="6"/>
        <v>Santa Clara County</v>
      </c>
      <c r="M101">
        <f t="shared" si="7"/>
        <v>37449.000000000007</v>
      </c>
    </row>
    <row r="102" spans="1:13" x14ac:dyDescent="0.3">
      <c r="A102" t="s">
        <v>19</v>
      </c>
      <c r="B102" t="s">
        <v>309</v>
      </c>
      <c r="C102">
        <v>39</v>
      </c>
      <c r="D102">
        <v>2447.5</v>
      </c>
      <c r="G102" t="str">
        <f t="shared" si="2"/>
        <v>California</v>
      </c>
      <c r="H102" t="str">
        <f t="shared" si="3"/>
        <v>Santa Cruz County</v>
      </c>
      <c r="I102">
        <f t="shared" si="4"/>
        <v>39</v>
      </c>
      <c r="K102" t="str">
        <f t="shared" si="5"/>
        <v>California</v>
      </c>
      <c r="L102" t="str">
        <f t="shared" si="6"/>
        <v>Santa Cruz County</v>
      </c>
      <c r="M102">
        <f t="shared" si="7"/>
        <v>2447.5</v>
      </c>
    </row>
    <row r="103" spans="1:13" x14ac:dyDescent="0.3">
      <c r="A103" t="s">
        <v>19</v>
      </c>
      <c r="B103" t="s">
        <v>1116</v>
      </c>
      <c r="C103">
        <v>56</v>
      </c>
      <c r="D103">
        <v>3391.1</v>
      </c>
      <c r="G103" t="str">
        <f t="shared" si="2"/>
        <v>California</v>
      </c>
      <c r="H103" t="str">
        <f t="shared" si="3"/>
        <v>Shasta County</v>
      </c>
      <c r="I103">
        <f t="shared" si="4"/>
        <v>56</v>
      </c>
      <c r="K103" t="str">
        <f t="shared" si="5"/>
        <v>California</v>
      </c>
      <c r="L103" t="str">
        <f t="shared" si="6"/>
        <v>Shasta County</v>
      </c>
      <c r="M103">
        <f t="shared" si="7"/>
        <v>3391.1</v>
      </c>
    </row>
    <row r="104" spans="1:13" x14ac:dyDescent="0.3">
      <c r="A104" t="s">
        <v>19</v>
      </c>
      <c r="B104" t="s">
        <v>700</v>
      </c>
      <c r="C104">
        <v>2</v>
      </c>
      <c r="D104">
        <v>30.8</v>
      </c>
      <c r="G104" t="str">
        <f t="shared" si="2"/>
        <v>California</v>
      </c>
      <c r="H104" t="str">
        <f t="shared" si="3"/>
        <v>Sierra County</v>
      </c>
      <c r="I104">
        <f t="shared" si="4"/>
        <v>2</v>
      </c>
      <c r="K104" t="str">
        <f t="shared" si="5"/>
        <v>California</v>
      </c>
      <c r="L104" t="str">
        <f t="shared" si="6"/>
        <v>Sierra County</v>
      </c>
      <c r="M104">
        <f t="shared" si="7"/>
        <v>30.8</v>
      </c>
    </row>
    <row r="105" spans="1:13" x14ac:dyDescent="0.3">
      <c r="A105" t="s">
        <v>19</v>
      </c>
      <c r="B105" t="s">
        <v>268</v>
      </c>
      <c r="C105">
        <v>8</v>
      </c>
      <c r="D105">
        <v>332.3</v>
      </c>
      <c r="G105" t="str">
        <f t="shared" si="2"/>
        <v>California</v>
      </c>
      <c r="H105" t="str">
        <f t="shared" si="3"/>
        <v>Siskiyou County</v>
      </c>
      <c r="I105">
        <f t="shared" si="4"/>
        <v>8</v>
      </c>
      <c r="K105" t="str">
        <f t="shared" si="5"/>
        <v>California</v>
      </c>
      <c r="L105" t="str">
        <f t="shared" si="6"/>
        <v>Siskiyou County</v>
      </c>
      <c r="M105">
        <f t="shared" si="7"/>
        <v>332.3</v>
      </c>
    </row>
    <row r="106" spans="1:13" x14ac:dyDescent="0.3">
      <c r="A106" t="s">
        <v>19</v>
      </c>
      <c r="B106" t="s">
        <v>377</v>
      </c>
      <c r="C106">
        <v>52</v>
      </c>
      <c r="D106">
        <v>3175.9999999999995</v>
      </c>
      <c r="G106" t="str">
        <f t="shared" si="2"/>
        <v>California</v>
      </c>
      <c r="H106" t="str">
        <f t="shared" si="3"/>
        <v>Solano County</v>
      </c>
      <c r="I106">
        <f t="shared" si="4"/>
        <v>52</v>
      </c>
      <c r="K106" t="str">
        <f t="shared" si="5"/>
        <v>California</v>
      </c>
      <c r="L106" t="str">
        <f t="shared" si="6"/>
        <v>Solano County</v>
      </c>
      <c r="M106">
        <f t="shared" si="7"/>
        <v>3175.9999999999995</v>
      </c>
    </row>
    <row r="107" spans="1:13" x14ac:dyDescent="0.3">
      <c r="A107" t="s">
        <v>19</v>
      </c>
      <c r="B107" t="s">
        <v>108</v>
      </c>
      <c r="C107">
        <v>295</v>
      </c>
      <c r="D107">
        <v>20939.600000000002</v>
      </c>
      <c r="G107" t="str">
        <f t="shared" si="2"/>
        <v>California</v>
      </c>
      <c r="H107" t="str">
        <f t="shared" si="3"/>
        <v>Sonoma County</v>
      </c>
      <c r="I107">
        <f t="shared" si="4"/>
        <v>295</v>
      </c>
      <c r="K107" t="str">
        <f t="shared" si="5"/>
        <v>California</v>
      </c>
      <c r="L107" t="str">
        <f t="shared" si="6"/>
        <v>Sonoma County</v>
      </c>
      <c r="M107">
        <f t="shared" si="7"/>
        <v>20939.600000000002</v>
      </c>
    </row>
    <row r="108" spans="1:13" x14ac:dyDescent="0.3">
      <c r="A108" t="s">
        <v>19</v>
      </c>
      <c r="B108" t="s">
        <v>110</v>
      </c>
      <c r="C108">
        <v>195</v>
      </c>
      <c r="D108">
        <v>10185.899999999996</v>
      </c>
      <c r="G108" t="str">
        <f t="shared" si="2"/>
        <v>California</v>
      </c>
      <c r="H108" t="str">
        <f t="shared" si="3"/>
        <v>Stanislaus County</v>
      </c>
      <c r="I108">
        <f t="shared" si="4"/>
        <v>195</v>
      </c>
      <c r="K108" t="str">
        <f t="shared" si="5"/>
        <v>California</v>
      </c>
      <c r="L108" t="str">
        <f t="shared" si="6"/>
        <v>Stanislaus County</v>
      </c>
      <c r="M108">
        <f t="shared" si="7"/>
        <v>10185.899999999996</v>
      </c>
    </row>
    <row r="109" spans="1:13" x14ac:dyDescent="0.3">
      <c r="A109" t="s">
        <v>19</v>
      </c>
      <c r="B109" t="s">
        <v>292</v>
      </c>
      <c r="C109">
        <v>20</v>
      </c>
      <c r="D109">
        <v>958.7</v>
      </c>
      <c r="G109" t="str">
        <f t="shared" si="2"/>
        <v>California</v>
      </c>
      <c r="H109" t="str">
        <f t="shared" si="3"/>
        <v>Sutter County</v>
      </c>
      <c r="I109">
        <f t="shared" si="4"/>
        <v>20</v>
      </c>
      <c r="K109" t="str">
        <f t="shared" si="5"/>
        <v>California</v>
      </c>
      <c r="L109" t="str">
        <f t="shared" si="6"/>
        <v>Sutter County</v>
      </c>
      <c r="M109">
        <f t="shared" si="7"/>
        <v>958.7</v>
      </c>
    </row>
    <row r="110" spans="1:13" x14ac:dyDescent="0.3">
      <c r="A110" t="s">
        <v>19</v>
      </c>
      <c r="B110" t="s">
        <v>79</v>
      </c>
      <c r="C110">
        <v>6</v>
      </c>
      <c r="D110">
        <v>323</v>
      </c>
      <c r="G110" t="str">
        <f t="shared" si="2"/>
        <v>California</v>
      </c>
      <c r="H110" t="str">
        <f t="shared" si="3"/>
        <v>Tehama County</v>
      </c>
      <c r="I110">
        <f t="shared" si="4"/>
        <v>6</v>
      </c>
      <c r="K110" t="str">
        <f t="shared" si="5"/>
        <v>California</v>
      </c>
      <c r="L110" t="str">
        <f t="shared" si="6"/>
        <v>Tehama County</v>
      </c>
      <c r="M110">
        <f t="shared" si="7"/>
        <v>323</v>
      </c>
    </row>
    <row r="111" spans="1:13" x14ac:dyDescent="0.3">
      <c r="A111" t="s">
        <v>19</v>
      </c>
      <c r="B111" t="s">
        <v>608</v>
      </c>
      <c r="C111">
        <v>5</v>
      </c>
      <c r="D111">
        <v>167.70000000000002</v>
      </c>
      <c r="G111" t="str">
        <f t="shared" si="2"/>
        <v>California</v>
      </c>
      <c r="H111" t="str">
        <f t="shared" si="3"/>
        <v>Trinity County</v>
      </c>
      <c r="I111">
        <f t="shared" si="4"/>
        <v>5</v>
      </c>
      <c r="K111" t="str">
        <f t="shared" si="5"/>
        <v>California</v>
      </c>
      <c r="L111" t="str">
        <f t="shared" si="6"/>
        <v>Trinity County</v>
      </c>
      <c r="M111">
        <f t="shared" si="7"/>
        <v>167.70000000000002</v>
      </c>
    </row>
    <row r="112" spans="1:13" x14ac:dyDescent="0.3">
      <c r="A112" t="s">
        <v>19</v>
      </c>
      <c r="B112" t="s">
        <v>113</v>
      </c>
      <c r="C112">
        <v>94</v>
      </c>
      <c r="D112">
        <v>3978.5</v>
      </c>
      <c r="G112" t="str">
        <f t="shared" si="2"/>
        <v>California</v>
      </c>
      <c r="H112" t="str">
        <f t="shared" si="3"/>
        <v>Tulare County</v>
      </c>
      <c r="I112">
        <f t="shared" si="4"/>
        <v>94</v>
      </c>
      <c r="K112" t="str">
        <f t="shared" si="5"/>
        <v>California</v>
      </c>
      <c r="L112" t="str">
        <f t="shared" si="6"/>
        <v>Tulare County</v>
      </c>
      <c r="M112">
        <f t="shared" si="7"/>
        <v>3978.5</v>
      </c>
    </row>
    <row r="113" spans="1:13" x14ac:dyDescent="0.3">
      <c r="A113" t="s">
        <v>19</v>
      </c>
      <c r="B113" t="s">
        <v>997</v>
      </c>
      <c r="C113">
        <v>28</v>
      </c>
      <c r="D113">
        <v>1405</v>
      </c>
      <c r="G113" t="str">
        <f t="shared" si="2"/>
        <v>California</v>
      </c>
      <c r="H113" t="str">
        <f t="shared" si="3"/>
        <v>Tuolumne County</v>
      </c>
      <c r="I113">
        <f t="shared" si="4"/>
        <v>28</v>
      </c>
      <c r="K113" t="str">
        <f t="shared" si="5"/>
        <v>California</v>
      </c>
      <c r="L113" t="str">
        <f t="shared" si="6"/>
        <v>Tuolumne County</v>
      </c>
      <c r="M113">
        <f t="shared" si="7"/>
        <v>1405</v>
      </c>
    </row>
    <row r="114" spans="1:13" x14ac:dyDescent="0.3">
      <c r="A114" t="s">
        <v>19</v>
      </c>
      <c r="B114" t="s">
        <v>82</v>
      </c>
      <c r="C114">
        <v>179</v>
      </c>
      <c r="D114">
        <v>9869.0999999999985</v>
      </c>
      <c r="G114" t="str">
        <f t="shared" si="2"/>
        <v>California</v>
      </c>
      <c r="H114" t="str">
        <f t="shared" si="3"/>
        <v>Ventura County</v>
      </c>
      <c r="I114">
        <f t="shared" si="4"/>
        <v>179</v>
      </c>
      <c r="K114" t="str">
        <f t="shared" si="5"/>
        <v>California</v>
      </c>
      <c r="L114" t="str">
        <f t="shared" si="6"/>
        <v>Ventura County</v>
      </c>
      <c r="M114">
        <f t="shared" si="7"/>
        <v>9869.0999999999985</v>
      </c>
    </row>
    <row r="115" spans="1:13" x14ac:dyDescent="0.3">
      <c r="A115" t="s">
        <v>19</v>
      </c>
      <c r="B115" t="s">
        <v>243</v>
      </c>
      <c r="C115">
        <v>15</v>
      </c>
      <c r="D115">
        <v>615.29999999999995</v>
      </c>
      <c r="G115" t="str">
        <f t="shared" si="2"/>
        <v>California</v>
      </c>
      <c r="H115" t="str">
        <f t="shared" si="3"/>
        <v>Yolo County</v>
      </c>
      <c r="I115">
        <f t="shared" si="4"/>
        <v>15</v>
      </c>
      <c r="K115" t="str">
        <f t="shared" si="5"/>
        <v>California</v>
      </c>
      <c r="L115" t="str">
        <f t="shared" si="6"/>
        <v>Yolo County</v>
      </c>
      <c r="M115">
        <f t="shared" si="7"/>
        <v>615.29999999999995</v>
      </c>
    </row>
    <row r="116" spans="1:13" x14ac:dyDescent="0.3">
      <c r="A116" t="s">
        <v>19</v>
      </c>
      <c r="B116" t="s">
        <v>1911</v>
      </c>
      <c r="C116">
        <v>3</v>
      </c>
      <c r="D116">
        <v>285</v>
      </c>
      <c r="G116" t="str">
        <f t="shared" si="2"/>
        <v>California</v>
      </c>
      <c r="H116" t="str">
        <f t="shared" si="3"/>
        <v>Yuba County</v>
      </c>
      <c r="I116">
        <f t="shared" si="4"/>
        <v>3</v>
      </c>
      <c r="K116" t="str">
        <f t="shared" si="5"/>
        <v>California</v>
      </c>
      <c r="L116" t="str">
        <f t="shared" si="6"/>
        <v>Yuba County</v>
      </c>
      <c r="M116">
        <f t="shared" si="7"/>
        <v>285</v>
      </c>
    </row>
    <row r="119" spans="1:13" x14ac:dyDescent="0.3">
      <c r="A119" s="3" t="s">
        <v>2510</v>
      </c>
      <c r="B119" t="s">
        <v>2504</v>
      </c>
    </row>
    <row r="120" spans="1:13" x14ac:dyDescent="0.3">
      <c r="A120" s="4">
        <v>0</v>
      </c>
      <c r="B120">
        <v>175</v>
      </c>
    </row>
    <row r="121" spans="1:13" x14ac:dyDescent="0.3">
      <c r="A121" s="4">
        <v>1</v>
      </c>
      <c r="B121">
        <v>888</v>
      </c>
    </row>
    <row r="122" spans="1:13" x14ac:dyDescent="0.3">
      <c r="A122" s="4">
        <v>2</v>
      </c>
      <c r="B122">
        <v>538</v>
      </c>
    </row>
    <row r="123" spans="1:13" x14ac:dyDescent="0.3">
      <c r="A123" s="4">
        <v>3</v>
      </c>
      <c r="B123">
        <v>344</v>
      </c>
    </row>
    <row r="124" spans="1:13" x14ac:dyDescent="0.3">
      <c r="A124" s="4">
        <v>4</v>
      </c>
      <c r="B124">
        <v>200</v>
      </c>
    </row>
    <row r="125" spans="1:13" x14ac:dyDescent="0.3">
      <c r="A125" s="4">
        <v>5</v>
      </c>
      <c r="B125">
        <v>94</v>
      </c>
    </row>
    <row r="126" spans="1:13" x14ac:dyDescent="0.3">
      <c r="A126" s="4">
        <v>6</v>
      </c>
      <c r="B126">
        <v>51</v>
      </c>
    </row>
    <row r="127" spans="1:13" x14ac:dyDescent="0.3">
      <c r="A127" s="4">
        <v>7</v>
      </c>
      <c r="B127">
        <v>32</v>
      </c>
    </row>
    <row r="128" spans="1:13" x14ac:dyDescent="0.3">
      <c r="A128" s="4">
        <v>8</v>
      </c>
      <c r="B128">
        <v>23</v>
      </c>
    </row>
    <row r="129" spans="1:7" x14ac:dyDescent="0.3">
      <c r="A129" s="4">
        <v>9</v>
      </c>
      <c r="B129">
        <v>9</v>
      </c>
    </row>
    <row r="130" spans="1:7" x14ac:dyDescent="0.3">
      <c r="A130" s="4">
        <v>10</v>
      </c>
      <c r="B130">
        <v>8</v>
      </c>
    </row>
    <row r="131" spans="1:7" x14ac:dyDescent="0.3">
      <c r="A131" s="4">
        <v>11</v>
      </c>
      <c r="B131">
        <v>11</v>
      </c>
    </row>
    <row r="132" spans="1:7" x14ac:dyDescent="0.3">
      <c r="A132" s="4">
        <v>12</v>
      </c>
      <c r="B132">
        <v>4</v>
      </c>
    </row>
    <row r="133" spans="1:7" x14ac:dyDescent="0.3">
      <c r="A133" s="4">
        <v>13</v>
      </c>
      <c r="B133">
        <v>10</v>
      </c>
    </row>
    <row r="134" spans="1:7" x14ac:dyDescent="0.3">
      <c r="A134" s="4">
        <v>14</v>
      </c>
      <c r="B134">
        <v>13</v>
      </c>
    </row>
    <row r="135" spans="1:7" x14ac:dyDescent="0.3">
      <c r="A135" s="4" t="s">
        <v>2511</v>
      </c>
      <c r="B135">
        <v>2400</v>
      </c>
    </row>
    <row r="138" spans="1:7" x14ac:dyDescent="0.3">
      <c r="A138" t="s">
        <v>2523</v>
      </c>
    </row>
    <row r="140" spans="1:7" x14ac:dyDescent="0.3">
      <c r="A140" s="3" t="s">
        <v>2504</v>
      </c>
      <c r="B140" s="3" t="s">
        <v>2512</v>
      </c>
    </row>
    <row r="141" spans="1:7" x14ac:dyDescent="0.3">
      <c r="A141" s="3" t="s">
        <v>2510</v>
      </c>
      <c r="B141">
        <v>1</v>
      </c>
      <c r="C141">
        <v>2</v>
      </c>
      <c r="D141">
        <v>3</v>
      </c>
      <c r="E141">
        <v>4</v>
      </c>
      <c r="F141">
        <v>5</v>
      </c>
      <c r="G141" t="s">
        <v>2511</v>
      </c>
    </row>
    <row r="142" spans="1:7" x14ac:dyDescent="0.3">
      <c r="A142" s="4" t="s">
        <v>2524</v>
      </c>
      <c r="B142">
        <v>7</v>
      </c>
      <c r="C142">
        <v>37</v>
      </c>
      <c r="D142">
        <v>150</v>
      </c>
      <c r="E142">
        <v>312</v>
      </c>
      <c r="F142">
        <v>224</v>
      </c>
      <c r="G142">
        <v>730</v>
      </c>
    </row>
    <row r="143" spans="1:7" x14ac:dyDescent="0.3">
      <c r="A143" s="4" t="s">
        <v>2525</v>
      </c>
      <c r="B143">
        <v>8</v>
      </c>
      <c r="C143">
        <v>51</v>
      </c>
      <c r="D143">
        <v>182</v>
      </c>
      <c r="E143">
        <v>373</v>
      </c>
      <c r="F143">
        <v>247</v>
      </c>
      <c r="G143">
        <v>861</v>
      </c>
    </row>
    <row r="144" spans="1:7" x14ac:dyDescent="0.3">
      <c r="A144" s="4" t="s">
        <v>2526</v>
      </c>
      <c r="B144">
        <v>6</v>
      </c>
      <c r="C144">
        <v>39</v>
      </c>
      <c r="D144">
        <v>163</v>
      </c>
      <c r="E144">
        <v>351</v>
      </c>
      <c r="F144">
        <v>250</v>
      </c>
      <c r="G144">
        <v>809</v>
      </c>
    </row>
    <row r="145" spans="1:7" x14ac:dyDescent="0.3">
      <c r="A145" s="4" t="s">
        <v>2511</v>
      </c>
      <c r="B145">
        <v>21</v>
      </c>
      <c r="C145">
        <v>127</v>
      </c>
      <c r="D145">
        <v>495</v>
      </c>
      <c r="E145">
        <v>1036</v>
      </c>
      <c r="F145">
        <v>721</v>
      </c>
      <c r="G145">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P2401"/>
  <sheetViews>
    <sheetView workbookViewId="0">
      <selection activeCell="A3" sqref="A3"/>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6" x14ac:dyDescent="0.3">
      <c r="A1" t="s">
        <v>0</v>
      </c>
      <c r="B1" t="s">
        <v>1</v>
      </c>
      <c r="C1" t="s">
        <v>2</v>
      </c>
      <c r="D1" t="s">
        <v>3</v>
      </c>
      <c r="E1" t="s">
        <v>4</v>
      </c>
      <c r="F1" t="s">
        <v>5</v>
      </c>
      <c r="G1" t="s">
        <v>6</v>
      </c>
      <c r="H1" t="s">
        <v>7</v>
      </c>
      <c r="I1" t="s">
        <v>8</v>
      </c>
      <c r="J1" t="s">
        <v>9</v>
      </c>
      <c r="K1" t="s">
        <v>10</v>
      </c>
      <c r="L1" t="s">
        <v>11</v>
      </c>
      <c r="M1" s="2" t="s">
        <v>12</v>
      </c>
      <c r="N1" s="2" t="s">
        <v>13</v>
      </c>
      <c r="O1" s="2" t="s">
        <v>14</v>
      </c>
      <c r="P1" s="2" t="s">
        <v>2518</v>
      </c>
    </row>
    <row r="2" spans="1:16"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c r="P2" t="str" cm="1">
        <f t="array" ref="P2">_xlfn.IFS(orders[[#This Row],[Quantity]]&lt;=5,"1 to 5",orders[[#This Row],[Quantity]]&lt;=10,"6 to 10",orders[[#This Row],[Quantity]]&lt;=16,"11 to 16",orders[[#This Row],[Quantity]]&gt;16,"Above 16")</f>
        <v>1 to 5</v>
      </c>
    </row>
    <row r="3" spans="1:16"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c r="P3" t="str" cm="1">
        <f t="array" ref="P3">_xlfn.IFS(orders[[#This Row],[Quantity]]&lt;=5,"1 to 5",orders[[#This Row],[Quantity]]&lt;=10,"6 to 10",orders[[#This Row],[Quantity]]&lt;=16,"11 to 16",orders[[#This Row],[Quantity]]&gt;16,"Above 16")</f>
        <v>1 to 5</v>
      </c>
    </row>
    <row r="4" spans="1:16"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c r="P4" t="str" cm="1">
        <f t="array" ref="P4">_xlfn.IFS(orders[[#This Row],[Quantity]]&lt;=5,"1 to 5",orders[[#This Row],[Quantity]]&lt;=10,"6 to 10",orders[[#This Row],[Quantity]]&lt;=16,"11 to 16",orders[[#This Row],[Quantity]]&gt;16,"Above 16")</f>
        <v>1 to 5</v>
      </c>
    </row>
    <row r="5" spans="1:16"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c r="P5" t="str" cm="1">
        <f t="array" ref="P5">_xlfn.IFS(orders[[#This Row],[Quantity]]&lt;=5,"1 to 5",orders[[#This Row],[Quantity]]&lt;=10,"6 to 10",orders[[#This Row],[Quantity]]&lt;=16,"11 to 16",orders[[#This Row],[Quantity]]&gt;16,"Above 16")</f>
        <v>6 to 10</v>
      </c>
    </row>
    <row r="6" spans="1:16"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c r="P6" t="str" cm="1">
        <f t="array" ref="P6">_xlfn.IFS(orders[[#This Row],[Quantity]]&lt;=5,"1 to 5",orders[[#This Row],[Quantity]]&lt;=10,"6 to 10",orders[[#This Row],[Quantity]]&lt;=16,"11 to 16",orders[[#This Row],[Quantity]]&gt;16,"Above 16")</f>
        <v>1 to 5</v>
      </c>
    </row>
    <row r="7" spans="1:16"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c r="P7" t="str" cm="1">
        <f t="array" ref="P7">_xlfn.IFS(orders[[#This Row],[Quantity]]&lt;=5,"1 to 5",orders[[#This Row],[Quantity]]&lt;=10,"6 to 10",orders[[#This Row],[Quantity]]&lt;=16,"11 to 16",orders[[#This Row],[Quantity]]&gt;16,"Above 16")</f>
        <v>11 to 16</v>
      </c>
    </row>
    <row r="8" spans="1:16"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c r="P8" t="str" cm="1">
        <f t="array" ref="P8">_xlfn.IFS(orders[[#This Row],[Quantity]]&lt;=5,"1 to 5",orders[[#This Row],[Quantity]]&lt;=10,"6 to 10",orders[[#This Row],[Quantity]]&lt;=16,"11 to 16",orders[[#This Row],[Quantity]]&gt;16,"Above 16")</f>
        <v>1 to 5</v>
      </c>
    </row>
    <row r="9" spans="1:16"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c r="P9" t="str" cm="1">
        <f t="array" ref="P9">_xlfn.IFS(orders[[#This Row],[Quantity]]&lt;=5,"1 to 5",orders[[#This Row],[Quantity]]&lt;=10,"6 to 10",orders[[#This Row],[Quantity]]&lt;=16,"11 to 16",orders[[#This Row],[Quantity]]&gt;16,"Above 16")</f>
        <v>1 to 5</v>
      </c>
    </row>
    <row r="10" spans="1:16"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c r="P10" t="str" cm="1">
        <f t="array" ref="P10">_xlfn.IFS(orders[[#This Row],[Quantity]]&lt;=5,"1 to 5",orders[[#This Row],[Quantity]]&lt;=10,"6 to 10",orders[[#This Row],[Quantity]]&lt;=16,"11 to 16",orders[[#This Row],[Quantity]]&gt;16,"Above 16")</f>
        <v>11 to 16</v>
      </c>
    </row>
    <row r="11" spans="1:16"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c r="P11" t="str" cm="1">
        <f t="array" ref="P11">_xlfn.IFS(orders[[#This Row],[Quantity]]&lt;=5,"1 to 5",orders[[#This Row],[Quantity]]&lt;=10,"6 to 10",orders[[#This Row],[Quantity]]&lt;=16,"11 to 16",orders[[#This Row],[Quantity]]&gt;16,"Above 16")</f>
        <v>6 to 10</v>
      </c>
    </row>
    <row r="12" spans="1:16"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c r="P12" t="str" cm="1">
        <f t="array" ref="P12">_xlfn.IFS(orders[[#This Row],[Quantity]]&lt;=5,"1 to 5",orders[[#This Row],[Quantity]]&lt;=10,"6 to 10",orders[[#This Row],[Quantity]]&lt;=16,"11 to 16",orders[[#This Row],[Quantity]]&gt;16,"Above 16")</f>
        <v>1 to 5</v>
      </c>
    </row>
    <row r="13" spans="1:16"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c r="P13" t="str" cm="1">
        <f t="array" ref="P13">_xlfn.IFS(orders[[#This Row],[Quantity]]&lt;=5,"1 to 5",orders[[#This Row],[Quantity]]&lt;=10,"6 to 10",orders[[#This Row],[Quantity]]&lt;=16,"11 to 16",orders[[#This Row],[Quantity]]&gt;16,"Above 16")</f>
        <v>1 to 5</v>
      </c>
    </row>
    <row r="14" spans="1:16"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c r="P14" t="str" cm="1">
        <f t="array" ref="P14">_xlfn.IFS(orders[[#This Row],[Quantity]]&lt;=5,"1 to 5",orders[[#This Row],[Quantity]]&lt;=10,"6 to 10",orders[[#This Row],[Quantity]]&lt;=16,"11 to 16",orders[[#This Row],[Quantity]]&gt;16,"Above 16")</f>
        <v>6 to 10</v>
      </c>
    </row>
    <row r="15" spans="1:16"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c r="P15" t="str" cm="1">
        <f t="array" ref="P15">_xlfn.IFS(orders[[#This Row],[Quantity]]&lt;=5,"1 to 5",orders[[#This Row],[Quantity]]&lt;=10,"6 to 10",orders[[#This Row],[Quantity]]&lt;=16,"11 to 16",orders[[#This Row],[Quantity]]&gt;16,"Above 16")</f>
        <v>Above 16</v>
      </c>
    </row>
    <row r="16" spans="1:16"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c r="P16" t="str" cm="1">
        <f t="array" ref="P16">_xlfn.IFS(orders[[#This Row],[Quantity]]&lt;=5,"1 to 5",orders[[#This Row],[Quantity]]&lt;=10,"6 to 10",orders[[#This Row],[Quantity]]&lt;=16,"11 to 16",orders[[#This Row],[Quantity]]&gt;16,"Above 16")</f>
        <v>1 to 5</v>
      </c>
    </row>
    <row r="17" spans="1:16"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c r="P17" t="str" cm="1">
        <f t="array" ref="P17">_xlfn.IFS(orders[[#This Row],[Quantity]]&lt;=5,"1 to 5",orders[[#This Row],[Quantity]]&lt;=10,"6 to 10",orders[[#This Row],[Quantity]]&lt;=16,"11 to 16",orders[[#This Row],[Quantity]]&gt;16,"Above 16")</f>
        <v>6 to 10</v>
      </c>
    </row>
    <row r="18" spans="1:16"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c r="P18" t="str" cm="1">
        <f t="array" ref="P18">_xlfn.IFS(orders[[#This Row],[Quantity]]&lt;=5,"1 to 5",orders[[#This Row],[Quantity]]&lt;=10,"6 to 10",orders[[#This Row],[Quantity]]&lt;=16,"11 to 16",orders[[#This Row],[Quantity]]&gt;16,"Above 16")</f>
        <v>1 to 5</v>
      </c>
    </row>
    <row r="19" spans="1:16"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c r="P19" t="str" cm="1">
        <f t="array" ref="P19">_xlfn.IFS(orders[[#This Row],[Quantity]]&lt;=5,"1 to 5",orders[[#This Row],[Quantity]]&lt;=10,"6 to 10",orders[[#This Row],[Quantity]]&lt;=16,"11 to 16",orders[[#This Row],[Quantity]]&gt;16,"Above 16")</f>
        <v>1 to 5</v>
      </c>
    </row>
    <row r="20" spans="1:16"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c r="P20" t="str" cm="1">
        <f t="array" ref="P20">_xlfn.IFS(orders[[#This Row],[Quantity]]&lt;=5,"1 to 5",orders[[#This Row],[Quantity]]&lt;=10,"6 to 10",orders[[#This Row],[Quantity]]&lt;=16,"11 to 16",orders[[#This Row],[Quantity]]&gt;16,"Above 16")</f>
        <v>6 to 10</v>
      </c>
    </row>
    <row r="21" spans="1:16"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c r="P21" t="str" cm="1">
        <f t="array" ref="P21">_xlfn.IFS(orders[[#This Row],[Quantity]]&lt;=5,"1 to 5",orders[[#This Row],[Quantity]]&lt;=10,"6 to 10",orders[[#This Row],[Quantity]]&lt;=16,"11 to 16",orders[[#This Row],[Quantity]]&gt;16,"Above 16")</f>
        <v>1 to 5</v>
      </c>
    </row>
    <row r="22" spans="1:16"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c r="P22" t="str" cm="1">
        <f t="array" ref="P22">_xlfn.IFS(orders[[#This Row],[Quantity]]&lt;=5,"1 to 5",orders[[#This Row],[Quantity]]&lt;=10,"6 to 10",orders[[#This Row],[Quantity]]&lt;=16,"11 to 16",orders[[#This Row],[Quantity]]&gt;16,"Above 16")</f>
        <v>1 to 5</v>
      </c>
    </row>
    <row r="23" spans="1:16"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c r="P23" t="str" cm="1">
        <f t="array" ref="P23">_xlfn.IFS(orders[[#This Row],[Quantity]]&lt;=5,"1 to 5",orders[[#This Row],[Quantity]]&lt;=10,"6 to 10",orders[[#This Row],[Quantity]]&lt;=16,"11 to 16",orders[[#This Row],[Quantity]]&gt;16,"Above 16")</f>
        <v>11 to 16</v>
      </c>
    </row>
    <row r="24" spans="1:16"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c r="P24" t="str" cm="1">
        <f t="array" ref="P24">_xlfn.IFS(orders[[#This Row],[Quantity]]&lt;=5,"1 to 5",orders[[#This Row],[Quantity]]&lt;=10,"6 to 10",orders[[#This Row],[Quantity]]&lt;=16,"11 to 16",orders[[#This Row],[Quantity]]&gt;16,"Above 16")</f>
        <v>Above 16</v>
      </c>
    </row>
    <row r="25" spans="1:16"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c r="P25" t="str" cm="1">
        <f t="array" ref="P25">_xlfn.IFS(orders[[#This Row],[Quantity]]&lt;=5,"1 to 5",orders[[#This Row],[Quantity]]&lt;=10,"6 to 10",orders[[#This Row],[Quantity]]&lt;=16,"11 to 16",orders[[#This Row],[Quantity]]&gt;16,"Above 16")</f>
        <v>6 to 10</v>
      </c>
    </row>
    <row r="26" spans="1:16"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c r="P26" t="str" cm="1">
        <f t="array" ref="P26">_xlfn.IFS(orders[[#This Row],[Quantity]]&lt;=5,"1 to 5",orders[[#This Row],[Quantity]]&lt;=10,"6 to 10",orders[[#This Row],[Quantity]]&lt;=16,"11 to 16",orders[[#This Row],[Quantity]]&gt;16,"Above 16")</f>
        <v>6 to 10</v>
      </c>
    </row>
    <row r="27" spans="1:16"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c r="P27" t="str" cm="1">
        <f t="array" ref="P27">_xlfn.IFS(orders[[#This Row],[Quantity]]&lt;=5,"1 to 5",orders[[#This Row],[Quantity]]&lt;=10,"6 to 10",orders[[#This Row],[Quantity]]&lt;=16,"11 to 16",orders[[#This Row],[Quantity]]&gt;16,"Above 16")</f>
        <v>6 to 10</v>
      </c>
    </row>
    <row r="28" spans="1:16"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c r="P28" t="str" cm="1">
        <f t="array" ref="P28">_xlfn.IFS(orders[[#This Row],[Quantity]]&lt;=5,"1 to 5",orders[[#This Row],[Quantity]]&lt;=10,"6 to 10",orders[[#This Row],[Quantity]]&lt;=16,"11 to 16",orders[[#This Row],[Quantity]]&gt;16,"Above 16")</f>
        <v>6 to 10</v>
      </c>
    </row>
    <row r="29" spans="1:16"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c r="P29" t="str" cm="1">
        <f t="array" ref="P29">_xlfn.IFS(orders[[#This Row],[Quantity]]&lt;=5,"1 to 5",orders[[#This Row],[Quantity]]&lt;=10,"6 to 10",orders[[#This Row],[Quantity]]&lt;=16,"11 to 16",orders[[#This Row],[Quantity]]&gt;16,"Above 16")</f>
        <v>1 to 5</v>
      </c>
    </row>
    <row r="30" spans="1:16"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c r="P30" t="str" cm="1">
        <f t="array" ref="P30">_xlfn.IFS(orders[[#This Row],[Quantity]]&lt;=5,"1 to 5",orders[[#This Row],[Quantity]]&lt;=10,"6 to 10",orders[[#This Row],[Quantity]]&lt;=16,"11 to 16",orders[[#This Row],[Quantity]]&gt;16,"Above 16")</f>
        <v>1 to 5</v>
      </c>
    </row>
    <row r="31" spans="1:16"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c r="P31" t="str" cm="1">
        <f t="array" ref="P31">_xlfn.IFS(orders[[#This Row],[Quantity]]&lt;=5,"1 to 5",orders[[#This Row],[Quantity]]&lt;=10,"6 to 10",orders[[#This Row],[Quantity]]&lt;=16,"11 to 16",orders[[#This Row],[Quantity]]&gt;16,"Above 16")</f>
        <v>6 to 10</v>
      </c>
    </row>
    <row r="32" spans="1:16"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c r="P32" t="str" cm="1">
        <f t="array" ref="P32">_xlfn.IFS(orders[[#This Row],[Quantity]]&lt;=5,"1 to 5",orders[[#This Row],[Quantity]]&lt;=10,"6 to 10",orders[[#This Row],[Quantity]]&lt;=16,"11 to 16",orders[[#This Row],[Quantity]]&gt;16,"Above 16")</f>
        <v>6 to 10</v>
      </c>
    </row>
    <row r="33" spans="1:16"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c r="P33" t="str" cm="1">
        <f t="array" ref="P33">_xlfn.IFS(orders[[#This Row],[Quantity]]&lt;=5,"1 to 5",orders[[#This Row],[Quantity]]&lt;=10,"6 to 10",orders[[#This Row],[Quantity]]&lt;=16,"11 to 16",orders[[#This Row],[Quantity]]&gt;16,"Above 16")</f>
        <v>1 to 5</v>
      </c>
    </row>
    <row r="34" spans="1:16"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c r="P34" t="str" cm="1">
        <f t="array" ref="P34">_xlfn.IFS(orders[[#This Row],[Quantity]]&lt;=5,"1 to 5",orders[[#This Row],[Quantity]]&lt;=10,"6 to 10",orders[[#This Row],[Quantity]]&lt;=16,"11 to 16",orders[[#This Row],[Quantity]]&gt;16,"Above 16")</f>
        <v>1 to 5</v>
      </c>
    </row>
    <row r="35" spans="1:16"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c r="P35" t="str" cm="1">
        <f t="array" ref="P35">_xlfn.IFS(orders[[#This Row],[Quantity]]&lt;=5,"1 to 5",orders[[#This Row],[Quantity]]&lt;=10,"6 to 10",orders[[#This Row],[Quantity]]&lt;=16,"11 to 16",orders[[#This Row],[Quantity]]&gt;16,"Above 16")</f>
        <v>6 to 10</v>
      </c>
    </row>
    <row r="36" spans="1:16"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c r="P36" t="str" cm="1">
        <f t="array" ref="P36">_xlfn.IFS(orders[[#This Row],[Quantity]]&lt;=5,"1 to 5",orders[[#This Row],[Quantity]]&lt;=10,"6 to 10",orders[[#This Row],[Quantity]]&lt;=16,"11 to 16",orders[[#This Row],[Quantity]]&gt;16,"Above 16")</f>
        <v>1 to 5</v>
      </c>
    </row>
    <row r="37" spans="1:16"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c r="P37" t="str" cm="1">
        <f t="array" ref="P37">_xlfn.IFS(orders[[#This Row],[Quantity]]&lt;=5,"1 to 5",orders[[#This Row],[Quantity]]&lt;=10,"6 to 10",orders[[#This Row],[Quantity]]&lt;=16,"11 to 16",orders[[#This Row],[Quantity]]&gt;16,"Above 16")</f>
        <v>1 to 5</v>
      </c>
    </row>
    <row r="38" spans="1:16"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c r="P38" t="str" cm="1">
        <f t="array" ref="P38">_xlfn.IFS(orders[[#This Row],[Quantity]]&lt;=5,"1 to 5",orders[[#This Row],[Quantity]]&lt;=10,"6 to 10",orders[[#This Row],[Quantity]]&lt;=16,"11 to 16",orders[[#This Row],[Quantity]]&gt;16,"Above 16")</f>
        <v>Above 16</v>
      </c>
    </row>
    <row r="39" spans="1:16"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c r="P39" t="str" cm="1">
        <f t="array" ref="P39">_xlfn.IFS(orders[[#This Row],[Quantity]]&lt;=5,"1 to 5",orders[[#This Row],[Quantity]]&lt;=10,"6 to 10",orders[[#This Row],[Quantity]]&lt;=16,"11 to 16",orders[[#This Row],[Quantity]]&gt;16,"Above 16")</f>
        <v>11 to 16</v>
      </c>
    </row>
    <row r="40" spans="1:16"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c r="P40" t="str" cm="1">
        <f t="array" ref="P40">_xlfn.IFS(orders[[#This Row],[Quantity]]&lt;=5,"1 to 5",orders[[#This Row],[Quantity]]&lt;=10,"6 to 10",orders[[#This Row],[Quantity]]&lt;=16,"11 to 16",orders[[#This Row],[Quantity]]&gt;16,"Above 16")</f>
        <v>1 to 5</v>
      </c>
    </row>
    <row r="41" spans="1:16"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c r="P41" t="str" cm="1">
        <f t="array" ref="P41">_xlfn.IFS(orders[[#This Row],[Quantity]]&lt;=5,"1 to 5",orders[[#This Row],[Quantity]]&lt;=10,"6 to 10",orders[[#This Row],[Quantity]]&lt;=16,"11 to 16",orders[[#This Row],[Quantity]]&gt;16,"Above 16")</f>
        <v>1 to 5</v>
      </c>
    </row>
    <row r="42" spans="1:16"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c r="P42" t="str" cm="1">
        <f t="array" ref="P42">_xlfn.IFS(orders[[#This Row],[Quantity]]&lt;=5,"1 to 5",orders[[#This Row],[Quantity]]&lt;=10,"6 to 10",orders[[#This Row],[Quantity]]&lt;=16,"11 to 16",orders[[#This Row],[Quantity]]&gt;16,"Above 16")</f>
        <v>1 to 5</v>
      </c>
    </row>
    <row r="43" spans="1:16"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c r="P43" t="str" cm="1">
        <f t="array" ref="P43">_xlfn.IFS(orders[[#This Row],[Quantity]]&lt;=5,"1 to 5",orders[[#This Row],[Quantity]]&lt;=10,"6 to 10",orders[[#This Row],[Quantity]]&lt;=16,"11 to 16",orders[[#This Row],[Quantity]]&gt;16,"Above 16")</f>
        <v>1 to 5</v>
      </c>
    </row>
    <row r="44" spans="1:16"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c r="P44" t="str" cm="1">
        <f t="array" ref="P44">_xlfn.IFS(orders[[#This Row],[Quantity]]&lt;=5,"1 to 5",orders[[#This Row],[Quantity]]&lt;=10,"6 to 10",orders[[#This Row],[Quantity]]&lt;=16,"11 to 16",orders[[#This Row],[Quantity]]&gt;16,"Above 16")</f>
        <v>1 to 5</v>
      </c>
    </row>
    <row r="45" spans="1:16"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c r="P45" t="str" cm="1">
        <f t="array" ref="P45">_xlfn.IFS(orders[[#This Row],[Quantity]]&lt;=5,"1 to 5",orders[[#This Row],[Quantity]]&lt;=10,"6 to 10",orders[[#This Row],[Quantity]]&lt;=16,"11 to 16",orders[[#This Row],[Quantity]]&gt;16,"Above 16")</f>
        <v>1 to 5</v>
      </c>
    </row>
    <row r="46" spans="1:16"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c r="P46" t="str" cm="1">
        <f t="array" ref="P46">_xlfn.IFS(orders[[#This Row],[Quantity]]&lt;=5,"1 to 5",orders[[#This Row],[Quantity]]&lt;=10,"6 to 10",orders[[#This Row],[Quantity]]&lt;=16,"11 to 16",orders[[#This Row],[Quantity]]&gt;16,"Above 16")</f>
        <v>1 to 5</v>
      </c>
    </row>
    <row r="47" spans="1:16"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c r="P47" t="str" cm="1">
        <f t="array" ref="P47">_xlfn.IFS(orders[[#This Row],[Quantity]]&lt;=5,"1 to 5",orders[[#This Row],[Quantity]]&lt;=10,"6 to 10",orders[[#This Row],[Quantity]]&lt;=16,"11 to 16",orders[[#This Row],[Quantity]]&gt;16,"Above 16")</f>
        <v>1 to 5</v>
      </c>
    </row>
    <row r="48" spans="1:16"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c r="P48" t="str" cm="1">
        <f t="array" ref="P48">_xlfn.IFS(orders[[#This Row],[Quantity]]&lt;=5,"1 to 5",orders[[#This Row],[Quantity]]&lt;=10,"6 to 10",orders[[#This Row],[Quantity]]&lt;=16,"11 to 16",orders[[#This Row],[Quantity]]&gt;16,"Above 16")</f>
        <v>1 to 5</v>
      </c>
    </row>
    <row r="49" spans="1:16"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c r="P49" t="str" cm="1">
        <f t="array" ref="P49">_xlfn.IFS(orders[[#This Row],[Quantity]]&lt;=5,"1 to 5",orders[[#This Row],[Quantity]]&lt;=10,"6 to 10",orders[[#This Row],[Quantity]]&lt;=16,"11 to 16",orders[[#This Row],[Quantity]]&gt;16,"Above 16")</f>
        <v>1 to 5</v>
      </c>
    </row>
    <row r="50" spans="1:16"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c r="P50" t="str" cm="1">
        <f t="array" ref="P50">_xlfn.IFS(orders[[#This Row],[Quantity]]&lt;=5,"1 to 5",orders[[#This Row],[Quantity]]&lt;=10,"6 to 10",orders[[#This Row],[Quantity]]&lt;=16,"11 to 16",orders[[#This Row],[Quantity]]&gt;16,"Above 16")</f>
        <v>1 to 5</v>
      </c>
    </row>
    <row r="51" spans="1:16"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c r="P51" t="str" cm="1">
        <f t="array" ref="P51">_xlfn.IFS(orders[[#This Row],[Quantity]]&lt;=5,"1 to 5",orders[[#This Row],[Quantity]]&lt;=10,"6 to 10",orders[[#This Row],[Quantity]]&lt;=16,"11 to 16",orders[[#This Row],[Quantity]]&gt;16,"Above 16")</f>
        <v>1 to 5</v>
      </c>
    </row>
    <row r="52" spans="1:16"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c r="P52" t="str" cm="1">
        <f t="array" ref="P52">_xlfn.IFS(orders[[#This Row],[Quantity]]&lt;=5,"1 to 5",orders[[#This Row],[Quantity]]&lt;=10,"6 to 10",orders[[#This Row],[Quantity]]&lt;=16,"11 to 16",orders[[#This Row],[Quantity]]&gt;16,"Above 16")</f>
        <v>1 to 5</v>
      </c>
    </row>
    <row r="53" spans="1:16"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c r="P53" t="str" cm="1">
        <f t="array" ref="P53">_xlfn.IFS(orders[[#This Row],[Quantity]]&lt;=5,"1 to 5",orders[[#This Row],[Quantity]]&lt;=10,"6 to 10",orders[[#This Row],[Quantity]]&lt;=16,"11 to 16",orders[[#This Row],[Quantity]]&gt;16,"Above 16")</f>
        <v>1 to 5</v>
      </c>
    </row>
    <row r="54" spans="1:16"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c r="P54" t="str" cm="1">
        <f t="array" ref="P54">_xlfn.IFS(orders[[#This Row],[Quantity]]&lt;=5,"1 to 5",orders[[#This Row],[Quantity]]&lt;=10,"6 to 10",orders[[#This Row],[Quantity]]&lt;=16,"11 to 16",orders[[#This Row],[Quantity]]&gt;16,"Above 16")</f>
        <v>1 to 5</v>
      </c>
    </row>
    <row r="55" spans="1:16"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c r="P55" t="str" cm="1">
        <f t="array" ref="P55">_xlfn.IFS(orders[[#This Row],[Quantity]]&lt;=5,"1 to 5",orders[[#This Row],[Quantity]]&lt;=10,"6 to 10",orders[[#This Row],[Quantity]]&lt;=16,"11 to 16",orders[[#This Row],[Quantity]]&gt;16,"Above 16")</f>
        <v>1 to 5</v>
      </c>
    </row>
    <row r="56" spans="1:16"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c r="P56" t="str" cm="1">
        <f t="array" ref="P56">_xlfn.IFS(orders[[#This Row],[Quantity]]&lt;=5,"1 to 5",orders[[#This Row],[Quantity]]&lt;=10,"6 to 10",orders[[#This Row],[Quantity]]&lt;=16,"11 to 16",orders[[#This Row],[Quantity]]&gt;16,"Above 16")</f>
        <v>1 to 5</v>
      </c>
    </row>
    <row r="57" spans="1:16"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c r="P57" t="str" cm="1">
        <f t="array" ref="P57">_xlfn.IFS(orders[[#This Row],[Quantity]]&lt;=5,"1 to 5",orders[[#This Row],[Quantity]]&lt;=10,"6 to 10",orders[[#This Row],[Quantity]]&lt;=16,"11 to 16",orders[[#This Row],[Quantity]]&gt;16,"Above 16")</f>
        <v>6 to 10</v>
      </c>
    </row>
    <row r="58" spans="1:16"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c r="P58" t="str" cm="1">
        <f t="array" ref="P58">_xlfn.IFS(orders[[#This Row],[Quantity]]&lt;=5,"1 to 5",orders[[#This Row],[Quantity]]&lt;=10,"6 to 10",orders[[#This Row],[Quantity]]&lt;=16,"11 to 16",orders[[#This Row],[Quantity]]&gt;16,"Above 16")</f>
        <v>11 to 16</v>
      </c>
    </row>
    <row r="59" spans="1:16"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c r="P59" t="str" cm="1">
        <f t="array" ref="P59">_xlfn.IFS(orders[[#This Row],[Quantity]]&lt;=5,"1 to 5",orders[[#This Row],[Quantity]]&lt;=10,"6 to 10",orders[[#This Row],[Quantity]]&lt;=16,"11 to 16",orders[[#This Row],[Quantity]]&gt;16,"Above 16")</f>
        <v>6 to 10</v>
      </c>
    </row>
    <row r="60" spans="1:16"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c r="P60" t="str" cm="1">
        <f t="array" ref="P60">_xlfn.IFS(orders[[#This Row],[Quantity]]&lt;=5,"1 to 5",orders[[#This Row],[Quantity]]&lt;=10,"6 to 10",orders[[#This Row],[Quantity]]&lt;=16,"11 to 16",orders[[#This Row],[Quantity]]&gt;16,"Above 16")</f>
        <v>1 to 5</v>
      </c>
    </row>
    <row r="61" spans="1:16"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c r="P61" t="str" cm="1">
        <f t="array" ref="P61">_xlfn.IFS(orders[[#This Row],[Quantity]]&lt;=5,"1 to 5",orders[[#This Row],[Quantity]]&lt;=10,"6 to 10",orders[[#This Row],[Quantity]]&lt;=16,"11 to 16",orders[[#This Row],[Quantity]]&gt;16,"Above 16")</f>
        <v>1 to 5</v>
      </c>
    </row>
    <row r="62" spans="1:16"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c r="P62" t="str" cm="1">
        <f t="array" ref="P62">_xlfn.IFS(orders[[#This Row],[Quantity]]&lt;=5,"1 to 5",orders[[#This Row],[Quantity]]&lt;=10,"6 to 10",orders[[#This Row],[Quantity]]&lt;=16,"11 to 16",orders[[#This Row],[Quantity]]&gt;16,"Above 16")</f>
        <v>1 to 5</v>
      </c>
    </row>
    <row r="63" spans="1:16"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c r="P63" t="str" cm="1">
        <f t="array" ref="P63">_xlfn.IFS(orders[[#This Row],[Quantity]]&lt;=5,"1 to 5",orders[[#This Row],[Quantity]]&lt;=10,"6 to 10",orders[[#This Row],[Quantity]]&lt;=16,"11 to 16",orders[[#This Row],[Quantity]]&gt;16,"Above 16")</f>
        <v>1 to 5</v>
      </c>
    </row>
    <row r="64" spans="1:16"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c r="P64" t="str" cm="1">
        <f t="array" ref="P64">_xlfn.IFS(orders[[#This Row],[Quantity]]&lt;=5,"1 to 5",orders[[#This Row],[Quantity]]&lt;=10,"6 to 10",orders[[#This Row],[Quantity]]&lt;=16,"11 to 16",orders[[#This Row],[Quantity]]&gt;16,"Above 16")</f>
        <v>Above 16</v>
      </c>
    </row>
    <row r="65" spans="1:16"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c r="P65" t="str" cm="1">
        <f t="array" ref="P65">_xlfn.IFS(orders[[#This Row],[Quantity]]&lt;=5,"1 to 5",orders[[#This Row],[Quantity]]&lt;=10,"6 to 10",orders[[#This Row],[Quantity]]&lt;=16,"11 to 16",orders[[#This Row],[Quantity]]&gt;16,"Above 16")</f>
        <v>1 to 5</v>
      </c>
    </row>
    <row r="66" spans="1:16"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c r="P66" t="str" cm="1">
        <f t="array" ref="P66">_xlfn.IFS(orders[[#This Row],[Quantity]]&lt;=5,"1 to 5",orders[[#This Row],[Quantity]]&lt;=10,"6 to 10",orders[[#This Row],[Quantity]]&lt;=16,"11 to 16",orders[[#This Row],[Quantity]]&gt;16,"Above 16")</f>
        <v>1 to 5</v>
      </c>
    </row>
    <row r="67" spans="1:16"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c r="P67" t="str" cm="1">
        <f t="array" ref="P67">_xlfn.IFS(orders[[#This Row],[Quantity]]&lt;=5,"1 to 5",orders[[#This Row],[Quantity]]&lt;=10,"6 to 10",orders[[#This Row],[Quantity]]&lt;=16,"11 to 16",orders[[#This Row],[Quantity]]&gt;16,"Above 16")</f>
        <v>1 to 5</v>
      </c>
    </row>
    <row r="68" spans="1:16"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c r="P68" t="str" cm="1">
        <f t="array" ref="P68">_xlfn.IFS(orders[[#This Row],[Quantity]]&lt;=5,"1 to 5",orders[[#This Row],[Quantity]]&lt;=10,"6 to 10",orders[[#This Row],[Quantity]]&lt;=16,"11 to 16",orders[[#This Row],[Quantity]]&gt;16,"Above 16")</f>
        <v>6 to 10</v>
      </c>
    </row>
    <row r="69" spans="1:16"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c r="P69" t="str" cm="1">
        <f t="array" ref="P69">_xlfn.IFS(orders[[#This Row],[Quantity]]&lt;=5,"1 to 5",orders[[#This Row],[Quantity]]&lt;=10,"6 to 10",orders[[#This Row],[Quantity]]&lt;=16,"11 to 16",orders[[#This Row],[Quantity]]&gt;16,"Above 16")</f>
        <v>1 to 5</v>
      </c>
    </row>
    <row r="70" spans="1:16"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c r="P70" t="str" cm="1">
        <f t="array" ref="P70">_xlfn.IFS(orders[[#This Row],[Quantity]]&lt;=5,"1 to 5",orders[[#This Row],[Quantity]]&lt;=10,"6 to 10",orders[[#This Row],[Quantity]]&lt;=16,"11 to 16",orders[[#This Row],[Quantity]]&gt;16,"Above 16")</f>
        <v>1 to 5</v>
      </c>
    </row>
    <row r="71" spans="1:16"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c r="P71" t="str" cm="1">
        <f t="array" ref="P71">_xlfn.IFS(orders[[#This Row],[Quantity]]&lt;=5,"1 to 5",orders[[#This Row],[Quantity]]&lt;=10,"6 to 10",orders[[#This Row],[Quantity]]&lt;=16,"11 to 16",orders[[#This Row],[Quantity]]&gt;16,"Above 16")</f>
        <v>1 to 5</v>
      </c>
    </row>
    <row r="72" spans="1:16"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c r="P72" t="str" cm="1">
        <f t="array" ref="P72">_xlfn.IFS(orders[[#This Row],[Quantity]]&lt;=5,"1 to 5",orders[[#This Row],[Quantity]]&lt;=10,"6 to 10",orders[[#This Row],[Quantity]]&lt;=16,"11 to 16",orders[[#This Row],[Quantity]]&gt;16,"Above 16")</f>
        <v>1 to 5</v>
      </c>
    </row>
    <row r="73" spans="1:16"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c r="P73" t="str" cm="1">
        <f t="array" ref="P73">_xlfn.IFS(orders[[#This Row],[Quantity]]&lt;=5,"1 to 5",orders[[#This Row],[Quantity]]&lt;=10,"6 to 10",orders[[#This Row],[Quantity]]&lt;=16,"11 to 16",orders[[#This Row],[Quantity]]&gt;16,"Above 16")</f>
        <v>1 to 5</v>
      </c>
    </row>
    <row r="74" spans="1:16"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c r="P74" t="str" cm="1">
        <f t="array" ref="P74">_xlfn.IFS(orders[[#This Row],[Quantity]]&lt;=5,"1 to 5",orders[[#This Row],[Quantity]]&lt;=10,"6 to 10",orders[[#This Row],[Quantity]]&lt;=16,"11 to 16",orders[[#This Row],[Quantity]]&gt;16,"Above 16")</f>
        <v>Above 16</v>
      </c>
    </row>
    <row r="75" spans="1:16"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c r="P75" t="str" cm="1">
        <f t="array" ref="P75">_xlfn.IFS(orders[[#This Row],[Quantity]]&lt;=5,"1 to 5",orders[[#This Row],[Quantity]]&lt;=10,"6 to 10",orders[[#This Row],[Quantity]]&lt;=16,"11 to 16",orders[[#This Row],[Quantity]]&gt;16,"Above 16")</f>
        <v>1 to 5</v>
      </c>
    </row>
    <row r="76" spans="1:16"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c r="P76" t="str" cm="1">
        <f t="array" ref="P76">_xlfn.IFS(orders[[#This Row],[Quantity]]&lt;=5,"1 to 5",orders[[#This Row],[Quantity]]&lt;=10,"6 to 10",orders[[#This Row],[Quantity]]&lt;=16,"11 to 16",orders[[#This Row],[Quantity]]&gt;16,"Above 16")</f>
        <v>1 to 5</v>
      </c>
    </row>
    <row r="77" spans="1:16"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c r="P77" t="str" cm="1">
        <f t="array" ref="P77">_xlfn.IFS(orders[[#This Row],[Quantity]]&lt;=5,"1 to 5",orders[[#This Row],[Quantity]]&lt;=10,"6 to 10",orders[[#This Row],[Quantity]]&lt;=16,"11 to 16",orders[[#This Row],[Quantity]]&gt;16,"Above 16")</f>
        <v>1 to 5</v>
      </c>
    </row>
    <row r="78" spans="1:16"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c r="P78" t="str" cm="1">
        <f t="array" ref="P78">_xlfn.IFS(orders[[#This Row],[Quantity]]&lt;=5,"1 to 5",orders[[#This Row],[Quantity]]&lt;=10,"6 to 10",orders[[#This Row],[Quantity]]&lt;=16,"11 to 16",orders[[#This Row],[Quantity]]&gt;16,"Above 16")</f>
        <v>6 to 10</v>
      </c>
    </row>
    <row r="79" spans="1:16"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c r="P79" t="str" cm="1">
        <f t="array" ref="P79">_xlfn.IFS(orders[[#This Row],[Quantity]]&lt;=5,"1 to 5",orders[[#This Row],[Quantity]]&lt;=10,"6 to 10",orders[[#This Row],[Quantity]]&lt;=16,"11 to 16",orders[[#This Row],[Quantity]]&gt;16,"Above 16")</f>
        <v>1 to 5</v>
      </c>
    </row>
    <row r="80" spans="1:16"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c r="P80" t="str" cm="1">
        <f t="array" ref="P80">_xlfn.IFS(orders[[#This Row],[Quantity]]&lt;=5,"1 to 5",orders[[#This Row],[Quantity]]&lt;=10,"6 to 10",orders[[#This Row],[Quantity]]&lt;=16,"11 to 16",orders[[#This Row],[Quantity]]&gt;16,"Above 16")</f>
        <v>1 to 5</v>
      </c>
    </row>
    <row r="81" spans="1:16"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c r="P81" t="str" cm="1">
        <f t="array" ref="P81">_xlfn.IFS(orders[[#This Row],[Quantity]]&lt;=5,"1 to 5",orders[[#This Row],[Quantity]]&lt;=10,"6 to 10",orders[[#This Row],[Quantity]]&lt;=16,"11 to 16",orders[[#This Row],[Quantity]]&gt;16,"Above 16")</f>
        <v>1 to 5</v>
      </c>
    </row>
    <row r="82" spans="1:16"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c r="P82" t="str" cm="1">
        <f t="array" ref="P82">_xlfn.IFS(orders[[#This Row],[Quantity]]&lt;=5,"1 to 5",orders[[#This Row],[Quantity]]&lt;=10,"6 to 10",orders[[#This Row],[Quantity]]&lt;=16,"11 to 16",orders[[#This Row],[Quantity]]&gt;16,"Above 16")</f>
        <v>1 to 5</v>
      </c>
    </row>
    <row r="83" spans="1:16"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c r="P83" t="str" cm="1">
        <f t="array" ref="P83">_xlfn.IFS(orders[[#This Row],[Quantity]]&lt;=5,"1 to 5",orders[[#This Row],[Quantity]]&lt;=10,"6 to 10",orders[[#This Row],[Quantity]]&lt;=16,"11 to 16",orders[[#This Row],[Quantity]]&gt;16,"Above 16")</f>
        <v>6 to 10</v>
      </c>
    </row>
    <row r="84" spans="1:16"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c r="P84" t="str" cm="1">
        <f t="array" ref="P84">_xlfn.IFS(orders[[#This Row],[Quantity]]&lt;=5,"1 to 5",orders[[#This Row],[Quantity]]&lt;=10,"6 to 10",orders[[#This Row],[Quantity]]&lt;=16,"11 to 16",orders[[#This Row],[Quantity]]&gt;16,"Above 16")</f>
        <v>1 to 5</v>
      </c>
    </row>
    <row r="85" spans="1:16"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c r="P85" t="str" cm="1">
        <f t="array" ref="P85">_xlfn.IFS(orders[[#This Row],[Quantity]]&lt;=5,"1 to 5",orders[[#This Row],[Quantity]]&lt;=10,"6 to 10",orders[[#This Row],[Quantity]]&lt;=16,"11 to 16",orders[[#This Row],[Quantity]]&gt;16,"Above 16")</f>
        <v>6 to 10</v>
      </c>
    </row>
    <row r="86" spans="1:16"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c r="P86" t="str" cm="1">
        <f t="array" ref="P86">_xlfn.IFS(orders[[#This Row],[Quantity]]&lt;=5,"1 to 5",orders[[#This Row],[Quantity]]&lt;=10,"6 to 10",orders[[#This Row],[Quantity]]&lt;=16,"11 to 16",orders[[#This Row],[Quantity]]&gt;16,"Above 16")</f>
        <v>1 to 5</v>
      </c>
    </row>
    <row r="87" spans="1:16"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c r="P87" t="str" cm="1">
        <f t="array" ref="P87">_xlfn.IFS(orders[[#This Row],[Quantity]]&lt;=5,"1 to 5",orders[[#This Row],[Quantity]]&lt;=10,"6 to 10",orders[[#This Row],[Quantity]]&lt;=16,"11 to 16",orders[[#This Row],[Quantity]]&gt;16,"Above 16")</f>
        <v>1 to 5</v>
      </c>
    </row>
    <row r="88" spans="1:16"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c r="P88" t="str" cm="1">
        <f t="array" ref="P88">_xlfn.IFS(orders[[#This Row],[Quantity]]&lt;=5,"1 to 5",orders[[#This Row],[Quantity]]&lt;=10,"6 to 10",orders[[#This Row],[Quantity]]&lt;=16,"11 to 16",orders[[#This Row],[Quantity]]&gt;16,"Above 16")</f>
        <v>1 to 5</v>
      </c>
    </row>
    <row r="89" spans="1:16"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c r="P89" t="str" cm="1">
        <f t="array" ref="P89">_xlfn.IFS(orders[[#This Row],[Quantity]]&lt;=5,"1 to 5",orders[[#This Row],[Quantity]]&lt;=10,"6 to 10",orders[[#This Row],[Quantity]]&lt;=16,"11 to 16",orders[[#This Row],[Quantity]]&gt;16,"Above 16")</f>
        <v>1 to 5</v>
      </c>
    </row>
    <row r="90" spans="1:16"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c r="P90" t="str" cm="1">
        <f t="array" ref="P90">_xlfn.IFS(orders[[#This Row],[Quantity]]&lt;=5,"1 to 5",orders[[#This Row],[Quantity]]&lt;=10,"6 to 10",orders[[#This Row],[Quantity]]&lt;=16,"11 to 16",orders[[#This Row],[Quantity]]&gt;16,"Above 16")</f>
        <v>6 to 10</v>
      </c>
    </row>
    <row r="91" spans="1:16"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c r="P91" t="str" cm="1">
        <f t="array" ref="P91">_xlfn.IFS(orders[[#This Row],[Quantity]]&lt;=5,"1 to 5",orders[[#This Row],[Quantity]]&lt;=10,"6 to 10",orders[[#This Row],[Quantity]]&lt;=16,"11 to 16",orders[[#This Row],[Quantity]]&gt;16,"Above 16")</f>
        <v>1 to 5</v>
      </c>
    </row>
    <row r="92" spans="1:16"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c r="P92" t="str" cm="1">
        <f t="array" ref="P92">_xlfn.IFS(orders[[#This Row],[Quantity]]&lt;=5,"1 to 5",orders[[#This Row],[Quantity]]&lt;=10,"6 to 10",orders[[#This Row],[Quantity]]&lt;=16,"11 to 16",orders[[#This Row],[Quantity]]&gt;16,"Above 16")</f>
        <v>1 to 5</v>
      </c>
    </row>
    <row r="93" spans="1:16"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c r="P93" t="str" cm="1">
        <f t="array" ref="P93">_xlfn.IFS(orders[[#This Row],[Quantity]]&lt;=5,"1 to 5",orders[[#This Row],[Quantity]]&lt;=10,"6 to 10",orders[[#This Row],[Quantity]]&lt;=16,"11 to 16",orders[[#This Row],[Quantity]]&gt;16,"Above 16")</f>
        <v>6 to 10</v>
      </c>
    </row>
    <row r="94" spans="1:16"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c r="P94" t="str" cm="1">
        <f t="array" ref="P94">_xlfn.IFS(orders[[#This Row],[Quantity]]&lt;=5,"1 to 5",orders[[#This Row],[Quantity]]&lt;=10,"6 to 10",orders[[#This Row],[Quantity]]&lt;=16,"11 to 16",orders[[#This Row],[Quantity]]&gt;16,"Above 16")</f>
        <v>1 to 5</v>
      </c>
    </row>
    <row r="95" spans="1:16"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c r="P95" t="str" cm="1">
        <f t="array" ref="P95">_xlfn.IFS(orders[[#This Row],[Quantity]]&lt;=5,"1 to 5",orders[[#This Row],[Quantity]]&lt;=10,"6 to 10",orders[[#This Row],[Quantity]]&lt;=16,"11 to 16",orders[[#This Row],[Quantity]]&gt;16,"Above 16")</f>
        <v>11 to 16</v>
      </c>
    </row>
    <row r="96" spans="1:16"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c r="P96" t="str" cm="1">
        <f t="array" ref="P96">_xlfn.IFS(orders[[#This Row],[Quantity]]&lt;=5,"1 to 5",orders[[#This Row],[Quantity]]&lt;=10,"6 to 10",orders[[#This Row],[Quantity]]&lt;=16,"11 to 16",orders[[#This Row],[Quantity]]&gt;16,"Above 16")</f>
        <v>1 to 5</v>
      </c>
    </row>
    <row r="97" spans="1:16"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c r="P97" t="str" cm="1">
        <f t="array" ref="P97">_xlfn.IFS(orders[[#This Row],[Quantity]]&lt;=5,"1 to 5",orders[[#This Row],[Quantity]]&lt;=10,"6 to 10",orders[[#This Row],[Quantity]]&lt;=16,"11 to 16",orders[[#This Row],[Quantity]]&gt;16,"Above 16")</f>
        <v>1 to 5</v>
      </c>
    </row>
    <row r="98" spans="1:16"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c r="P98" t="str" cm="1">
        <f t="array" ref="P98">_xlfn.IFS(orders[[#This Row],[Quantity]]&lt;=5,"1 to 5",orders[[#This Row],[Quantity]]&lt;=10,"6 to 10",orders[[#This Row],[Quantity]]&lt;=16,"11 to 16",orders[[#This Row],[Quantity]]&gt;16,"Above 16")</f>
        <v>1 to 5</v>
      </c>
    </row>
    <row r="99" spans="1:16"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c r="P99" t="str" cm="1">
        <f t="array" ref="P99">_xlfn.IFS(orders[[#This Row],[Quantity]]&lt;=5,"1 to 5",orders[[#This Row],[Quantity]]&lt;=10,"6 to 10",orders[[#This Row],[Quantity]]&lt;=16,"11 to 16",orders[[#This Row],[Quantity]]&gt;16,"Above 16")</f>
        <v>1 to 5</v>
      </c>
    </row>
    <row r="100" spans="1:16"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c r="P100" t="str" cm="1">
        <f t="array" ref="P100">_xlfn.IFS(orders[[#This Row],[Quantity]]&lt;=5,"1 to 5",orders[[#This Row],[Quantity]]&lt;=10,"6 to 10",orders[[#This Row],[Quantity]]&lt;=16,"11 to 16",orders[[#This Row],[Quantity]]&gt;16,"Above 16")</f>
        <v>6 to 10</v>
      </c>
    </row>
    <row r="101" spans="1:16"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c r="P101" t="str" cm="1">
        <f t="array" ref="P101">_xlfn.IFS(orders[[#This Row],[Quantity]]&lt;=5,"1 to 5",orders[[#This Row],[Quantity]]&lt;=10,"6 to 10",orders[[#This Row],[Quantity]]&lt;=16,"11 to 16",orders[[#This Row],[Quantity]]&gt;16,"Above 16")</f>
        <v>1 to 5</v>
      </c>
    </row>
    <row r="102" spans="1:16"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c r="P102" t="str" cm="1">
        <f t="array" ref="P102">_xlfn.IFS(orders[[#This Row],[Quantity]]&lt;=5,"1 to 5",orders[[#This Row],[Quantity]]&lt;=10,"6 to 10",orders[[#This Row],[Quantity]]&lt;=16,"11 to 16",orders[[#This Row],[Quantity]]&gt;16,"Above 16")</f>
        <v>Above 16</v>
      </c>
    </row>
    <row r="103" spans="1:16"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c r="P103" t="str" cm="1">
        <f t="array" ref="P103">_xlfn.IFS(orders[[#This Row],[Quantity]]&lt;=5,"1 to 5",orders[[#This Row],[Quantity]]&lt;=10,"6 to 10",orders[[#This Row],[Quantity]]&lt;=16,"11 to 16",orders[[#This Row],[Quantity]]&gt;16,"Above 16")</f>
        <v>1 to 5</v>
      </c>
    </row>
    <row r="104" spans="1:16"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c r="P104" t="str" cm="1">
        <f t="array" ref="P104">_xlfn.IFS(orders[[#This Row],[Quantity]]&lt;=5,"1 to 5",orders[[#This Row],[Quantity]]&lt;=10,"6 to 10",orders[[#This Row],[Quantity]]&lt;=16,"11 to 16",orders[[#This Row],[Quantity]]&gt;16,"Above 16")</f>
        <v>11 to 16</v>
      </c>
    </row>
    <row r="105" spans="1:16"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c r="P105" t="str" cm="1">
        <f t="array" ref="P105">_xlfn.IFS(orders[[#This Row],[Quantity]]&lt;=5,"1 to 5",orders[[#This Row],[Quantity]]&lt;=10,"6 to 10",orders[[#This Row],[Quantity]]&lt;=16,"11 to 16",orders[[#This Row],[Quantity]]&gt;16,"Above 16")</f>
        <v>1 to 5</v>
      </c>
    </row>
    <row r="106" spans="1:16"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c r="P106" t="str" cm="1">
        <f t="array" ref="P106">_xlfn.IFS(orders[[#This Row],[Quantity]]&lt;=5,"1 to 5",orders[[#This Row],[Quantity]]&lt;=10,"6 to 10",orders[[#This Row],[Quantity]]&lt;=16,"11 to 16",orders[[#This Row],[Quantity]]&gt;16,"Above 16")</f>
        <v>1 to 5</v>
      </c>
    </row>
    <row r="107" spans="1:16"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c r="P107" t="str" cm="1">
        <f t="array" ref="P107">_xlfn.IFS(orders[[#This Row],[Quantity]]&lt;=5,"1 to 5",orders[[#This Row],[Quantity]]&lt;=10,"6 to 10",orders[[#This Row],[Quantity]]&lt;=16,"11 to 16",orders[[#This Row],[Quantity]]&gt;16,"Above 16")</f>
        <v>1 to 5</v>
      </c>
    </row>
    <row r="108" spans="1:16"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c r="P108" t="str" cm="1">
        <f t="array" ref="P108">_xlfn.IFS(orders[[#This Row],[Quantity]]&lt;=5,"1 to 5",orders[[#This Row],[Quantity]]&lt;=10,"6 to 10",orders[[#This Row],[Quantity]]&lt;=16,"11 to 16",orders[[#This Row],[Quantity]]&gt;16,"Above 16")</f>
        <v>6 to 10</v>
      </c>
    </row>
    <row r="109" spans="1:16"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c r="P109" t="str" cm="1">
        <f t="array" ref="P109">_xlfn.IFS(orders[[#This Row],[Quantity]]&lt;=5,"1 to 5",orders[[#This Row],[Quantity]]&lt;=10,"6 to 10",orders[[#This Row],[Quantity]]&lt;=16,"11 to 16",orders[[#This Row],[Quantity]]&gt;16,"Above 16")</f>
        <v>Above 16</v>
      </c>
    </row>
    <row r="110" spans="1:16"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c r="P110" t="str" cm="1">
        <f t="array" ref="P110">_xlfn.IFS(orders[[#This Row],[Quantity]]&lt;=5,"1 to 5",orders[[#This Row],[Quantity]]&lt;=10,"6 to 10",orders[[#This Row],[Quantity]]&lt;=16,"11 to 16",orders[[#This Row],[Quantity]]&gt;16,"Above 16")</f>
        <v>1 to 5</v>
      </c>
    </row>
    <row r="111" spans="1:16"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c r="P111" t="str" cm="1">
        <f t="array" ref="P111">_xlfn.IFS(orders[[#This Row],[Quantity]]&lt;=5,"1 to 5",orders[[#This Row],[Quantity]]&lt;=10,"6 to 10",orders[[#This Row],[Quantity]]&lt;=16,"11 to 16",orders[[#This Row],[Quantity]]&gt;16,"Above 16")</f>
        <v>11 to 16</v>
      </c>
    </row>
    <row r="112" spans="1:16"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c r="P112" t="str" cm="1">
        <f t="array" ref="P112">_xlfn.IFS(orders[[#This Row],[Quantity]]&lt;=5,"1 to 5",orders[[#This Row],[Quantity]]&lt;=10,"6 to 10",orders[[#This Row],[Quantity]]&lt;=16,"11 to 16",orders[[#This Row],[Quantity]]&gt;16,"Above 16")</f>
        <v>1 to 5</v>
      </c>
    </row>
    <row r="113" spans="1:16"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c r="P113" t="str" cm="1">
        <f t="array" ref="P113">_xlfn.IFS(orders[[#This Row],[Quantity]]&lt;=5,"1 to 5",orders[[#This Row],[Quantity]]&lt;=10,"6 to 10",orders[[#This Row],[Quantity]]&lt;=16,"11 to 16",orders[[#This Row],[Quantity]]&gt;16,"Above 16")</f>
        <v>1 to 5</v>
      </c>
    </row>
    <row r="114" spans="1:16"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c r="P114" t="str" cm="1">
        <f t="array" ref="P114">_xlfn.IFS(orders[[#This Row],[Quantity]]&lt;=5,"1 to 5",orders[[#This Row],[Quantity]]&lt;=10,"6 to 10",orders[[#This Row],[Quantity]]&lt;=16,"11 to 16",orders[[#This Row],[Quantity]]&gt;16,"Above 16")</f>
        <v>1 to 5</v>
      </c>
    </row>
    <row r="115" spans="1:16"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c r="P115" t="str" cm="1">
        <f t="array" ref="P115">_xlfn.IFS(orders[[#This Row],[Quantity]]&lt;=5,"1 to 5",orders[[#This Row],[Quantity]]&lt;=10,"6 to 10",orders[[#This Row],[Quantity]]&lt;=16,"11 to 16",orders[[#This Row],[Quantity]]&gt;16,"Above 16")</f>
        <v>1 to 5</v>
      </c>
    </row>
    <row r="116" spans="1:16"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c r="P116" t="str" cm="1">
        <f t="array" ref="P116">_xlfn.IFS(orders[[#This Row],[Quantity]]&lt;=5,"1 to 5",orders[[#This Row],[Quantity]]&lt;=10,"6 to 10",orders[[#This Row],[Quantity]]&lt;=16,"11 to 16",orders[[#This Row],[Quantity]]&gt;16,"Above 16")</f>
        <v>1 to 5</v>
      </c>
    </row>
    <row r="117" spans="1:16"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c r="P117" t="str" cm="1">
        <f t="array" ref="P117">_xlfn.IFS(orders[[#This Row],[Quantity]]&lt;=5,"1 to 5",orders[[#This Row],[Quantity]]&lt;=10,"6 to 10",orders[[#This Row],[Quantity]]&lt;=16,"11 to 16",orders[[#This Row],[Quantity]]&gt;16,"Above 16")</f>
        <v>6 to 10</v>
      </c>
    </row>
    <row r="118" spans="1:16"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c r="P118" t="str" cm="1">
        <f t="array" ref="P118">_xlfn.IFS(orders[[#This Row],[Quantity]]&lt;=5,"1 to 5",orders[[#This Row],[Quantity]]&lt;=10,"6 to 10",orders[[#This Row],[Quantity]]&lt;=16,"11 to 16",orders[[#This Row],[Quantity]]&gt;16,"Above 16")</f>
        <v>6 to 10</v>
      </c>
    </row>
    <row r="119" spans="1:16"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c r="P119" t="str" cm="1">
        <f t="array" ref="P119">_xlfn.IFS(orders[[#This Row],[Quantity]]&lt;=5,"1 to 5",orders[[#This Row],[Quantity]]&lt;=10,"6 to 10",orders[[#This Row],[Quantity]]&lt;=16,"11 to 16",orders[[#This Row],[Quantity]]&gt;16,"Above 16")</f>
        <v>11 to 16</v>
      </c>
    </row>
    <row r="120" spans="1:16"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c r="P120" t="str" cm="1">
        <f t="array" ref="P120">_xlfn.IFS(orders[[#This Row],[Quantity]]&lt;=5,"1 to 5",orders[[#This Row],[Quantity]]&lt;=10,"6 to 10",orders[[#This Row],[Quantity]]&lt;=16,"11 to 16",orders[[#This Row],[Quantity]]&gt;16,"Above 16")</f>
        <v>6 to 10</v>
      </c>
    </row>
    <row r="121" spans="1:16"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c r="P121" t="str" cm="1">
        <f t="array" ref="P121">_xlfn.IFS(orders[[#This Row],[Quantity]]&lt;=5,"1 to 5",orders[[#This Row],[Quantity]]&lt;=10,"6 to 10",orders[[#This Row],[Quantity]]&lt;=16,"11 to 16",orders[[#This Row],[Quantity]]&gt;16,"Above 16")</f>
        <v>1 to 5</v>
      </c>
    </row>
    <row r="122" spans="1:16"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c r="P122" t="str" cm="1">
        <f t="array" ref="P122">_xlfn.IFS(orders[[#This Row],[Quantity]]&lt;=5,"1 to 5",orders[[#This Row],[Quantity]]&lt;=10,"6 to 10",orders[[#This Row],[Quantity]]&lt;=16,"11 to 16",orders[[#This Row],[Quantity]]&gt;16,"Above 16")</f>
        <v>1 to 5</v>
      </c>
    </row>
    <row r="123" spans="1:16"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c r="P123" t="str" cm="1">
        <f t="array" ref="P123">_xlfn.IFS(orders[[#This Row],[Quantity]]&lt;=5,"1 to 5",orders[[#This Row],[Quantity]]&lt;=10,"6 to 10",orders[[#This Row],[Quantity]]&lt;=16,"11 to 16",orders[[#This Row],[Quantity]]&gt;16,"Above 16")</f>
        <v>1 to 5</v>
      </c>
    </row>
    <row r="124" spans="1:16"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c r="P124" t="str" cm="1">
        <f t="array" ref="P124">_xlfn.IFS(orders[[#This Row],[Quantity]]&lt;=5,"1 to 5",orders[[#This Row],[Quantity]]&lt;=10,"6 to 10",orders[[#This Row],[Quantity]]&lt;=16,"11 to 16",orders[[#This Row],[Quantity]]&gt;16,"Above 16")</f>
        <v>1 to 5</v>
      </c>
    </row>
    <row r="125" spans="1:16"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c r="P125" t="str" cm="1">
        <f t="array" ref="P125">_xlfn.IFS(orders[[#This Row],[Quantity]]&lt;=5,"1 to 5",orders[[#This Row],[Quantity]]&lt;=10,"6 to 10",orders[[#This Row],[Quantity]]&lt;=16,"11 to 16",orders[[#This Row],[Quantity]]&gt;16,"Above 16")</f>
        <v>1 to 5</v>
      </c>
    </row>
    <row r="126" spans="1:16"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c r="P126" t="str" cm="1">
        <f t="array" ref="P126">_xlfn.IFS(orders[[#This Row],[Quantity]]&lt;=5,"1 to 5",orders[[#This Row],[Quantity]]&lt;=10,"6 to 10",orders[[#This Row],[Quantity]]&lt;=16,"11 to 16",orders[[#This Row],[Quantity]]&gt;16,"Above 16")</f>
        <v>6 to 10</v>
      </c>
    </row>
    <row r="127" spans="1:16"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c r="P127" t="str" cm="1">
        <f t="array" ref="P127">_xlfn.IFS(orders[[#This Row],[Quantity]]&lt;=5,"1 to 5",orders[[#This Row],[Quantity]]&lt;=10,"6 to 10",orders[[#This Row],[Quantity]]&lt;=16,"11 to 16",orders[[#This Row],[Quantity]]&gt;16,"Above 16")</f>
        <v>1 to 5</v>
      </c>
    </row>
    <row r="128" spans="1:16"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c r="P128" t="str" cm="1">
        <f t="array" ref="P128">_xlfn.IFS(orders[[#This Row],[Quantity]]&lt;=5,"1 to 5",orders[[#This Row],[Quantity]]&lt;=10,"6 to 10",orders[[#This Row],[Quantity]]&lt;=16,"11 to 16",orders[[#This Row],[Quantity]]&gt;16,"Above 16")</f>
        <v>1 to 5</v>
      </c>
    </row>
    <row r="129" spans="1:16"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c r="P129" t="str" cm="1">
        <f t="array" ref="P129">_xlfn.IFS(orders[[#This Row],[Quantity]]&lt;=5,"1 to 5",orders[[#This Row],[Quantity]]&lt;=10,"6 to 10",orders[[#This Row],[Quantity]]&lt;=16,"11 to 16",orders[[#This Row],[Quantity]]&gt;16,"Above 16")</f>
        <v>1 to 5</v>
      </c>
    </row>
    <row r="130" spans="1:16"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c r="P130" t="str" cm="1">
        <f t="array" ref="P130">_xlfn.IFS(orders[[#This Row],[Quantity]]&lt;=5,"1 to 5",orders[[#This Row],[Quantity]]&lt;=10,"6 to 10",orders[[#This Row],[Quantity]]&lt;=16,"11 to 16",orders[[#This Row],[Quantity]]&gt;16,"Above 16")</f>
        <v>1 to 5</v>
      </c>
    </row>
    <row r="131" spans="1:16"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c r="P131" t="str" cm="1">
        <f t="array" ref="P131">_xlfn.IFS(orders[[#This Row],[Quantity]]&lt;=5,"1 to 5",orders[[#This Row],[Quantity]]&lt;=10,"6 to 10",orders[[#This Row],[Quantity]]&lt;=16,"11 to 16",orders[[#This Row],[Quantity]]&gt;16,"Above 16")</f>
        <v>1 to 5</v>
      </c>
    </row>
    <row r="132" spans="1:16"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c r="P132" t="str" cm="1">
        <f t="array" ref="P132">_xlfn.IFS(orders[[#This Row],[Quantity]]&lt;=5,"1 to 5",orders[[#This Row],[Quantity]]&lt;=10,"6 to 10",orders[[#This Row],[Quantity]]&lt;=16,"11 to 16",orders[[#This Row],[Quantity]]&gt;16,"Above 16")</f>
        <v>1 to 5</v>
      </c>
    </row>
    <row r="133" spans="1:16"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c r="P133" t="str" cm="1">
        <f t="array" ref="P133">_xlfn.IFS(orders[[#This Row],[Quantity]]&lt;=5,"1 to 5",orders[[#This Row],[Quantity]]&lt;=10,"6 to 10",orders[[#This Row],[Quantity]]&lt;=16,"11 to 16",orders[[#This Row],[Quantity]]&gt;16,"Above 16")</f>
        <v>Above 16</v>
      </c>
    </row>
    <row r="134" spans="1:16"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c r="P134" t="str" cm="1">
        <f t="array" ref="P134">_xlfn.IFS(orders[[#This Row],[Quantity]]&lt;=5,"1 to 5",orders[[#This Row],[Quantity]]&lt;=10,"6 to 10",orders[[#This Row],[Quantity]]&lt;=16,"11 to 16",orders[[#This Row],[Quantity]]&gt;16,"Above 16")</f>
        <v>Above 16</v>
      </c>
    </row>
    <row r="135" spans="1:16"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c r="P135" t="str" cm="1">
        <f t="array" ref="P135">_xlfn.IFS(orders[[#This Row],[Quantity]]&lt;=5,"1 to 5",orders[[#This Row],[Quantity]]&lt;=10,"6 to 10",orders[[#This Row],[Quantity]]&lt;=16,"11 to 16",orders[[#This Row],[Quantity]]&gt;16,"Above 16")</f>
        <v>1 to 5</v>
      </c>
    </row>
    <row r="136" spans="1:16"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c r="P136" t="str" cm="1">
        <f t="array" ref="P136">_xlfn.IFS(orders[[#This Row],[Quantity]]&lt;=5,"1 to 5",orders[[#This Row],[Quantity]]&lt;=10,"6 to 10",orders[[#This Row],[Quantity]]&lt;=16,"11 to 16",orders[[#This Row],[Quantity]]&gt;16,"Above 16")</f>
        <v>6 to 10</v>
      </c>
    </row>
    <row r="137" spans="1:16"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c r="P137" t="str" cm="1">
        <f t="array" ref="P137">_xlfn.IFS(orders[[#This Row],[Quantity]]&lt;=5,"1 to 5",orders[[#This Row],[Quantity]]&lt;=10,"6 to 10",orders[[#This Row],[Quantity]]&lt;=16,"11 to 16",orders[[#This Row],[Quantity]]&gt;16,"Above 16")</f>
        <v>1 to 5</v>
      </c>
    </row>
    <row r="138" spans="1:16"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c r="P138" t="str" cm="1">
        <f t="array" ref="P138">_xlfn.IFS(orders[[#This Row],[Quantity]]&lt;=5,"1 to 5",orders[[#This Row],[Quantity]]&lt;=10,"6 to 10",orders[[#This Row],[Quantity]]&lt;=16,"11 to 16",orders[[#This Row],[Quantity]]&gt;16,"Above 16")</f>
        <v>1 to 5</v>
      </c>
    </row>
    <row r="139" spans="1:16"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c r="P139" t="str" cm="1">
        <f t="array" ref="P139">_xlfn.IFS(orders[[#This Row],[Quantity]]&lt;=5,"1 to 5",orders[[#This Row],[Quantity]]&lt;=10,"6 to 10",orders[[#This Row],[Quantity]]&lt;=16,"11 to 16",orders[[#This Row],[Quantity]]&gt;16,"Above 16")</f>
        <v>6 to 10</v>
      </c>
    </row>
    <row r="140" spans="1:16"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c r="P140" t="str" cm="1">
        <f t="array" ref="P140">_xlfn.IFS(orders[[#This Row],[Quantity]]&lt;=5,"1 to 5",orders[[#This Row],[Quantity]]&lt;=10,"6 to 10",orders[[#This Row],[Quantity]]&lt;=16,"11 to 16",orders[[#This Row],[Quantity]]&gt;16,"Above 16")</f>
        <v>1 to 5</v>
      </c>
    </row>
    <row r="141" spans="1:16"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c r="P141" t="str" cm="1">
        <f t="array" ref="P141">_xlfn.IFS(orders[[#This Row],[Quantity]]&lt;=5,"1 to 5",orders[[#This Row],[Quantity]]&lt;=10,"6 to 10",orders[[#This Row],[Quantity]]&lt;=16,"11 to 16",orders[[#This Row],[Quantity]]&gt;16,"Above 16")</f>
        <v>1 to 5</v>
      </c>
    </row>
    <row r="142" spans="1:16"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c r="P142" t="str" cm="1">
        <f t="array" ref="P142">_xlfn.IFS(orders[[#This Row],[Quantity]]&lt;=5,"1 to 5",orders[[#This Row],[Quantity]]&lt;=10,"6 to 10",orders[[#This Row],[Quantity]]&lt;=16,"11 to 16",orders[[#This Row],[Quantity]]&gt;16,"Above 16")</f>
        <v>6 to 10</v>
      </c>
    </row>
    <row r="143" spans="1:16"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c r="P143" t="str" cm="1">
        <f t="array" ref="P143">_xlfn.IFS(orders[[#This Row],[Quantity]]&lt;=5,"1 to 5",orders[[#This Row],[Quantity]]&lt;=10,"6 to 10",orders[[#This Row],[Quantity]]&lt;=16,"11 to 16",orders[[#This Row],[Quantity]]&gt;16,"Above 16")</f>
        <v>1 to 5</v>
      </c>
    </row>
    <row r="144" spans="1:16"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c r="P144" t="str" cm="1">
        <f t="array" ref="P144">_xlfn.IFS(orders[[#This Row],[Quantity]]&lt;=5,"1 to 5",orders[[#This Row],[Quantity]]&lt;=10,"6 to 10",orders[[#This Row],[Quantity]]&lt;=16,"11 to 16",orders[[#This Row],[Quantity]]&gt;16,"Above 16")</f>
        <v>6 to 10</v>
      </c>
    </row>
    <row r="145" spans="1:16"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c r="P145" t="str" cm="1">
        <f t="array" ref="P145">_xlfn.IFS(orders[[#This Row],[Quantity]]&lt;=5,"1 to 5",orders[[#This Row],[Quantity]]&lt;=10,"6 to 10",orders[[#This Row],[Quantity]]&lt;=16,"11 to 16",orders[[#This Row],[Quantity]]&gt;16,"Above 16")</f>
        <v>1 to 5</v>
      </c>
    </row>
    <row r="146" spans="1:16"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c r="P146" t="str" cm="1">
        <f t="array" ref="P146">_xlfn.IFS(orders[[#This Row],[Quantity]]&lt;=5,"1 to 5",orders[[#This Row],[Quantity]]&lt;=10,"6 to 10",orders[[#This Row],[Quantity]]&lt;=16,"11 to 16",orders[[#This Row],[Quantity]]&gt;16,"Above 16")</f>
        <v>1 to 5</v>
      </c>
    </row>
    <row r="147" spans="1:16"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c r="P147" t="str" cm="1">
        <f t="array" ref="P147">_xlfn.IFS(orders[[#This Row],[Quantity]]&lt;=5,"1 to 5",orders[[#This Row],[Quantity]]&lt;=10,"6 to 10",orders[[#This Row],[Quantity]]&lt;=16,"11 to 16",orders[[#This Row],[Quantity]]&gt;16,"Above 16")</f>
        <v>11 to 16</v>
      </c>
    </row>
    <row r="148" spans="1:16"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c r="P148" t="str" cm="1">
        <f t="array" ref="P148">_xlfn.IFS(orders[[#This Row],[Quantity]]&lt;=5,"1 to 5",orders[[#This Row],[Quantity]]&lt;=10,"6 to 10",orders[[#This Row],[Quantity]]&lt;=16,"11 to 16",orders[[#This Row],[Quantity]]&gt;16,"Above 16")</f>
        <v>1 to 5</v>
      </c>
    </row>
    <row r="149" spans="1:16"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c r="P149" t="str" cm="1">
        <f t="array" ref="P149">_xlfn.IFS(orders[[#This Row],[Quantity]]&lt;=5,"1 to 5",orders[[#This Row],[Quantity]]&lt;=10,"6 to 10",orders[[#This Row],[Quantity]]&lt;=16,"11 to 16",orders[[#This Row],[Quantity]]&gt;16,"Above 16")</f>
        <v>1 to 5</v>
      </c>
    </row>
    <row r="150" spans="1:16"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c r="P150" t="str" cm="1">
        <f t="array" ref="P150">_xlfn.IFS(orders[[#This Row],[Quantity]]&lt;=5,"1 to 5",orders[[#This Row],[Quantity]]&lt;=10,"6 to 10",orders[[#This Row],[Quantity]]&lt;=16,"11 to 16",orders[[#This Row],[Quantity]]&gt;16,"Above 16")</f>
        <v>1 to 5</v>
      </c>
    </row>
    <row r="151" spans="1:16"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c r="P151" t="str" cm="1">
        <f t="array" ref="P151">_xlfn.IFS(orders[[#This Row],[Quantity]]&lt;=5,"1 to 5",orders[[#This Row],[Quantity]]&lt;=10,"6 to 10",orders[[#This Row],[Quantity]]&lt;=16,"11 to 16",orders[[#This Row],[Quantity]]&gt;16,"Above 16")</f>
        <v>1 to 5</v>
      </c>
    </row>
    <row r="152" spans="1:16"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c r="P152" t="str" cm="1">
        <f t="array" ref="P152">_xlfn.IFS(orders[[#This Row],[Quantity]]&lt;=5,"1 to 5",orders[[#This Row],[Quantity]]&lt;=10,"6 to 10",orders[[#This Row],[Quantity]]&lt;=16,"11 to 16",orders[[#This Row],[Quantity]]&gt;16,"Above 16")</f>
        <v>11 to 16</v>
      </c>
    </row>
    <row r="153" spans="1:16"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c r="P153" t="str" cm="1">
        <f t="array" ref="P153">_xlfn.IFS(orders[[#This Row],[Quantity]]&lt;=5,"1 to 5",orders[[#This Row],[Quantity]]&lt;=10,"6 to 10",orders[[#This Row],[Quantity]]&lt;=16,"11 to 16",orders[[#This Row],[Quantity]]&gt;16,"Above 16")</f>
        <v>1 to 5</v>
      </c>
    </row>
    <row r="154" spans="1:16"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c r="P154" t="str" cm="1">
        <f t="array" ref="P154">_xlfn.IFS(orders[[#This Row],[Quantity]]&lt;=5,"1 to 5",orders[[#This Row],[Quantity]]&lt;=10,"6 to 10",orders[[#This Row],[Quantity]]&lt;=16,"11 to 16",orders[[#This Row],[Quantity]]&gt;16,"Above 16")</f>
        <v>1 to 5</v>
      </c>
    </row>
    <row r="155" spans="1:16"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c r="P155" t="str" cm="1">
        <f t="array" ref="P155">_xlfn.IFS(orders[[#This Row],[Quantity]]&lt;=5,"1 to 5",orders[[#This Row],[Quantity]]&lt;=10,"6 to 10",orders[[#This Row],[Quantity]]&lt;=16,"11 to 16",orders[[#This Row],[Quantity]]&gt;16,"Above 16")</f>
        <v>6 to 10</v>
      </c>
    </row>
    <row r="156" spans="1:16"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c r="P156" t="str" cm="1">
        <f t="array" ref="P156">_xlfn.IFS(orders[[#This Row],[Quantity]]&lt;=5,"1 to 5",orders[[#This Row],[Quantity]]&lt;=10,"6 to 10",orders[[#This Row],[Quantity]]&lt;=16,"11 to 16",orders[[#This Row],[Quantity]]&gt;16,"Above 16")</f>
        <v>1 to 5</v>
      </c>
    </row>
    <row r="157" spans="1:16"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c r="P157" t="str" cm="1">
        <f t="array" ref="P157">_xlfn.IFS(orders[[#This Row],[Quantity]]&lt;=5,"1 to 5",orders[[#This Row],[Quantity]]&lt;=10,"6 to 10",orders[[#This Row],[Quantity]]&lt;=16,"11 to 16",orders[[#This Row],[Quantity]]&gt;16,"Above 16")</f>
        <v>1 to 5</v>
      </c>
    </row>
    <row r="158" spans="1:16"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c r="P158" t="str" cm="1">
        <f t="array" ref="P158">_xlfn.IFS(orders[[#This Row],[Quantity]]&lt;=5,"1 to 5",orders[[#This Row],[Quantity]]&lt;=10,"6 to 10",orders[[#This Row],[Quantity]]&lt;=16,"11 to 16",orders[[#This Row],[Quantity]]&gt;16,"Above 16")</f>
        <v>1 to 5</v>
      </c>
    </row>
    <row r="159" spans="1:16"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c r="P159" t="str" cm="1">
        <f t="array" ref="P159">_xlfn.IFS(orders[[#This Row],[Quantity]]&lt;=5,"1 to 5",orders[[#This Row],[Quantity]]&lt;=10,"6 to 10",orders[[#This Row],[Quantity]]&lt;=16,"11 to 16",orders[[#This Row],[Quantity]]&gt;16,"Above 16")</f>
        <v>11 to 16</v>
      </c>
    </row>
    <row r="160" spans="1:16"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c r="P160" t="str" cm="1">
        <f t="array" ref="P160">_xlfn.IFS(orders[[#This Row],[Quantity]]&lt;=5,"1 to 5",orders[[#This Row],[Quantity]]&lt;=10,"6 to 10",orders[[#This Row],[Quantity]]&lt;=16,"11 to 16",orders[[#This Row],[Quantity]]&gt;16,"Above 16")</f>
        <v>1 to 5</v>
      </c>
    </row>
    <row r="161" spans="1:16"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c r="P161" t="str" cm="1">
        <f t="array" ref="P161">_xlfn.IFS(orders[[#This Row],[Quantity]]&lt;=5,"1 to 5",orders[[#This Row],[Quantity]]&lt;=10,"6 to 10",orders[[#This Row],[Quantity]]&lt;=16,"11 to 16",orders[[#This Row],[Quantity]]&gt;16,"Above 16")</f>
        <v>1 to 5</v>
      </c>
    </row>
    <row r="162" spans="1:16"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c r="P162" t="str" cm="1">
        <f t="array" ref="P162">_xlfn.IFS(orders[[#This Row],[Quantity]]&lt;=5,"1 to 5",orders[[#This Row],[Quantity]]&lt;=10,"6 to 10",orders[[#This Row],[Quantity]]&lt;=16,"11 to 16",orders[[#This Row],[Quantity]]&gt;16,"Above 16")</f>
        <v>1 to 5</v>
      </c>
    </row>
    <row r="163" spans="1:16"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c r="P163" t="str" cm="1">
        <f t="array" ref="P163">_xlfn.IFS(orders[[#This Row],[Quantity]]&lt;=5,"1 to 5",orders[[#This Row],[Quantity]]&lt;=10,"6 to 10",orders[[#This Row],[Quantity]]&lt;=16,"11 to 16",orders[[#This Row],[Quantity]]&gt;16,"Above 16")</f>
        <v>1 to 5</v>
      </c>
    </row>
    <row r="164" spans="1:16"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c r="P164" t="str" cm="1">
        <f t="array" ref="P164">_xlfn.IFS(orders[[#This Row],[Quantity]]&lt;=5,"1 to 5",orders[[#This Row],[Quantity]]&lt;=10,"6 to 10",orders[[#This Row],[Quantity]]&lt;=16,"11 to 16",orders[[#This Row],[Quantity]]&gt;16,"Above 16")</f>
        <v>6 to 10</v>
      </c>
    </row>
    <row r="165" spans="1:16"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c r="P165" t="str" cm="1">
        <f t="array" ref="P165">_xlfn.IFS(orders[[#This Row],[Quantity]]&lt;=5,"1 to 5",orders[[#This Row],[Quantity]]&lt;=10,"6 to 10",orders[[#This Row],[Quantity]]&lt;=16,"11 to 16",orders[[#This Row],[Quantity]]&gt;16,"Above 16")</f>
        <v>6 to 10</v>
      </c>
    </row>
    <row r="166" spans="1:16"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c r="P166" t="str" cm="1">
        <f t="array" ref="P166">_xlfn.IFS(orders[[#This Row],[Quantity]]&lt;=5,"1 to 5",orders[[#This Row],[Quantity]]&lt;=10,"6 to 10",orders[[#This Row],[Quantity]]&lt;=16,"11 to 16",orders[[#This Row],[Quantity]]&gt;16,"Above 16")</f>
        <v>1 to 5</v>
      </c>
    </row>
    <row r="167" spans="1:16"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c r="P167" t="str" cm="1">
        <f t="array" ref="P167">_xlfn.IFS(orders[[#This Row],[Quantity]]&lt;=5,"1 to 5",orders[[#This Row],[Quantity]]&lt;=10,"6 to 10",orders[[#This Row],[Quantity]]&lt;=16,"11 to 16",orders[[#This Row],[Quantity]]&gt;16,"Above 16")</f>
        <v>6 to 10</v>
      </c>
    </row>
    <row r="168" spans="1:16"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c r="P168" t="str" cm="1">
        <f t="array" ref="P168">_xlfn.IFS(orders[[#This Row],[Quantity]]&lt;=5,"1 to 5",orders[[#This Row],[Quantity]]&lt;=10,"6 to 10",orders[[#This Row],[Quantity]]&lt;=16,"11 to 16",orders[[#This Row],[Quantity]]&gt;16,"Above 16")</f>
        <v>1 to 5</v>
      </c>
    </row>
    <row r="169" spans="1:16"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c r="P169" t="str" cm="1">
        <f t="array" ref="P169">_xlfn.IFS(orders[[#This Row],[Quantity]]&lt;=5,"1 to 5",orders[[#This Row],[Quantity]]&lt;=10,"6 to 10",orders[[#This Row],[Quantity]]&lt;=16,"11 to 16",orders[[#This Row],[Quantity]]&gt;16,"Above 16")</f>
        <v>1 to 5</v>
      </c>
    </row>
    <row r="170" spans="1:16"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c r="P170" t="str" cm="1">
        <f t="array" ref="P170">_xlfn.IFS(orders[[#This Row],[Quantity]]&lt;=5,"1 to 5",orders[[#This Row],[Quantity]]&lt;=10,"6 to 10",orders[[#This Row],[Quantity]]&lt;=16,"11 to 16",orders[[#This Row],[Quantity]]&gt;16,"Above 16")</f>
        <v>1 to 5</v>
      </c>
    </row>
    <row r="171" spans="1:16"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c r="P171" t="str" cm="1">
        <f t="array" ref="P171">_xlfn.IFS(orders[[#This Row],[Quantity]]&lt;=5,"1 to 5",orders[[#This Row],[Quantity]]&lt;=10,"6 to 10",orders[[#This Row],[Quantity]]&lt;=16,"11 to 16",orders[[#This Row],[Quantity]]&gt;16,"Above 16")</f>
        <v>1 to 5</v>
      </c>
    </row>
    <row r="172" spans="1:16"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c r="P172" t="str" cm="1">
        <f t="array" ref="P172">_xlfn.IFS(orders[[#This Row],[Quantity]]&lt;=5,"1 to 5",orders[[#This Row],[Quantity]]&lt;=10,"6 to 10",orders[[#This Row],[Quantity]]&lt;=16,"11 to 16",orders[[#This Row],[Quantity]]&gt;16,"Above 16")</f>
        <v>1 to 5</v>
      </c>
    </row>
    <row r="173" spans="1:16"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c r="P173" t="str" cm="1">
        <f t="array" ref="P173">_xlfn.IFS(orders[[#This Row],[Quantity]]&lt;=5,"1 to 5",orders[[#This Row],[Quantity]]&lt;=10,"6 to 10",orders[[#This Row],[Quantity]]&lt;=16,"11 to 16",orders[[#This Row],[Quantity]]&gt;16,"Above 16")</f>
        <v>Above 16</v>
      </c>
    </row>
    <row r="174" spans="1:16"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c r="P174" t="str" cm="1">
        <f t="array" ref="P174">_xlfn.IFS(orders[[#This Row],[Quantity]]&lt;=5,"1 to 5",orders[[#This Row],[Quantity]]&lt;=10,"6 to 10",orders[[#This Row],[Quantity]]&lt;=16,"11 to 16",orders[[#This Row],[Quantity]]&gt;16,"Above 16")</f>
        <v>1 to 5</v>
      </c>
    </row>
    <row r="175" spans="1:16"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c r="P175" t="str" cm="1">
        <f t="array" ref="P175">_xlfn.IFS(orders[[#This Row],[Quantity]]&lt;=5,"1 to 5",orders[[#This Row],[Quantity]]&lt;=10,"6 to 10",orders[[#This Row],[Quantity]]&lt;=16,"11 to 16",orders[[#This Row],[Quantity]]&gt;16,"Above 16")</f>
        <v>1 to 5</v>
      </c>
    </row>
    <row r="176" spans="1:16"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c r="P176" t="str" cm="1">
        <f t="array" ref="P176">_xlfn.IFS(orders[[#This Row],[Quantity]]&lt;=5,"1 to 5",orders[[#This Row],[Quantity]]&lt;=10,"6 to 10",orders[[#This Row],[Quantity]]&lt;=16,"11 to 16",orders[[#This Row],[Quantity]]&gt;16,"Above 16")</f>
        <v>1 to 5</v>
      </c>
    </row>
    <row r="177" spans="1:16"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c r="P177" t="str" cm="1">
        <f t="array" ref="P177">_xlfn.IFS(orders[[#This Row],[Quantity]]&lt;=5,"1 to 5",orders[[#This Row],[Quantity]]&lt;=10,"6 to 10",orders[[#This Row],[Quantity]]&lt;=16,"11 to 16",orders[[#This Row],[Quantity]]&gt;16,"Above 16")</f>
        <v>Above 16</v>
      </c>
    </row>
    <row r="178" spans="1:16"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c r="P178" t="str" cm="1">
        <f t="array" ref="P178">_xlfn.IFS(orders[[#This Row],[Quantity]]&lt;=5,"1 to 5",orders[[#This Row],[Quantity]]&lt;=10,"6 to 10",orders[[#This Row],[Quantity]]&lt;=16,"11 to 16",orders[[#This Row],[Quantity]]&gt;16,"Above 16")</f>
        <v>1 to 5</v>
      </c>
    </row>
    <row r="179" spans="1:16"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c r="P179" t="str" cm="1">
        <f t="array" ref="P179">_xlfn.IFS(orders[[#This Row],[Quantity]]&lt;=5,"1 to 5",orders[[#This Row],[Quantity]]&lt;=10,"6 to 10",orders[[#This Row],[Quantity]]&lt;=16,"11 to 16",orders[[#This Row],[Quantity]]&gt;16,"Above 16")</f>
        <v>11 to 16</v>
      </c>
    </row>
    <row r="180" spans="1:16"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c r="P180" t="str" cm="1">
        <f t="array" ref="P180">_xlfn.IFS(orders[[#This Row],[Quantity]]&lt;=5,"1 to 5",orders[[#This Row],[Quantity]]&lt;=10,"6 to 10",orders[[#This Row],[Quantity]]&lt;=16,"11 to 16",orders[[#This Row],[Quantity]]&gt;16,"Above 16")</f>
        <v>1 to 5</v>
      </c>
    </row>
    <row r="181" spans="1:16"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c r="P181" t="str" cm="1">
        <f t="array" ref="P181">_xlfn.IFS(orders[[#This Row],[Quantity]]&lt;=5,"1 to 5",orders[[#This Row],[Quantity]]&lt;=10,"6 to 10",orders[[#This Row],[Quantity]]&lt;=16,"11 to 16",orders[[#This Row],[Quantity]]&gt;16,"Above 16")</f>
        <v>1 to 5</v>
      </c>
    </row>
    <row r="182" spans="1:16"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c r="P182" t="str" cm="1">
        <f t="array" ref="P182">_xlfn.IFS(orders[[#This Row],[Quantity]]&lt;=5,"1 to 5",orders[[#This Row],[Quantity]]&lt;=10,"6 to 10",orders[[#This Row],[Quantity]]&lt;=16,"11 to 16",orders[[#This Row],[Quantity]]&gt;16,"Above 16")</f>
        <v>11 to 16</v>
      </c>
    </row>
    <row r="183" spans="1:16"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c r="P183" t="str" cm="1">
        <f t="array" ref="P183">_xlfn.IFS(orders[[#This Row],[Quantity]]&lt;=5,"1 to 5",orders[[#This Row],[Quantity]]&lt;=10,"6 to 10",orders[[#This Row],[Quantity]]&lt;=16,"11 to 16",orders[[#This Row],[Quantity]]&gt;16,"Above 16")</f>
        <v>6 to 10</v>
      </c>
    </row>
    <row r="184" spans="1:16"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c r="P184" t="str" cm="1">
        <f t="array" ref="P184">_xlfn.IFS(orders[[#This Row],[Quantity]]&lt;=5,"1 to 5",orders[[#This Row],[Quantity]]&lt;=10,"6 to 10",orders[[#This Row],[Quantity]]&lt;=16,"11 to 16",orders[[#This Row],[Quantity]]&gt;16,"Above 16")</f>
        <v>1 to 5</v>
      </c>
    </row>
    <row r="185" spans="1:16"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c r="P185" t="str" cm="1">
        <f t="array" ref="P185">_xlfn.IFS(orders[[#This Row],[Quantity]]&lt;=5,"1 to 5",orders[[#This Row],[Quantity]]&lt;=10,"6 to 10",orders[[#This Row],[Quantity]]&lt;=16,"11 to 16",orders[[#This Row],[Quantity]]&gt;16,"Above 16")</f>
        <v>1 to 5</v>
      </c>
    </row>
    <row r="186" spans="1:16"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c r="P186" t="str" cm="1">
        <f t="array" ref="P186">_xlfn.IFS(orders[[#This Row],[Quantity]]&lt;=5,"1 to 5",orders[[#This Row],[Quantity]]&lt;=10,"6 to 10",orders[[#This Row],[Quantity]]&lt;=16,"11 to 16",orders[[#This Row],[Quantity]]&gt;16,"Above 16")</f>
        <v>1 to 5</v>
      </c>
    </row>
    <row r="187" spans="1:16"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c r="P187" t="str" cm="1">
        <f t="array" ref="P187">_xlfn.IFS(orders[[#This Row],[Quantity]]&lt;=5,"1 to 5",orders[[#This Row],[Quantity]]&lt;=10,"6 to 10",orders[[#This Row],[Quantity]]&lt;=16,"11 to 16",orders[[#This Row],[Quantity]]&gt;16,"Above 16")</f>
        <v>1 to 5</v>
      </c>
    </row>
    <row r="188" spans="1:16"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c r="P188" t="str" cm="1">
        <f t="array" ref="P188">_xlfn.IFS(orders[[#This Row],[Quantity]]&lt;=5,"1 to 5",orders[[#This Row],[Quantity]]&lt;=10,"6 to 10",orders[[#This Row],[Quantity]]&lt;=16,"11 to 16",orders[[#This Row],[Quantity]]&gt;16,"Above 16")</f>
        <v>6 to 10</v>
      </c>
    </row>
    <row r="189" spans="1:16"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c r="P189" t="str" cm="1">
        <f t="array" ref="P189">_xlfn.IFS(orders[[#This Row],[Quantity]]&lt;=5,"1 to 5",orders[[#This Row],[Quantity]]&lt;=10,"6 to 10",orders[[#This Row],[Quantity]]&lt;=16,"11 to 16",orders[[#This Row],[Quantity]]&gt;16,"Above 16")</f>
        <v>Above 16</v>
      </c>
    </row>
    <row r="190" spans="1:16"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c r="P190" t="str" cm="1">
        <f t="array" ref="P190">_xlfn.IFS(orders[[#This Row],[Quantity]]&lt;=5,"1 to 5",orders[[#This Row],[Quantity]]&lt;=10,"6 to 10",orders[[#This Row],[Quantity]]&lt;=16,"11 to 16",orders[[#This Row],[Quantity]]&gt;16,"Above 16")</f>
        <v>1 to 5</v>
      </c>
    </row>
    <row r="191" spans="1:16"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c r="P191" t="str" cm="1">
        <f t="array" ref="P191">_xlfn.IFS(orders[[#This Row],[Quantity]]&lt;=5,"1 to 5",orders[[#This Row],[Quantity]]&lt;=10,"6 to 10",orders[[#This Row],[Quantity]]&lt;=16,"11 to 16",orders[[#This Row],[Quantity]]&gt;16,"Above 16")</f>
        <v>6 to 10</v>
      </c>
    </row>
    <row r="192" spans="1:16"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c r="P192" t="str" cm="1">
        <f t="array" ref="P192">_xlfn.IFS(orders[[#This Row],[Quantity]]&lt;=5,"1 to 5",orders[[#This Row],[Quantity]]&lt;=10,"6 to 10",orders[[#This Row],[Quantity]]&lt;=16,"11 to 16",orders[[#This Row],[Quantity]]&gt;16,"Above 16")</f>
        <v>1 to 5</v>
      </c>
    </row>
    <row r="193" spans="1:16"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c r="P193" t="str" cm="1">
        <f t="array" ref="P193">_xlfn.IFS(orders[[#This Row],[Quantity]]&lt;=5,"1 to 5",orders[[#This Row],[Quantity]]&lt;=10,"6 to 10",orders[[#This Row],[Quantity]]&lt;=16,"11 to 16",orders[[#This Row],[Quantity]]&gt;16,"Above 16")</f>
        <v>1 to 5</v>
      </c>
    </row>
    <row r="194" spans="1:16"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c r="P194" t="str" cm="1">
        <f t="array" ref="P194">_xlfn.IFS(orders[[#This Row],[Quantity]]&lt;=5,"1 to 5",orders[[#This Row],[Quantity]]&lt;=10,"6 to 10",orders[[#This Row],[Quantity]]&lt;=16,"11 to 16",orders[[#This Row],[Quantity]]&gt;16,"Above 16")</f>
        <v>1 to 5</v>
      </c>
    </row>
    <row r="195" spans="1:16"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c r="P195" t="str" cm="1">
        <f t="array" ref="P195">_xlfn.IFS(orders[[#This Row],[Quantity]]&lt;=5,"1 to 5",orders[[#This Row],[Quantity]]&lt;=10,"6 to 10",orders[[#This Row],[Quantity]]&lt;=16,"11 to 16",orders[[#This Row],[Quantity]]&gt;16,"Above 16")</f>
        <v>Above 16</v>
      </c>
    </row>
    <row r="196" spans="1:16"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c r="P196" t="str" cm="1">
        <f t="array" ref="P196">_xlfn.IFS(orders[[#This Row],[Quantity]]&lt;=5,"1 to 5",orders[[#This Row],[Quantity]]&lt;=10,"6 to 10",orders[[#This Row],[Quantity]]&lt;=16,"11 to 16",orders[[#This Row],[Quantity]]&gt;16,"Above 16")</f>
        <v>6 to 10</v>
      </c>
    </row>
    <row r="197" spans="1:16"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c r="P197" t="str" cm="1">
        <f t="array" ref="P197">_xlfn.IFS(orders[[#This Row],[Quantity]]&lt;=5,"1 to 5",orders[[#This Row],[Quantity]]&lt;=10,"6 to 10",orders[[#This Row],[Quantity]]&lt;=16,"11 to 16",orders[[#This Row],[Quantity]]&gt;16,"Above 16")</f>
        <v>1 to 5</v>
      </c>
    </row>
    <row r="198" spans="1:16"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c r="P198" t="str" cm="1">
        <f t="array" ref="P198">_xlfn.IFS(orders[[#This Row],[Quantity]]&lt;=5,"1 to 5",orders[[#This Row],[Quantity]]&lt;=10,"6 to 10",orders[[#This Row],[Quantity]]&lt;=16,"11 to 16",orders[[#This Row],[Quantity]]&gt;16,"Above 16")</f>
        <v>6 to 10</v>
      </c>
    </row>
    <row r="199" spans="1:16"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c r="P199" t="str" cm="1">
        <f t="array" ref="P199">_xlfn.IFS(orders[[#This Row],[Quantity]]&lt;=5,"1 to 5",orders[[#This Row],[Quantity]]&lt;=10,"6 to 10",orders[[#This Row],[Quantity]]&lt;=16,"11 to 16",orders[[#This Row],[Quantity]]&gt;16,"Above 16")</f>
        <v>6 to 10</v>
      </c>
    </row>
    <row r="200" spans="1:16"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c r="P200" t="str" cm="1">
        <f t="array" ref="P200">_xlfn.IFS(orders[[#This Row],[Quantity]]&lt;=5,"1 to 5",orders[[#This Row],[Quantity]]&lt;=10,"6 to 10",orders[[#This Row],[Quantity]]&lt;=16,"11 to 16",orders[[#This Row],[Quantity]]&gt;16,"Above 16")</f>
        <v>1 to 5</v>
      </c>
    </row>
    <row r="201" spans="1:16"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c r="P201" t="str" cm="1">
        <f t="array" ref="P201">_xlfn.IFS(orders[[#This Row],[Quantity]]&lt;=5,"1 to 5",orders[[#This Row],[Quantity]]&lt;=10,"6 to 10",orders[[#This Row],[Quantity]]&lt;=16,"11 to 16",orders[[#This Row],[Quantity]]&gt;16,"Above 16")</f>
        <v>1 to 5</v>
      </c>
    </row>
    <row r="202" spans="1:16"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c r="P202" t="str" cm="1">
        <f t="array" ref="P202">_xlfn.IFS(orders[[#This Row],[Quantity]]&lt;=5,"1 to 5",orders[[#This Row],[Quantity]]&lt;=10,"6 to 10",orders[[#This Row],[Quantity]]&lt;=16,"11 to 16",orders[[#This Row],[Quantity]]&gt;16,"Above 16")</f>
        <v>6 to 10</v>
      </c>
    </row>
    <row r="203" spans="1:16"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c r="P203" t="str" cm="1">
        <f t="array" ref="P203">_xlfn.IFS(orders[[#This Row],[Quantity]]&lt;=5,"1 to 5",orders[[#This Row],[Quantity]]&lt;=10,"6 to 10",orders[[#This Row],[Quantity]]&lt;=16,"11 to 16",orders[[#This Row],[Quantity]]&gt;16,"Above 16")</f>
        <v>1 to 5</v>
      </c>
    </row>
    <row r="204" spans="1:16"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c r="P204" t="str" cm="1">
        <f t="array" ref="P204">_xlfn.IFS(orders[[#This Row],[Quantity]]&lt;=5,"1 to 5",orders[[#This Row],[Quantity]]&lt;=10,"6 to 10",orders[[#This Row],[Quantity]]&lt;=16,"11 to 16",orders[[#This Row],[Quantity]]&gt;16,"Above 16")</f>
        <v>1 to 5</v>
      </c>
    </row>
    <row r="205" spans="1:16"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c r="P205" t="str" cm="1">
        <f t="array" ref="P205">_xlfn.IFS(orders[[#This Row],[Quantity]]&lt;=5,"1 to 5",orders[[#This Row],[Quantity]]&lt;=10,"6 to 10",orders[[#This Row],[Quantity]]&lt;=16,"11 to 16",orders[[#This Row],[Quantity]]&gt;16,"Above 16")</f>
        <v>6 to 10</v>
      </c>
    </row>
    <row r="206" spans="1:16"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c r="P206" t="str" cm="1">
        <f t="array" ref="P206">_xlfn.IFS(orders[[#This Row],[Quantity]]&lt;=5,"1 to 5",orders[[#This Row],[Quantity]]&lt;=10,"6 to 10",orders[[#This Row],[Quantity]]&lt;=16,"11 to 16",orders[[#This Row],[Quantity]]&gt;16,"Above 16")</f>
        <v>1 to 5</v>
      </c>
    </row>
    <row r="207" spans="1:16"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c r="P207" t="str" cm="1">
        <f t="array" ref="P207">_xlfn.IFS(orders[[#This Row],[Quantity]]&lt;=5,"1 to 5",orders[[#This Row],[Quantity]]&lt;=10,"6 to 10",orders[[#This Row],[Quantity]]&lt;=16,"11 to 16",orders[[#This Row],[Quantity]]&gt;16,"Above 16")</f>
        <v>1 to 5</v>
      </c>
    </row>
    <row r="208" spans="1:16"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c r="P208" t="str" cm="1">
        <f t="array" ref="P208">_xlfn.IFS(orders[[#This Row],[Quantity]]&lt;=5,"1 to 5",orders[[#This Row],[Quantity]]&lt;=10,"6 to 10",orders[[#This Row],[Quantity]]&lt;=16,"11 to 16",orders[[#This Row],[Quantity]]&gt;16,"Above 16")</f>
        <v>Above 16</v>
      </c>
    </row>
    <row r="209" spans="1:16"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c r="P209" t="str" cm="1">
        <f t="array" ref="P209">_xlfn.IFS(orders[[#This Row],[Quantity]]&lt;=5,"1 to 5",orders[[#This Row],[Quantity]]&lt;=10,"6 to 10",orders[[#This Row],[Quantity]]&lt;=16,"11 to 16",orders[[#This Row],[Quantity]]&gt;16,"Above 16")</f>
        <v>1 to 5</v>
      </c>
    </row>
    <row r="210" spans="1:16"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c r="P210" t="str" cm="1">
        <f t="array" ref="P210">_xlfn.IFS(orders[[#This Row],[Quantity]]&lt;=5,"1 to 5",orders[[#This Row],[Quantity]]&lt;=10,"6 to 10",orders[[#This Row],[Quantity]]&lt;=16,"11 to 16",orders[[#This Row],[Quantity]]&gt;16,"Above 16")</f>
        <v>1 to 5</v>
      </c>
    </row>
    <row r="211" spans="1:16"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c r="P211" t="str" cm="1">
        <f t="array" ref="P211">_xlfn.IFS(orders[[#This Row],[Quantity]]&lt;=5,"1 to 5",orders[[#This Row],[Quantity]]&lt;=10,"6 to 10",orders[[#This Row],[Quantity]]&lt;=16,"11 to 16",orders[[#This Row],[Quantity]]&gt;16,"Above 16")</f>
        <v>1 to 5</v>
      </c>
    </row>
    <row r="212" spans="1:16"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c r="P212" t="str" cm="1">
        <f t="array" ref="P212">_xlfn.IFS(orders[[#This Row],[Quantity]]&lt;=5,"1 to 5",orders[[#This Row],[Quantity]]&lt;=10,"6 to 10",orders[[#This Row],[Quantity]]&lt;=16,"11 to 16",orders[[#This Row],[Quantity]]&gt;16,"Above 16")</f>
        <v>1 to 5</v>
      </c>
    </row>
    <row r="213" spans="1:16"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c r="P213" t="str" cm="1">
        <f t="array" ref="P213">_xlfn.IFS(orders[[#This Row],[Quantity]]&lt;=5,"1 to 5",orders[[#This Row],[Quantity]]&lt;=10,"6 to 10",orders[[#This Row],[Quantity]]&lt;=16,"11 to 16",orders[[#This Row],[Quantity]]&gt;16,"Above 16")</f>
        <v>1 to 5</v>
      </c>
    </row>
    <row r="214" spans="1:16"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c r="P214" t="str" cm="1">
        <f t="array" ref="P214">_xlfn.IFS(orders[[#This Row],[Quantity]]&lt;=5,"1 to 5",orders[[#This Row],[Quantity]]&lt;=10,"6 to 10",orders[[#This Row],[Quantity]]&lt;=16,"11 to 16",orders[[#This Row],[Quantity]]&gt;16,"Above 16")</f>
        <v>1 to 5</v>
      </c>
    </row>
    <row r="215" spans="1:16"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c r="P215" t="str" cm="1">
        <f t="array" ref="P215">_xlfn.IFS(orders[[#This Row],[Quantity]]&lt;=5,"1 to 5",orders[[#This Row],[Quantity]]&lt;=10,"6 to 10",orders[[#This Row],[Quantity]]&lt;=16,"11 to 16",orders[[#This Row],[Quantity]]&gt;16,"Above 16")</f>
        <v>Above 16</v>
      </c>
    </row>
    <row r="216" spans="1:16"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c r="P216" t="str" cm="1">
        <f t="array" ref="P216">_xlfn.IFS(orders[[#This Row],[Quantity]]&lt;=5,"1 to 5",orders[[#This Row],[Quantity]]&lt;=10,"6 to 10",orders[[#This Row],[Quantity]]&lt;=16,"11 to 16",orders[[#This Row],[Quantity]]&gt;16,"Above 16")</f>
        <v>1 to 5</v>
      </c>
    </row>
    <row r="217" spans="1:16"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c r="P217" t="str" cm="1">
        <f t="array" ref="P217">_xlfn.IFS(orders[[#This Row],[Quantity]]&lt;=5,"1 to 5",orders[[#This Row],[Quantity]]&lt;=10,"6 to 10",orders[[#This Row],[Quantity]]&lt;=16,"11 to 16",orders[[#This Row],[Quantity]]&gt;16,"Above 16")</f>
        <v>1 to 5</v>
      </c>
    </row>
    <row r="218" spans="1:16"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c r="P218" t="str" cm="1">
        <f t="array" ref="P218">_xlfn.IFS(orders[[#This Row],[Quantity]]&lt;=5,"1 to 5",orders[[#This Row],[Quantity]]&lt;=10,"6 to 10",orders[[#This Row],[Quantity]]&lt;=16,"11 to 16",orders[[#This Row],[Quantity]]&gt;16,"Above 16")</f>
        <v>1 to 5</v>
      </c>
    </row>
    <row r="219" spans="1:16"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c r="P219" t="str" cm="1">
        <f t="array" ref="P219">_xlfn.IFS(orders[[#This Row],[Quantity]]&lt;=5,"1 to 5",orders[[#This Row],[Quantity]]&lt;=10,"6 to 10",orders[[#This Row],[Quantity]]&lt;=16,"11 to 16",orders[[#This Row],[Quantity]]&gt;16,"Above 16")</f>
        <v>1 to 5</v>
      </c>
    </row>
    <row r="220" spans="1:16"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c r="P220" t="str" cm="1">
        <f t="array" ref="P220">_xlfn.IFS(orders[[#This Row],[Quantity]]&lt;=5,"1 to 5",orders[[#This Row],[Quantity]]&lt;=10,"6 to 10",orders[[#This Row],[Quantity]]&lt;=16,"11 to 16",orders[[#This Row],[Quantity]]&gt;16,"Above 16")</f>
        <v>1 to 5</v>
      </c>
    </row>
    <row r="221" spans="1:16"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c r="P221" t="str" cm="1">
        <f t="array" ref="P221">_xlfn.IFS(orders[[#This Row],[Quantity]]&lt;=5,"1 to 5",orders[[#This Row],[Quantity]]&lt;=10,"6 to 10",orders[[#This Row],[Quantity]]&lt;=16,"11 to 16",orders[[#This Row],[Quantity]]&gt;16,"Above 16")</f>
        <v>1 to 5</v>
      </c>
    </row>
    <row r="222" spans="1:16"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c r="P222" t="str" cm="1">
        <f t="array" ref="P222">_xlfn.IFS(orders[[#This Row],[Quantity]]&lt;=5,"1 to 5",orders[[#This Row],[Quantity]]&lt;=10,"6 to 10",orders[[#This Row],[Quantity]]&lt;=16,"11 to 16",orders[[#This Row],[Quantity]]&gt;16,"Above 16")</f>
        <v>1 to 5</v>
      </c>
    </row>
    <row r="223" spans="1:16"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c r="P223" t="str" cm="1">
        <f t="array" ref="P223">_xlfn.IFS(orders[[#This Row],[Quantity]]&lt;=5,"1 to 5",orders[[#This Row],[Quantity]]&lt;=10,"6 to 10",orders[[#This Row],[Quantity]]&lt;=16,"11 to 16",orders[[#This Row],[Quantity]]&gt;16,"Above 16")</f>
        <v>1 to 5</v>
      </c>
    </row>
    <row r="224" spans="1:16"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c r="P224" t="str" cm="1">
        <f t="array" ref="P224">_xlfn.IFS(orders[[#This Row],[Quantity]]&lt;=5,"1 to 5",orders[[#This Row],[Quantity]]&lt;=10,"6 to 10",orders[[#This Row],[Quantity]]&lt;=16,"11 to 16",orders[[#This Row],[Quantity]]&gt;16,"Above 16")</f>
        <v>1 to 5</v>
      </c>
    </row>
    <row r="225" spans="1:16"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c r="P225" t="str" cm="1">
        <f t="array" ref="P225">_xlfn.IFS(orders[[#This Row],[Quantity]]&lt;=5,"1 to 5",orders[[#This Row],[Quantity]]&lt;=10,"6 to 10",orders[[#This Row],[Quantity]]&lt;=16,"11 to 16",orders[[#This Row],[Quantity]]&gt;16,"Above 16")</f>
        <v>1 to 5</v>
      </c>
    </row>
    <row r="226" spans="1:16"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c r="P226" t="str" cm="1">
        <f t="array" ref="P226">_xlfn.IFS(orders[[#This Row],[Quantity]]&lt;=5,"1 to 5",orders[[#This Row],[Quantity]]&lt;=10,"6 to 10",orders[[#This Row],[Quantity]]&lt;=16,"11 to 16",orders[[#This Row],[Quantity]]&gt;16,"Above 16")</f>
        <v>6 to 10</v>
      </c>
    </row>
    <row r="227" spans="1:16"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c r="P227" t="str" cm="1">
        <f t="array" ref="P227">_xlfn.IFS(orders[[#This Row],[Quantity]]&lt;=5,"1 to 5",orders[[#This Row],[Quantity]]&lt;=10,"6 to 10",orders[[#This Row],[Quantity]]&lt;=16,"11 to 16",orders[[#This Row],[Quantity]]&gt;16,"Above 16")</f>
        <v>1 to 5</v>
      </c>
    </row>
    <row r="228" spans="1:16"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c r="P228" t="str" cm="1">
        <f t="array" ref="P228">_xlfn.IFS(orders[[#This Row],[Quantity]]&lt;=5,"1 to 5",orders[[#This Row],[Quantity]]&lt;=10,"6 to 10",orders[[#This Row],[Quantity]]&lt;=16,"11 to 16",orders[[#This Row],[Quantity]]&gt;16,"Above 16")</f>
        <v>1 to 5</v>
      </c>
    </row>
    <row r="229" spans="1:16"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c r="P229" t="str" cm="1">
        <f t="array" ref="P229">_xlfn.IFS(orders[[#This Row],[Quantity]]&lt;=5,"1 to 5",orders[[#This Row],[Quantity]]&lt;=10,"6 to 10",orders[[#This Row],[Quantity]]&lt;=16,"11 to 16",orders[[#This Row],[Quantity]]&gt;16,"Above 16")</f>
        <v>1 to 5</v>
      </c>
    </row>
    <row r="230" spans="1:16"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c r="P230" t="str" cm="1">
        <f t="array" ref="P230">_xlfn.IFS(orders[[#This Row],[Quantity]]&lt;=5,"1 to 5",orders[[#This Row],[Quantity]]&lt;=10,"6 to 10",orders[[#This Row],[Quantity]]&lt;=16,"11 to 16",orders[[#This Row],[Quantity]]&gt;16,"Above 16")</f>
        <v>1 to 5</v>
      </c>
    </row>
    <row r="231" spans="1:16"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c r="P231" t="str" cm="1">
        <f t="array" ref="P231">_xlfn.IFS(orders[[#This Row],[Quantity]]&lt;=5,"1 to 5",orders[[#This Row],[Quantity]]&lt;=10,"6 to 10",orders[[#This Row],[Quantity]]&lt;=16,"11 to 16",orders[[#This Row],[Quantity]]&gt;16,"Above 16")</f>
        <v>6 to 10</v>
      </c>
    </row>
    <row r="232" spans="1:16"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c r="P232" t="str" cm="1">
        <f t="array" ref="P232">_xlfn.IFS(orders[[#This Row],[Quantity]]&lt;=5,"1 to 5",orders[[#This Row],[Quantity]]&lt;=10,"6 to 10",orders[[#This Row],[Quantity]]&lt;=16,"11 to 16",orders[[#This Row],[Quantity]]&gt;16,"Above 16")</f>
        <v>1 to 5</v>
      </c>
    </row>
    <row r="233" spans="1:16"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c r="P233" t="str" cm="1">
        <f t="array" ref="P233">_xlfn.IFS(orders[[#This Row],[Quantity]]&lt;=5,"1 to 5",orders[[#This Row],[Quantity]]&lt;=10,"6 to 10",orders[[#This Row],[Quantity]]&lt;=16,"11 to 16",orders[[#This Row],[Quantity]]&gt;16,"Above 16")</f>
        <v>1 to 5</v>
      </c>
    </row>
    <row r="234" spans="1:16"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c r="P234" t="str" cm="1">
        <f t="array" ref="P234">_xlfn.IFS(orders[[#This Row],[Quantity]]&lt;=5,"1 to 5",orders[[#This Row],[Quantity]]&lt;=10,"6 to 10",orders[[#This Row],[Quantity]]&lt;=16,"11 to 16",orders[[#This Row],[Quantity]]&gt;16,"Above 16")</f>
        <v>1 to 5</v>
      </c>
    </row>
    <row r="235" spans="1:16"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c r="P235" t="str" cm="1">
        <f t="array" ref="P235">_xlfn.IFS(orders[[#This Row],[Quantity]]&lt;=5,"1 to 5",orders[[#This Row],[Quantity]]&lt;=10,"6 to 10",orders[[#This Row],[Quantity]]&lt;=16,"11 to 16",orders[[#This Row],[Quantity]]&gt;16,"Above 16")</f>
        <v>1 to 5</v>
      </c>
    </row>
    <row r="236" spans="1:16"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c r="P236" t="str" cm="1">
        <f t="array" ref="P236">_xlfn.IFS(orders[[#This Row],[Quantity]]&lt;=5,"1 to 5",orders[[#This Row],[Quantity]]&lt;=10,"6 to 10",orders[[#This Row],[Quantity]]&lt;=16,"11 to 16",orders[[#This Row],[Quantity]]&gt;16,"Above 16")</f>
        <v>1 to 5</v>
      </c>
    </row>
    <row r="237" spans="1:16"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c r="P237" t="str" cm="1">
        <f t="array" ref="P237">_xlfn.IFS(orders[[#This Row],[Quantity]]&lt;=5,"1 to 5",orders[[#This Row],[Quantity]]&lt;=10,"6 to 10",orders[[#This Row],[Quantity]]&lt;=16,"11 to 16",orders[[#This Row],[Quantity]]&gt;16,"Above 16")</f>
        <v>6 to 10</v>
      </c>
    </row>
    <row r="238" spans="1:16"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c r="P238" t="str" cm="1">
        <f t="array" ref="P238">_xlfn.IFS(orders[[#This Row],[Quantity]]&lt;=5,"1 to 5",orders[[#This Row],[Quantity]]&lt;=10,"6 to 10",orders[[#This Row],[Quantity]]&lt;=16,"11 to 16",orders[[#This Row],[Quantity]]&gt;16,"Above 16")</f>
        <v>Above 16</v>
      </c>
    </row>
    <row r="239" spans="1:16"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c r="P239" t="str" cm="1">
        <f t="array" ref="P239">_xlfn.IFS(orders[[#This Row],[Quantity]]&lt;=5,"1 to 5",orders[[#This Row],[Quantity]]&lt;=10,"6 to 10",orders[[#This Row],[Quantity]]&lt;=16,"11 to 16",orders[[#This Row],[Quantity]]&gt;16,"Above 16")</f>
        <v>1 to 5</v>
      </c>
    </row>
    <row r="240" spans="1:16"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c r="P240" t="str" cm="1">
        <f t="array" ref="P240">_xlfn.IFS(orders[[#This Row],[Quantity]]&lt;=5,"1 to 5",orders[[#This Row],[Quantity]]&lt;=10,"6 to 10",orders[[#This Row],[Quantity]]&lt;=16,"11 to 16",orders[[#This Row],[Quantity]]&gt;16,"Above 16")</f>
        <v>6 to 10</v>
      </c>
    </row>
    <row r="241" spans="1:16"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c r="P241" t="str" cm="1">
        <f t="array" ref="P241">_xlfn.IFS(orders[[#This Row],[Quantity]]&lt;=5,"1 to 5",orders[[#This Row],[Quantity]]&lt;=10,"6 to 10",orders[[#This Row],[Quantity]]&lt;=16,"11 to 16",orders[[#This Row],[Quantity]]&gt;16,"Above 16")</f>
        <v>1 to 5</v>
      </c>
    </row>
    <row r="242" spans="1:16"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c r="P242" t="str" cm="1">
        <f t="array" ref="P242">_xlfn.IFS(orders[[#This Row],[Quantity]]&lt;=5,"1 to 5",orders[[#This Row],[Quantity]]&lt;=10,"6 to 10",orders[[#This Row],[Quantity]]&lt;=16,"11 to 16",orders[[#This Row],[Quantity]]&gt;16,"Above 16")</f>
        <v>1 to 5</v>
      </c>
    </row>
    <row r="243" spans="1:16"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c r="P243" t="str" cm="1">
        <f t="array" ref="P243">_xlfn.IFS(orders[[#This Row],[Quantity]]&lt;=5,"1 to 5",orders[[#This Row],[Quantity]]&lt;=10,"6 to 10",orders[[#This Row],[Quantity]]&lt;=16,"11 to 16",orders[[#This Row],[Quantity]]&gt;16,"Above 16")</f>
        <v>1 to 5</v>
      </c>
    </row>
    <row r="244" spans="1:16"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c r="P244" t="str" cm="1">
        <f t="array" ref="P244">_xlfn.IFS(orders[[#This Row],[Quantity]]&lt;=5,"1 to 5",orders[[#This Row],[Quantity]]&lt;=10,"6 to 10",orders[[#This Row],[Quantity]]&lt;=16,"11 to 16",orders[[#This Row],[Quantity]]&gt;16,"Above 16")</f>
        <v>1 to 5</v>
      </c>
    </row>
    <row r="245" spans="1:16"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c r="P245" t="str" cm="1">
        <f t="array" ref="P245">_xlfn.IFS(orders[[#This Row],[Quantity]]&lt;=5,"1 to 5",orders[[#This Row],[Quantity]]&lt;=10,"6 to 10",orders[[#This Row],[Quantity]]&lt;=16,"11 to 16",orders[[#This Row],[Quantity]]&gt;16,"Above 16")</f>
        <v>1 to 5</v>
      </c>
    </row>
    <row r="246" spans="1:16"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c r="P246" t="str" cm="1">
        <f t="array" ref="P246">_xlfn.IFS(orders[[#This Row],[Quantity]]&lt;=5,"1 to 5",orders[[#This Row],[Quantity]]&lt;=10,"6 to 10",orders[[#This Row],[Quantity]]&lt;=16,"11 to 16",orders[[#This Row],[Quantity]]&gt;16,"Above 16")</f>
        <v>6 to 10</v>
      </c>
    </row>
    <row r="247" spans="1:16"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c r="P247" t="str" cm="1">
        <f t="array" ref="P247">_xlfn.IFS(orders[[#This Row],[Quantity]]&lt;=5,"1 to 5",orders[[#This Row],[Quantity]]&lt;=10,"6 to 10",orders[[#This Row],[Quantity]]&lt;=16,"11 to 16",orders[[#This Row],[Quantity]]&gt;16,"Above 16")</f>
        <v>1 to 5</v>
      </c>
    </row>
    <row r="248" spans="1:16"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c r="P248" t="str" cm="1">
        <f t="array" ref="P248">_xlfn.IFS(orders[[#This Row],[Quantity]]&lt;=5,"1 to 5",orders[[#This Row],[Quantity]]&lt;=10,"6 to 10",orders[[#This Row],[Quantity]]&lt;=16,"11 to 16",orders[[#This Row],[Quantity]]&gt;16,"Above 16")</f>
        <v>1 to 5</v>
      </c>
    </row>
    <row r="249" spans="1:16"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c r="P249" t="str" cm="1">
        <f t="array" ref="P249">_xlfn.IFS(orders[[#This Row],[Quantity]]&lt;=5,"1 to 5",orders[[#This Row],[Quantity]]&lt;=10,"6 to 10",orders[[#This Row],[Quantity]]&lt;=16,"11 to 16",orders[[#This Row],[Quantity]]&gt;16,"Above 16")</f>
        <v>1 to 5</v>
      </c>
    </row>
    <row r="250" spans="1:16"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c r="P250" t="str" cm="1">
        <f t="array" ref="P250">_xlfn.IFS(orders[[#This Row],[Quantity]]&lt;=5,"1 to 5",orders[[#This Row],[Quantity]]&lt;=10,"6 to 10",orders[[#This Row],[Quantity]]&lt;=16,"11 to 16",orders[[#This Row],[Quantity]]&gt;16,"Above 16")</f>
        <v>1 to 5</v>
      </c>
    </row>
    <row r="251" spans="1:16"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c r="P251" t="str" cm="1">
        <f t="array" ref="P251">_xlfn.IFS(orders[[#This Row],[Quantity]]&lt;=5,"1 to 5",orders[[#This Row],[Quantity]]&lt;=10,"6 to 10",orders[[#This Row],[Quantity]]&lt;=16,"11 to 16",orders[[#This Row],[Quantity]]&gt;16,"Above 16")</f>
        <v>6 to 10</v>
      </c>
    </row>
    <row r="252" spans="1:16"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c r="P252" t="str" cm="1">
        <f t="array" ref="P252">_xlfn.IFS(orders[[#This Row],[Quantity]]&lt;=5,"1 to 5",orders[[#This Row],[Quantity]]&lt;=10,"6 to 10",orders[[#This Row],[Quantity]]&lt;=16,"11 to 16",orders[[#This Row],[Quantity]]&gt;16,"Above 16")</f>
        <v>1 to 5</v>
      </c>
    </row>
    <row r="253" spans="1:16"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c r="P253" t="str" cm="1">
        <f t="array" ref="P253">_xlfn.IFS(orders[[#This Row],[Quantity]]&lt;=5,"1 to 5",orders[[#This Row],[Quantity]]&lt;=10,"6 to 10",orders[[#This Row],[Quantity]]&lt;=16,"11 to 16",orders[[#This Row],[Quantity]]&gt;16,"Above 16")</f>
        <v>1 to 5</v>
      </c>
    </row>
    <row r="254" spans="1:16"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c r="P254" t="str" cm="1">
        <f t="array" ref="P254">_xlfn.IFS(orders[[#This Row],[Quantity]]&lt;=5,"1 to 5",orders[[#This Row],[Quantity]]&lt;=10,"6 to 10",orders[[#This Row],[Quantity]]&lt;=16,"11 to 16",orders[[#This Row],[Quantity]]&gt;16,"Above 16")</f>
        <v>1 to 5</v>
      </c>
    </row>
    <row r="255" spans="1:16"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c r="P255" t="str" cm="1">
        <f t="array" ref="P255">_xlfn.IFS(orders[[#This Row],[Quantity]]&lt;=5,"1 to 5",orders[[#This Row],[Quantity]]&lt;=10,"6 to 10",orders[[#This Row],[Quantity]]&lt;=16,"11 to 16",orders[[#This Row],[Quantity]]&gt;16,"Above 16")</f>
        <v>1 to 5</v>
      </c>
    </row>
    <row r="256" spans="1:16"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c r="P256" t="str" cm="1">
        <f t="array" ref="P256">_xlfn.IFS(orders[[#This Row],[Quantity]]&lt;=5,"1 to 5",orders[[#This Row],[Quantity]]&lt;=10,"6 to 10",orders[[#This Row],[Quantity]]&lt;=16,"11 to 16",orders[[#This Row],[Quantity]]&gt;16,"Above 16")</f>
        <v>1 to 5</v>
      </c>
    </row>
    <row r="257" spans="1:16"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c r="P257" t="str" cm="1">
        <f t="array" ref="P257">_xlfn.IFS(orders[[#This Row],[Quantity]]&lt;=5,"1 to 5",orders[[#This Row],[Quantity]]&lt;=10,"6 to 10",orders[[#This Row],[Quantity]]&lt;=16,"11 to 16",orders[[#This Row],[Quantity]]&gt;16,"Above 16")</f>
        <v>6 to 10</v>
      </c>
    </row>
    <row r="258" spans="1:16"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c r="P258" t="str" cm="1">
        <f t="array" ref="P258">_xlfn.IFS(orders[[#This Row],[Quantity]]&lt;=5,"1 to 5",orders[[#This Row],[Quantity]]&lt;=10,"6 to 10",orders[[#This Row],[Quantity]]&lt;=16,"11 to 16",orders[[#This Row],[Quantity]]&gt;16,"Above 16")</f>
        <v>1 to 5</v>
      </c>
    </row>
    <row r="259" spans="1:16"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c r="P259" t="str" cm="1">
        <f t="array" ref="P259">_xlfn.IFS(orders[[#This Row],[Quantity]]&lt;=5,"1 to 5",orders[[#This Row],[Quantity]]&lt;=10,"6 to 10",orders[[#This Row],[Quantity]]&lt;=16,"11 to 16",orders[[#This Row],[Quantity]]&gt;16,"Above 16")</f>
        <v>1 to 5</v>
      </c>
    </row>
    <row r="260" spans="1:16"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c r="P260" t="str" cm="1">
        <f t="array" ref="P260">_xlfn.IFS(orders[[#This Row],[Quantity]]&lt;=5,"1 to 5",orders[[#This Row],[Quantity]]&lt;=10,"6 to 10",orders[[#This Row],[Quantity]]&lt;=16,"11 to 16",orders[[#This Row],[Quantity]]&gt;16,"Above 16")</f>
        <v>1 to 5</v>
      </c>
    </row>
    <row r="261" spans="1:16"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c r="P261" t="str" cm="1">
        <f t="array" ref="P261">_xlfn.IFS(orders[[#This Row],[Quantity]]&lt;=5,"1 to 5",orders[[#This Row],[Quantity]]&lt;=10,"6 to 10",orders[[#This Row],[Quantity]]&lt;=16,"11 to 16",orders[[#This Row],[Quantity]]&gt;16,"Above 16")</f>
        <v>1 to 5</v>
      </c>
    </row>
    <row r="262" spans="1:16"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c r="P262" t="str" cm="1">
        <f t="array" ref="P262">_xlfn.IFS(orders[[#This Row],[Quantity]]&lt;=5,"1 to 5",orders[[#This Row],[Quantity]]&lt;=10,"6 to 10",orders[[#This Row],[Quantity]]&lt;=16,"11 to 16",orders[[#This Row],[Quantity]]&gt;16,"Above 16")</f>
        <v>1 to 5</v>
      </c>
    </row>
    <row r="263" spans="1:16"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c r="P263" t="str" cm="1">
        <f t="array" ref="P263">_xlfn.IFS(orders[[#This Row],[Quantity]]&lt;=5,"1 to 5",orders[[#This Row],[Quantity]]&lt;=10,"6 to 10",orders[[#This Row],[Quantity]]&lt;=16,"11 to 16",orders[[#This Row],[Quantity]]&gt;16,"Above 16")</f>
        <v>11 to 16</v>
      </c>
    </row>
    <row r="264" spans="1:16"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c r="P264" t="str" cm="1">
        <f t="array" ref="P264">_xlfn.IFS(orders[[#This Row],[Quantity]]&lt;=5,"1 to 5",orders[[#This Row],[Quantity]]&lt;=10,"6 to 10",orders[[#This Row],[Quantity]]&lt;=16,"11 to 16",orders[[#This Row],[Quantity]]&gt;16,"Above 16")</f>
        <v>1 to 5</v>
      </c>
    </row>
    <row r="265" spans="1:16"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c r="P265" t="str" cm="1">
        <f t="array" ref="P265">_xlfn.IFS(orders[[#This Row],[Quantity]]&lt;=5,"1 to 5",orders[[#This Row],[Quantity]]&lt;=10,"6 to 10",orders[[#This Row],[Quantity]]&lt;=16,"11 to 16",orders[[#This Row],[Quantity]]&gt;16,"Above 16")</f>
        <v>1 to 5</v>
      </c>
    </row>
    <row r="266" spans="1:16"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c r="P266" t="str" cm="1">
        <f t="array" ref="P266">_xlfn.IFS(orders[[#This Row],[Quantity]]&lt;=5,"1 to 5",orders[[#This Row],[Quantity]]&lt;=10,"6 to 10",orders[[#This Row],[Quantity]]&lt;=16,"11 to 16",orders[[#This Row],[Quantity]]&gt;16,"Above 16")</f>
        <v>1 to 5</v>
      </c>
    </row>
    <row r="267" spans="1:16"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c r="P267" t="str" cm="1">
        <f t="array" ref="P267">_xlfn.IFS(orders[[#This Row],[Quantity]]&lt;=5,"1 to 5",orders[[#This Row],[Quantity]]&lt;=10,"6 to 10",orders[[#This Row],[Quantity]]&lt;=16,"11 to 16",orders[[#This Row],[Quantity]]&gt;16,"Above 16")</f>
        <v>1 to 5</v>
      </c>
    </row>
    <row r="268" spans="1:16"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c r="P268" t="str" cm="1">
        <f t="array" ref="P268">_xlfn.IFS(orders[[#This Row],[Quantity]]&lt;=5,"1 to 5",orders[[#This Row],[Quantity]]&lt;=10,"6 to 10",orders[[#This Row],[Quantity]]&lt;=16,"11 to 16",orders[[#This Row],[Quantity]]&gt;16,"Above 16")</f>
        <v>1 to 5</v>
      </c>
    </row>
    <row r="269" spans="1:16"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c r="P269" t="str" cm="1">
        <f t="array" ref="P269">_xlfn.IFS(orders[[#This Row],[Quantity]]&lt;=5,"1 to 5",orders[[#This Row],[Quantity]]&lt;=10,"6 to 10",orders[[#This Row],[Quantity]]&lt;=16,"11 to 16",orders[[#This Row],[Quantity]]&gt;16,"Above 16")</f>
        <v>1 to 5</v>
      </c>
    </row>
    <row r="270" spans="1:16"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c r="P270" t="str" cm="1">
        <f t="array" ref="P270">_xlfn.IFS(orders[[#This Row],[Quantity]]&lt;=5,"1 to 5",orders[[#This Row],[Quantity]]&lt;=10,"6 to 10",orders[[#This Row],[Quantity]]&lt;=16,"11 to 16",orders[[#This Row],[Quantity]]&gt;16,"Above 16")</f>
        <v>1 to 5</v>
      </c>
    </row>
    <row r="271" spans="1:16"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c r="P271" t="str" cm="1">
        <f t="array" ref="P271">_xlfn.IFS(orders[[#This Row],[Quantity]]&lt;=5,"1 to 5",orders[[#This Row],[Quantity]]&lt;=10,"6 to 10",orders[[#This Row],[Quantity]]&lt;=16,"11 to 16",orders[[#This Row],[Quantity]]&gt;16,"Above 16")</f>
        <v>1 to 5</v>
      </c>
    </row>
    <row r="272" spans="1:16"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c r="P272" t="str" cm="1">
        <f t="array" ref="P272">_xlfn.IFS(orders[[#This Row],[Quantity]]&lt;=5,"1 to 5",orders[[#This Row],[Quantity]]&lt;=10,"6 to 10",orders[[#This Row],[Quantity]]&lt;=16,"11 to 16",orders[[#This Row],[Quantity]]&gt;16,"Above 16")</f>
        <v>1 to 5</v>
      </c>
    </row>
    <row r="273" spans="1:16"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c r="P273" t="str" cm="1">
        <f t="array" ref="P273">_xlfn.IFS(orders[[#This Row],[Quantity]]&lt;=5,"1 to 5",orders[[#This Row],[Quantity]]&lt;=10,"6 to 10",orders[[#This Row],[Quantity]]&lt;=16,"11 to 16",orders[[#This Row],[Quantity]]&gt;16,"Above 16")</f>
        <v>6 to 10</v>
      </c>
    </row>
    <row r="274" spans="1:16"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c r="P274" t="str" cm="1">
        <f t="array" ref="P274">_xlfn.IFS(orders[[#This Row],[Quantity]]&lt;=5,"1 to 5",orders[[#This Row],[Quantity]]&lt;=10,"6 to 10",orders[[#This Row],[Quantity]]&lt;=16,"11 to 16",orders[[#This Row],[Quantity]]&gt;16,"Above 16")</f>
        <v>1 to 5</v>
      </c>
    </row>
    <row r="275" spans="1:16"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c r="P275" t="str" cm="1">
        <f t="array" ref="P275">_xlfn.IFS(orders[[#This Row],[Quantity]]&lt;=5,"1 to 5",orders[[#This Row],[Quantity]]&lt;=10,"6 to 10",orders[[#This Row],[Quantity]]&lt;=16,"11 to 16",orders[[#This Row],[Quantity]]&gt;16,"Above 16")</f>
        <v>1 to 5</v>
      </c>
    </row>
    <row r="276" spans="1:16"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c r="P276" t="str" cm="1">
        <f t="array" ref="P276">_xlfn.IFS(orders[[#This Row],[Quantity]]&lt;=5,"1 to 5",orders[[#This Row],[Quantity]]&lt;=10,"6 to 10",orders[[#This Row],[Quantity]]&lt;=16,"11 to 16",orders[[#This Row],[Quantity]]&gt;16,"Above 16")</f>
        <v>1 to 5</v>
      </c>
    </row>
    <row r="277" spans="1:16"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c r="P277" t="str" cm="1">
        <f t="array" ref="P277">_xlfn.IFS(orders[[#This Row],[Quantity]]&lt;=5,"1 to 5",orders[[#This Row],[Quantity]]&lt;=10,"6 to 10",orders[[#This Row],[Quantity]]&lt;=16,"11 to 16",orders[[#This Row],[Quantity]]&gt;16,"Above 16")</f>
        <v>6 to 10</v>
      </c>
    </row>
    <row r="278" spans="1:16"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c r="P278" t="str" cm="1">
        <f t="array" ref="P278">_xlfn.IFS(orders[[#This Row],[Quantity]]&lt;=5,"1 to 5",orders[[#This Row],[Quantity]]&lt;=10,"6 to 10",orders[[#This Row],[Quantity]]&lt;=16,"11 to 16",orders[[#This Row],[Quantity]]&gt;16,"Above 16")</f>
        <v>1 to 5</v>
      </c>
    </row>
    <row r="279" spans="1:16"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c r="P279" t="str" cm="1">
        <f t="array" ref="P279">_xlfn.IFS(orders[[#This Row],[Quantity]]&lt;=5,"1 to 5",orders[[#This Row],[Quantity]]&lt;=10,"6 to 10",orders[[#This Row],[Quantity]]&lt;=16,"11 to 16",orders[[#This Row],[Quantity]]&gt;16,"Above 16")</f>
        <v>1 to 5</v>
      </c>
    </row>
    <row r="280" spans="1:16"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c r="P280" t="str" cm="1">
        <f t="array" ref="P280">_xlfn.IFS(orders[[#This Row],[Quantity]]&lt;=5,"1 to 5",orders[[#This Row],[Quantity]]&lt;=10,"6 to 10",orders[[#This Row],[Quantity]]&lt;=16,"11 to 16",orders[[#This Row],[Quantity]]&gt;16,"Above 16")</f>
        <v>1 to 5</v>
      </c>
    </row>
    <row r="281" spans="1:16"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c r="P281" t="str" cm="1">
        <f t="array" ref="P281">_xlfn.IFS(orders[[#This Row],[Quantity]]&lt;=5,"1 to 5",orders[[#This Row],[Quantity]]&lt;=10,"6 to 10",orders[[#This Row],[Quantity]]&lt;=16,"11 to 16",orders[[#This Row],[Quantity]]&gt;16,"Above 16")</f>
        <v>6 to 10</v>
      </c>
    </row>
    <row r="282" spans="1:16"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c r="P282" t="str" cm="1">
        <f t="array" ref="P282">_xlfn.IFS(orders[[#This Row],[Quantity]]&lt;=5,"1 to 5",orders[[#This Row],[Quantity]]&lt;=10,"6 to 10",orders[[#This Row],[Quantity]]&lt;=16,"11 to 16",orders[[#This Row],[Quantity]]&gt;16,"Above 16")</f>
        <v>1 to 5</v>
      </c>
    </row>
    <row r="283" spans="1:16"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c r="P283" t="str" cm="1">
        <f t="array" ref="P283">_xlfn.IFS(orders[[#This Row],[Quantity]]&lt;=5,"1 to 5",orders[[#This Row],[Quantity]]&lt;=10,"6 to 10",orders[[#This Row],[Quantity]]&lt;=16,"11 to 16",orders[[#This Row],[Quantity]]&gt;16,"Above 16")</f>
        <v>1 to 5</v>
      </c>
    </row>
    <row r="284" spans="1:16"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c r="P284" t="str" cm="1">
        <f t="array" ref="P284">_xlfn.IFS(orders[[#This Row],[Quantity]]&lt;=5,"1 to 5",orders[[#This Row],[Quantity]]&lt;=10,"6 to 10",orders[[#This Row],[Quantity]]&lt;=16,"11 to 16",orders[[#This Row],[Quantity]]&gt;16,"Above 16")</f>
        <v>Above 16</v>
      </c>
    </row>
    <row r="285" spans="1:16"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c r="P285" t="str" cm="1">
        <f t="array" ref="P285">_xlfn.IFS(orders[[#This Row],[Quantity]]&lt;=5,"1 to 5",orders[[#This Row],[Quantity]]&lt;=10,"6 to 10",orders[[#This Row],[Quantity]]&lt;=16,"11 to 16",orders[[#This Row],[Quantity]]&gt;16,"Above 16")</f>
        <v>1 to 5</v>
      </c>
    </row>
    <row r="286" spans="1:16"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c r="P286" t="str" cm="1">
        <f t="array" ref="P286">_xlfn.IFS(orders[[#This Row],[Quantity]]&lt;=5,"1 to 5",orders[[#This Row],[Quantity]]&lt;=10,"6 to 10",orders[[#This Row],[Quantity]]&lt;=16,"11 to 16",orders[[#This Row],[Quantity]]&gt;16,"Above 16")</f>
        <v>1 to 5</v>
      </c>
    </row>
    <row r="287" spans="1:16"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c r="P287" t="str" cm="1">
        <f t="array" ref="P287">_xlfn.IFS(orders[[#This Row],[Quantity]]&lt;=5,"1 to 5",orders[[#This Row],[Quantity]]&lt;=10,"6 to 10",orders[[#This Row],[Quantity]]&lt;=16,"11 to 16",orders[[#This Row],[Quantity]]&gt;16,"Above 16")</f>
        <v>6 to 10</v>
      </c>
    </row>
    <row r="288" spans="1:16"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c r="P288" t="str" cm="1">
        <f t="array" ref="P288">_xlfn.IFS(orders[[#This Row],[Quantity]]&lt;=5,"1 to 5",orders[[#This Row],[Quantity]]&lt;=10,"6 to 10",orders[[#This Row],[Quantity]]&lt;=16,"11 to 16",orders[[#This Row],[Quantity]]&gt;16,"Above 16")</f>
        <v>1 to 5</v>
      </c>
    </row>
    <row r="289" spans="1:16"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c r="P289" t="str" cm="1">
        <f t="array" ref="P289">_xlfn.IFS(orders[[#This Row],[Quantity]]&lt;=5,"1 to 5",orders[[#This Row],[Quantity]]&lt;=10,"6 to 10",orders[[#This Row],[Quantity]]&lt;=16,"11 to 16",orders[[#This Row],[Quantity]]&gt;16,"Above 16")</f>
        <v>1 to 5</v>
      </c>
    </row>
    <row r="290" spans="1:16"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c r="P290" t="str" cm="1">
        <f t="array" ref="P290">_xlfn.IFS(orders[[#This Row],[Quantity]]&lt;=5,"1 to 5",orders[[#This Row],[Quantity]]&lt;=10,"6 to 10",orders[[#This Row],[Quantity]]&lt;=16,"11 to 16",orders[[#This Row],[Quantity]]&gt;16,"Above 16")</f>
        <v>Above 16</v>
      </c>
    </row>
    <row r="291" spans="1:16"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c r="P291" t="str" cm="1">
        <f t="array" ref="P291">_xlfn.IFS(orders[[#This Row],[Quantity]]&lt;=5,"1 to 5",orders[[#This Row],[Quantity]]&lt;=10,"6 to 10",orders[[#This Row],[Quantity]]&lt;=16,"11 to 16",orders[[#This Row],[Quantity]]&gt;16,"Above 16")</f>
        <v>1 to 5</v>
      </c>
    </row>
    <row r="292" spans="1:16"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c r="P292" t="str" cm="1">
        <f t="array" ref="P292">_xlfn.IFS(orders[[#This Row],[Quantity]]&lt;=5,"1 to 5",orders[[#This Row],[Quantity]]&lt;=10,"6 to 10",orders[[#This Row],[Quantity]]&lt;=16,"11 to 16",orders[[#This Row],[Quantity]]&gt;16,"Above 16")</f>
        <v>1 to 5</v>
      </c>
    </row>
    <row r="293" spans="1:16"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c r="P293" t="str" cm="1">
        <f t="array" ref="P293">_xlfn.IFS(orders[[#This Row],[Quantity]]&lt;=5,"1 to 5",orders[[#This Row],[Quantity]]&lt;=10,"6 to 10",orders[[#This Row],[Quantity]]&lt;=16,"11 to 16",orders[[#This Row],[Quantity]]&gt;16,"Above 16")</f>
        <v>6 to 10</v>
      </c>
    </row>
    <row r="294" spans="1:16"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c r="P294" t="str" cm="1">
        <f t="array" ref="P294">_xlfn.IFS(orders[[#This Row],[Quantity]]&lt;=5,"1 to 5",orders[[#This Row],[Quantity]]&lt;=10,"6 to 10",orders[[#This Row],[Quantity]]&lt;=16,"11 to 16",orders[[#This Row],[Quantity]]&gt;16,"Above 16")</f>
        <v>1 to 5</v>
      </c>
    </row>
    <row r="295" spans="1:16"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c r="P295" t="str" cm="1">
        <f t="array" ref="P295">_xlfn.IFS(orders[[#This Row],[Quantity]]&lt;=5,"1 to 5",orders[[#This Row],[Quantity]]&lt;=10,"6 to 10",orders[[#This Row],[Quantity]]&lt;=16,"11 to 16",orders[[#This Row],[Quantity]]&gt;16,"Above 16")</f>
        <v>1 to 5</v>
      </c>
    </row>
    <row r="296" spans="1:16"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c r="P296" t="str" cm="1">
        <f t="array" ref="P296">_xlfn.IFS(orders[[#This Row],[Quantity]]&lt;=5,"1 to 5",orders[[#This Row],[Quantity]]&lt;=10,"6 to 10",orders[[#This Row],[Quantity]]&lt;=16,"11 to 16",orders[[#This Row],[Quantity]]&gt;16,"Above 16")</f>
        <v>1 to 5</v>
      </c>
    </row>
    <row r="297" spans="1:16"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c r="P297" t="str" cm="1">
        <f t="array" ref="P297">_xlfn.IFS(orders[[#This Row],[Quantity]]&lt;=5,"1 to 5",orders[[#This Row],[Quantity]]&lt;=10,"6 to 10",orders[[#This Row],[Quantity]]&lt;=16,"11 to 16",orders[[#This Row],[Quantity]]&gt;16,"Above 16")</f>
        <v>1 to 5</v>
      </c>
    </row>
    <row r="298" spans="1:16"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c r="P298" t="str" cm="1">
        <f t="array" ref="P298">_xlfn.IFS(orders[[#This Row],[Quantity]]&lt;=5,"1 to 5",orders[[#This Row],[Quantity]]&lt;=10,"6 to 10",orders[[#This Row],[Quantity]]&lt;=16,"11 to 16",orders[[#This Row],[Quantity]]&gt;16,"Above 16")</f>
        <v>1 to 5</v>
      </c>
    </row>
    <row r="299" spans="1:16"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c r="P299" t="str" cm="1">
        <f t="array" ref="P299">_xlfn.IFS(orders[[#This Row],[Quantity]]&lt;=5,"1 to 5",orders[[#This Row],[Quantity]]&lt;=10,"6 to 10",orders[[#This Row],[Quantity]]&lt;=16,"11 to 16",orders[[#This Row],[Quantity]]&gt;16,"Above 16")</f>
        <v>6 to 10</v>
      </c>
    </row>
    <row r="300" spans="1:16"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c r="P300" t="str" cm="1">
        <f t="array" ref="P300">_xlfn.IFS(orders[[#This Row],[Quantity]]&lt;=5,"1 to 5",orders[[#This Row],[Quantity]]&lt;=10,"6 to 10",orders[[#This Row],[Quantity]]&lt;=16,"11 to 16",orders[[#This Row],[Quantity]]&gt;16,"Above 16")</f>
        <v>6 to 10</v>
      </c>
    </row>
    <row r="301" spans="1:16"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c r="P301" t="str" cm="1">
        <f t="array" ref="P301">_xlfn.IFS(orders[[#This Row],[Quantity]]&lt;=5,"1 to 5",orders[[#This Row],[Quantity]]&lt;=10,"6 to 10",orders[[#This Row],[Quantity]]&lt;=16,"11 to 16",orders[[#This Row],[Quantity]]&gt;16,"Above 16")</f>
        <v>6 to 10</v>
      </c>
    </row>
    <row r="302" spans="1:16"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c r="P302" t="str" cm="1">
        <f t="array" ref="P302">_xlfn.IFS(orders[[#This Row],[Quantity]]&lt;=5,"1 to 5",orders[[#This Row],[Quantity]]&lt;=10,"6 to 10",orders[[#This Row],[Quantity]]&lt;=16,"11 to 16",orders[[#This Row],[Quantity]]&gt;16,"Above 16")</f>
        <v>1 to 5</v>
      </c>
    </row>
    <row r="303" spans="1:16"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c r="P303" t="str" cm="1">
        <f t="array" ref="P303">_xlfn.IFS(orders[[#This Row],[Quantity]]&lt;=5,"1 to 5",orders[[#This Row],[Quantity]]&lt;=10,"6 to 10",orders[[#This Row],[Quantity]]&lt;=16,"11 to 16",orders[[#This Row],[Quantity]]&gt;16,"Above 16")</f>
        <v>1 to 5</v>
      </c>
    </row>
    <row r="304" spans="1:16"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c r="P304" t="str" cm="1">
        <f t="array" ref="P304">_xlfn.IFS(orders[[#This Row],[Quantity]]&lt;=5,"1 to 5",orders[[#This Row],[Quantity]]&lt;=10,"6 to 10",orders[[#This Row],[Quantity]]&lt;=16,"11 to 16",orders[[#This Row],[Quantity]]&gt;16,"Above 16")</f>
        <v>11 to 16</v>
      </c>
    </row>
    <row r="305" spans="1:16"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c r="P305" t="str" cm="1">
        <f t="array" ref="P305">_xlfn.IFS(orders[[#This Row],[Quantity]]&lt;=5,"1 to 5",orders[[#This Row],[Quantity]]&lt;=10,"6 to 10",orders[[#This Row],[Quantity]]&lt;=16,"11 to 16",orders[[#This Row],[Quantity]]&gt;16,"Above 16")</f>
        <v>6 to 10</v>
      </c>
    </row>
    <row r="306" spans="1:16"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c r="P306" t="str" cm="1">
        <f t="array" ref="P306">_xlfn.IFS(orders[[#This Row],[Quantity]]&lt;=5,"1 to 5",orders[[#This Row],[Quantity]]&lt;=10,"6 to 10",orders[[#This Row],[Quantity]]&lt;=16,"11 to 16",orders[[#This Row],[Quantity]]&gt;16,"Above 16")</f>
        <v>Above 16</v>
      </c>
    </row>
    <row r="307" spans="1:16"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c r="P307" t="str" cm="1">
        <f t="array" ref="P307">_xlfn.IFS(orders[[#This Row],[Quantity]]&lt;=5,"1 to 5",orders[[#This Row],[Quantity]]&lt;=10,"6 to 10",orders[[#This Row],[Quantity]]&lt;=16,"11 to 16",orders[[#This Row],[Quantity]]&gt;16,"Above 16")</f>
        <v>1 to 5</v>
      </c>
    </row>
    <row r="308" spans="1:16"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c r="P308" t="str" cm="1">
        <f t="array" ref="P308">_xlfn.IFS(orders[[#This Row],[Quantity]]&lt;=5,"1 to 5",orders[[#This Row],[Quantity]]&lt;=10,"6 to 10",orders[[#This Row],[Quantity]]&lt;=16,"11 to 16",orders[[#This Row],[Quantity]]&gt;16,"Above 16")</f>
        <v>1 to 5</v>
      </c>
    </row>
    <row r="309" spans="1:16"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c r="P309" t="str" cm="1">
        <f t="array" ref="P309">_xlfn.IFS(orders[[#This Row],[Quantity]]&lt;=5,"1 to 5",orders[[#This Row],[Quantity]]&lt;=10,"6 to 10",orders[[#This Row],[Quantity]]&lt;=16,"11 to 16",orders[[#This Row],[Quantity]]&gt;16,"Above 16")</f>
        <v>1 to 5</v>
      </c>
    </row>
    <row r="310" spans="1:16"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c r="P310" t="str" cm="1">
        <f t="array" ref="P310">_xlfn.IFS(orders[[#This Row],[Quantity]]&lt;=5,"1 to 5",orders[[#This Row],[Quantity]]&lt;=10,"6 to 10",orders[[#This Row],[Quantity]]&lt;=16,"11 to 16",orders[[#This Row],[Quantity]]&gt;16,"Above 16")</f>
        <v>6 to 10</v>
      </c>
    </row>
    <row r="311" spans="1:16"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c r="P311" t="str" cm="1">
        <f t="array" ref="P311">_xlfn.IFS(orders[[#This Row],[Quantity]]&lt;=5,"1 to 5",orders[[#This Row],[Quantity]]&lt;=10,"6 to 10",orders[[#This Row],[Quantity]]&lt;=16,"11 to 16",orders[[#This Row],[Quantity]]&gt;16,"Above 16")</f>
        <v>11 to 16</v>
      </c>
    </row>
    <row r="312" spans="1:16"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c r="P312" t="str" cm="1">
        <f t="array" ref="P312">_xlfn.IFS(orders[[#This Row],[Quantity]]&lt;=5,"1 to 5",orders[[#This Row],[Quantity]]&lt;=10,"6 to 10",orders[[#This Row],[Quantity]]&lt;=16,"11 to 16",orders[[#This Row],[Quantity]]&gt;16,"Above 16")</f>
        <v>1 to 5</v>
      </c>
    </row>
    <row r="313" spans="1:16"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c r="P313" t="str" cm="1">
        <f t="array" ref="P313">_xlfn.IFS(orders[[#This Row],[Quantity]]&lt;=5,"1 to 5",orders[[#This Row],[Quantity]]&lt;=10,"6 to 10",orders[[#This Row],[Quantity]]&lt;=16,"11 to 16",orders[[#This Row],[Quantity]]&gt;16,"Above 16")</f>
        <v>1 to 5</v>
      </c>
    </row>
    <row r="314" spans="1:16"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c r="P314" t="str" cm="1">
        <f t="array" ref="P314">_xlfn.IFS(orders[[#This Row],[Quantity]]&lt;=5,"1 to 5",orders[[#This Row],[Quantity]]&lt;=10,"6 to 10",orders[[#This Row],[Quantity]]&lt;=16,"11 to 16",orders[[#This Row],[Quantity]]&gt;16,"Above 16")</f>
        <v>1 to 5</v>
      </c>
    </row>
    <row r="315" spans="1:16"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c r="P315" t="str" cm="1">
        <f t="array" ref="P315">_xlfn.IFS(orders[[#This Row],[Quantity]]&lt;=5,"1 to 5",orders[[#This Row],[Quantity]]&lt;=10,"6 to 10",orders[[#This Row],[Quantity]]&lt;=16,"11 to 16",orders[[#This Row],[Quantity]]&gt;16,"Above 16")</f>
        <v>1 to 5</v>
      </c>
    </row>
    <row r="316" spans="1:16"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c r="P316" t="str" cm="1">
        <f t="array" ref="P316">_xlfn.IFS(orders[[#This Row],[Quantity]]&lt;=5,"1 to 5",orders[[#This Row],[Quantity]]&lt;=10,"6 to 10",orders[[#This Row],[Quantity]]&lt;=16,"11 to 16",orders[[#This Row],[Quantity]]&gt;16,"Above 16")</f>
        <v>6 to 10</v>
      </c>
    </row>
    <row r="317" spans="1:16"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c r="P317" t="str" cm="1">
        <f t="array" ref="P317">_xlfn.IFS(orders[[#This Row],[Quantity]]&lt;=5,"1 to 5",orders[[#This Row],[Quantity]]&lt;=10,"6 to 10",orders[[#This Row],[Quantity]]&lt;=16,"11 to 16",orders[[#This Row],[Quantity]]&gt;16,"Above 16")</f>
        <v>1 to 5</v>
      </c>
    </row>
    <row r="318" spans="1:16"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c r="P318" t="str" cm="1">
        <f t="array" ref="P318">_xlfn.IFS(orders[[#This Row],[Quantity]]&lt;=5,"1 to 5",orders[[#This Row],[Quantity]]&lt;=10,"6 to 10",orders[[#This Row],[Quantity]]&lt;=16,"11 to 16",orders[[#This Row],[Quantity]]&gt;16,"Above 16")</f>
        <v>1 to 5</v>
      </c>
    </row>
    <row r="319" spans="1:16"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c r="P319" t="str" cm="1">
        <f t="array" ref="P319">_xlfn.IFS(orders[[#This Row],[Quantity]]&lt;=5,"1 to 5",orders[[#This Row],[Quantity]]&lt;=10,"6 to 10",orders[[#This Row],[Quantity]]&lt;=16,"11 to 16",orders[[#This Row],[Quantity]]&gt;16,"Above 16")</f>
        <v>6 to 10</v>
      </c>
    </row>
    <row r="320" spans="1:16"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c r="P320" t="str" cm="1">
        <f t="array" ref="P320">_xlfn.IFS(orders[[#This Row],[Quantity]]&lt;=5,"1 to 5",orders[[#This Row],[Quantity]]&lt;=10,"6 to 10",orders[[#This Row],[Quantity]]&lt;=16,"11 to 16",orders[[#This Row],[Quantity]]&gt;16,"Above 16")</f>
        <v>1 to 5</v>
      </c>
    </row>
    <row r="321" spans="1:16"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c r="P321" t="str" cm="1">
        <f t="array" ref="P321">_xlfn.IFS(orders[[#This Row],[Quantity]]&lt;=5,"1 to 5",orders[[#This Row],[Quantity]]&lt;=10,"6 to 10",orders[[#This Row],[Quantity]]&lt;=16,"11 to 16",orders[[#This Row],[Quantity]]&gt;16,"Above 16")</f>
        <v>1 to 5</v>
      </c>
    </row>
    <row r="322" spans="1:16"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c r="P322" t="str" cm="1">
        <f t="array" ref="P322">_xlfn.IFS(orders[[#This Row],[Quantity]]&lt;=5,"1 to 5",orders[[#This Row],[Quantity]]&lt;=10,"6 to 10",orders[[#This Row],[Quantity]]&lt;=16,"11 to 16",orders[[#This Row],[Quantity]]&gt;16,"Above 16")</f>
        <v>1 to 5</v>
      </c>
    </row>
    <row r="323" spans="1:16"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c r="P323" t="str" cm="1">
        <f t="array" ref="P323">_xlfn.IFS(orders[[#This Row],[Quantity]]&lt;=5,"1 to 5",orders[[#This Row],[Quantity]]&lt;=10,"6 to 10",orders[[#This Row],[Quantity]]&lt;=16,"11 to 16",orders[[#This Row],[Quantity]]&gt;16,"Above 16")</f>
        <v>Above 16</v>
      </c>
    </row>
    <row r="324" spans="1:16"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c r="P324" t="str" cm="1">
        <f t="array" ref="P324">_xlfn.IFS(orders[[#This Row],[Quantity]]&lt;=5,"1 to 5",orders[[#This Row],[Quantity]]&lt;=10,"6 to 10",orders[[#This Row],[Quantity]]&lt;=16,"11 to 16",orders[[#This Row],[Quantity]]&gt;16,"Above 16")</f>
        <v>6 to 10</v>
      </c>
    </row>
    <row r="325" spans="1:16"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c r="P325" t="str" cm="1">
        <f t="array" ref="P325">_xlfn.IFS(orders[[#This Row],[Quantity]]&lt;=5,"1 to 5",orders[[#This Row],[Quantity]]&lt;=10,"6 to 10",orders[[#This Row],[Quantity]]&lt;=16,"11 to 16",orders[[#This Row],[Quantity]]&gt;16,"Above 16")</f>
        <v>1 to 5</v>
      </c>
    </row>
    <row r="326" spans="1:16"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c r="P326" t="str" cm="1">
        <f t="array" ref="P326">_xlfn.IFS(orders[[#This Row],[Quantity]]&lt;=5,"1 to 5",orders[[#This Row],[Quantity]]&lt;=10,"6 to 10",orders[[#This Row],[Quantity]]&lt;=16,"11 to 16",orders[[#This Row],[Quantity]]&gt;16,"Above 16")</f>
        <v>1 to 5</v>
      </c>
    </row>
    <row r="327" spans="1:16"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c r="P327" t="str" cm="1">
        <f t="array" ref="P327">_xlfn.IFS(orders[[#This Row],[Quantity]]&lt;=5,"1 to 5",orders[[#This Row],[Quantity]]&lt;=10,"6 to 10",orders[[#This Row],[Quantity]]&lt;=16,"11 to 16",orders[[#This Row],[Quantity]]&gt;16,"Above 16")</f>
        <v>1 to 5</v>
      </c>
    </row>
    <row r="328" spans="1:16"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c r="P328" t="str" cm="1">
        <f t="array" ref="P328">_xlfn.IFS(orders[[#This Row],[Quantity]]&lt;=5,"1 to 5",orders[[#This Row],[Quantity]]&lt;=10,"6 to 10",orders[[#This Row],[Quantity]]&lt;=16,"11 to 16",orders[[#This Row],[Quantity]]&gt;16,"Above 16")</f>
        <v>1 to 5</v>
      </c>
    </row>
    <row r="329" spans="1:16"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c r="P329" t="str" cm="1">
        <f t="array" ref="P329">_xlfn.IFS(orders[[#This Row],[Quantity]]&lt;=5,"1 to 5",orders[[#This Row],[Quantity]]&lt;=10,"6 to 10",orders[[#This Row],[Quantity]]&lt;=16,"11 to 16",orders[[#This Row],[Quantity]]&gt;16,"Above 16")</f>
        <v>1 to 5</v>
      </c>
    </row>
    <row r="330" spans="1:16"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c r="P330" t="str" cm="1">
        <f t="array" ref="P330">_xlfn.IFS(orders[[#This Row],[Quantity]]&lt;=5,"1 to 5",orders[[#This Row],[Quantity]]&lt;=10,"6 to 10",orders[[#This Row],[Quantity]]&lt;=16,"11 to 16",orders[[#This Row],[Quantity]]&gt;16,"Above 16")</f>
        <v>1 to 5</v>
      </c>
    </row>
    <row r="331" spans="1:16"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c r="P331" t="str" cm="1">
        <f t="array" ref="P331">_xlfn.IFS(orders[[#This Row],[Quantity]]&lt;=5,"1 to 5",orders[[#This Row],[Quantity]]&lt;=10,"6 to 10",orders[[#This Row],[Quantity]]&lt;=16,"11 to 16",orders[[#This Row],[Quantity]]&gt;16,"Above 16")</f>
        <v>1 to 5</v>
      </c>
    </row>
    <row r="332" spans="1:16"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c r="P332" t="str" cm="1">
        <f t="array" ref="P332">_xlfn.IFS(orders[[#This Row],[Quantity]]&lt;=5,"1 to 5",orders[[#This Row],[Quantity]]&lt;=10,"6 to 10",orders[[#This Row],[Quantity]]&lt;=16,"11 to 16",orders[[#This Row],[Quantity]]&gt;16,"Above 16")</f>
        <v>1 to 5</v>
      </c>
    </row>
    <row r="333" spans="1:16"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c r="P333" t="str" cm="1">
        <f t="array" ref="P333">_xlfn.IFS(orders[[#This Row],[Quantity]]&lt;=5,"1 to 5",orders[[#This Row],[Quantity]]&lt;=10,"6 to 10",orders[[#This Row],[Quantity]]&lt;=16,"11 to 16",orders[[#This Row],[Quantity]]&gt;16,"Above 16")</f>
        <v>Above 16</v>
      </c>
    </row>
    <row r="334" spans="1:16"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c r="P334" t="str" cm="1">
        <f t="array" ref="P334">_xlfn.IFS(orders[[#This Row],[Quantity]]&lt;=5,"1 to 5",orders[[#This Row],[Quantity]]&lt;=10,"6 to 10",orders[[#This Row],[Quantity]]&lt;=16,"11 to 16",orders[[#This Row],[Quantity]]&gt;16,"Above 16")</f>
        <v>1 to 5</v>
      </c>
    </row>
    <row r="335" spans="1:16"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c r="P335" t="str" cm="1">
        <f t="array" ref="P335">_xlfn.IFS(orders[[#This Row],[Quantity]]&lt;=5,"1 to 5",orders[[#This Row],[Quantity]]&lt;=10,"6 to 10",orders[[#This Row],[Quantity]]&lt;=16,"11 to 16",orders[[#This Row],[Quantity]]&gt;16,"Above 16")</f>
        <v>6 to 10</v>
      </c>
    </row>
    <row r="336" spans="1:16"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c r="P336" t="str" cm="1">
        <f t="array" ref="P336">_xlfn.IFS(orders[[#This Row],[Quantity]]&lt;=5,"1 to 5",orders[[#This Row],[Quantity]]&lt;=10,"6 to 10",orders[[#This Row],[Quantity]]&lt;=16,"11 to 16",orders[[#This Row],[Quantity]]&gt;16,"Above 16")</f>
        <v>6 to 10</v>
      </c>
    </row>
    <row r="337" spans="1:16"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c r="P337" t="str" cm="1">
        <f t="array" ref="P337">_xlfn.IFS(orders[[#This Row],[Quantity]]&lt;=5,"1 to 5",orders[[#This Row],[Quantity]]&lt;=10,"6 to 10",orders[[#This Row],[Quantity]]&lt;=16,"11 to 16",orders[[#This Row],[Quantity]]&gt;16,"Above 16")</f>
        <v>1 to 5</v>
      </c>
    </row>
    <row r="338" spans="1:16"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c r="P338" t="str" cm="1">
        <f t="array" ref="P338">_xlfn.IFS(orders[[#This Row],[Quantity]]&lt;=5,"1 to 5",orders[[#This Row],[Quantity]]&lt;=10,"6 to 10",orders[[#This Row],[Quantity]]&lt;=16,"11 to 16",orders[[#This Row],[Quantity]]&gt;16,"Above 16")</f>
        <v>1 to 5</v>
      </c>
    </row>
    <row r="339" spans="1:16"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c r="P339" t="str" cm="1">
        <f t="array" ref="P339">_xlfn.IFS(orders[[#This Row],[Quantity]]&lt;=5,"1 to 5",orders[[#This Row],[Quantity]]&lt;=10,"6 to 10",orders[[#This Row],[Quantity]]&lt;=16,"11 to 16",orders[[#This Row],[Quantity]]&gt;16,"Above 16")</f>
        <v>1 to 5</v>
      </c>
    </row>
    <row r="340" spans="1:16"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c r="P340" t="str" cm="1">
        <f t="array" ref="P340">_xlfn.IFS(orders[[#This Row],[Quantity]]&lt;=5,"1 to 5",orders[[#This Row],[Quantity]]&lt;=10,"6 to 10",orders[[#This Row],[Quantity]]&lt;=16,"11 to 16",orders[[#This Row],[Quantity]]&gt;16,"Above 16")</f>
        <v>11 to 16</v>
      </c>
    </row>
    <row r="341" spans="1:16"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c r="P341" t="str" cm="1">
        <f t="array" ref="P341">_xlfn.IFS(orders[[#This Row],[Quantity]]&lt;=5,"1 to 5",orders[[#This Row],[Quantity]]&lt;=10,"6 to 10",orders[[#This Row],[Quantity]]&lt;=16,"11 to 16",orders[[#This Row],[Quantity]]&gt;16,"Above 16")</f>
        <v>6 to 10</v>
      </c>
    </row>
    <row r="342" spans="1:16"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c r="P342" t="str" cm="1">
        <f t="array" ref="P342">_xlfn.IFS(orders[[#This Row],[Quantity]]&lt;=5,"1 to 5",orders[[#This Row],[Quantity]]&lt;=10,"6 to 10",orders[[#This Row],[Quantity]]&lt;=16,"11 to 16",orders[[#This Row],[Quantity]]&gt;16,"Above 16")</f>
        <v>1 to 5</v>
      </c>
    </row>
    <row r="343" spans="1:16"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c r="P343" t="str" cm="1">
        <f t="array" ref="P343">_xlfn.IFS(orders[[#This Row],[Quantity]]&lt;=5,"1 to 5",orders[[#This Row],[Quantity]]&lt;=10,"6 to 10",orders[[#This Row],[Quantity]]&lt;=16,"11 to 16",orders[[#This Row],[Quantity]]&gt;16,"Above 16")</f>
        <v>6 to 10</v>
      </c>
    </row>
    <row r="344" spans="1:16"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c r="P344" t="str" cm="1">
        <f t="array" ref="P344">_xlfn.IFS(orders[[#This Row],[Quantity]]&lt;=5,"1 to 5",orders[[#This Row],[Quantity]]&lt;=10,"6 to 10",orders[[#This Row],[Quantity]]&lt;=16,"11 to 16",orders[[#This Row],[Quantity]]&gt;16,"Above 16")</f>
        <v>1 to 5</v>
      </c>
    </row>
    <row r="345" spans="1:16"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c r="P345" t="str" cm="1">
        <f t="array" ref="P345">_xlfn.IFS(orders[[#This Row],[Quantity]]&lt;=5,"1 to 5",orders[[#This Row],[Quantity]]&lt;=10,"6 to 10",orders[[#This Row],[Quantity]]&lt;=16,"11 to 16",orders[[#This Row],[Quantity]]&gt;16,"Above 16")</f>
        <v>1 to 5</v>
      </c>
    </row>
    <row r="346" spans="1:16"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c r="P346" t="str" cm="1">
        <f t="array" ref="P346">_xlfn.IFS(orders[[#This Row],[Quantity]]&lt;=5,"1 to 5",orders[[#This Row],[Quantity]]&lt;=10,"6 to 10",orders[[#This Row],[Quantity]]&lt;=16,"11 to 16",orders[[#This Row],[Quantity]]&gt;16,"Above 16")</f>
        <v>11 to 16</v>
      </c>
    </row>
    <row r="347" spans="1:16"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c r="P347" t="str" cm="1">
        <f t="array" ref="P347">_xlfn.IFS(orders[[#This Row],[Quantity]]&lt;=5,"1 to 5",orders[[#This Row],[Quantity]]&lt;=10,"6 to 10",orders[[#This Row],[Quantity]]&lt;=16,"11 to 16",orders[[#This Row],[Quantity]]&gt;16,"Above 16")</f>
        <v>1 to 5</v>
      </c>
    </row>
    <row r="348" spans="1:16"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c r="P348" t="str" cm="1">
        <f t="array" ref="P348">_xlfn.IFS(orders[[#This Row],[Quantity]]&lt;=5,"1 to 5",orders[[#This Row],[Quantity]]&lt;=10,"6 to 10",orders[[#This Row],[Quantity]]&lt;=16,"11 to 16",orders[[#This Row],[Quantity]]&gt;16,"Above 16")</f>
        <v>1 to 5</v>
      </c>
    </row>
    <row r="349" spans="1:16"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c r="P349" t="str" cm="1">
        <f t="array" ref="P349">_xlfn.IFS(orders[[#This Row],[Quantity]]&lt;=5,"1 to 5",orders[[#This Row],[Quantity]]&lt;=10,"6 to 10",orders[[#This Row],[Quantity]]&lt;=16,"11 to 16",orders[[#This Row],[Quantity]]&gt;16,"Above 16")</f>
        <v>1 to 5</v>
      </c>
    </row>
    <row r="350" spans="1:16"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c r="P350" t="str" cm="1">
        <f t="array" ref="P350">_xlfn.IFS(orders[[#This Row],[Quantity]]&lt;=5,"1 to 5",orders[[#This Row],[Quantity]]&lt;=10,"6 to 10",orders[[#This Row],[Quantity]]&lt;=16,"11 to 16",orders[[#This Row],[Quantity]]&gt;16,"Above 16")</f>
        <v>1 to 5</v>
      </c>
    </row>
    <row r="351" spans="1:16"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c r="P351" t="str" cm="1">
        <f t="array" ref="P351">_xlfn.IFS(orders[[#This Row],[Quantity]]&lt;=5,"1 to 5",orders[[#This Row],[Quantity]]&lt;=10,"6 to 10",orders[[#This Row],[Quantity]]&lt;=16,"11 to 16",orders[[#This Row],[Quantity]]&gt;16,"Above 16")</f>
        <v>1 to 5</v>
      </c>
    </row>
    <row r="352" spans="1:16"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c r="P352" t="str" cm="1">
        <f t="array" ref="P352">_xlfn.IFS(orders[[#This Row],[Quantity]]&lt;=5,"1 to 5",orders[[#This Row],[Quantity]]&lt;=10,"6 to 10",orders[[#This Row],[Quantity]]&lt;=16,"11 to 16",orders[[#This Row],[Quantity]]&gt;16,"Above 16")</f>
        <v>1 to 5</v>
      </c>
    </row>
    <row r="353" spans="1:16"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c r="P353" t="str" cm="1">
        <f t="array" ref="P353">_xlfn.IFS(orders[[#This Row],[Quantity]]&lt;=5,"1 to 5",orders[[#This Row],[Quantity]]&lt;=10,"6 to 10",orders[[#This Row],[Quantity]]&lt;=16,"11 to 16",orders[[#This Row],[Quantity]]&gt;16,"Above 16")</f>
        <v>1 to 5</v>
      </c>
    </row>
    <row r="354" spans="1:16"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c r="P354" t="str" cm="1">
        <f t="array" ref="P354">_xlfn.IFS(orders[[#This Row],[Quantity]]&lt;=5,"1 to 5",orders[[#This Row],[Quantity]]&lt;=10,"6 to 10",orders[[#This Row],[Quantity]]&lt;=16,"11 to 16",orders[[#This Row],[Quantity]]&gt;16,"Above 16")</f>
        <v>1 to 5</v>
      </c>
    </row>
    <row r="355" spans="1:16"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c r="P355" t="str" cm="1">
        <f t="array" ref="P355">_xlfn.IFS(orders[[#This Row],[Quantity]]&lt;=5,"1 to 5",orders[[#This Row],[Quantity]]&lt;=10,"6 to 10",orders[[#This Row],[Quantity]]&lt;=16,"11 to 16",orders[[#This Row],[Quantity]]&gt;16,"Above 16")</f>
        <v>1 to 5</v>
      </c>
    </row>
    <row r="356" spans="1:16"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c r="P356" t="str" cm="1">
        <f t="array" ref="P356">_xlfn.IFS(orders[[#This Row],[Quantity]]&lt;=5,"1 to 5",orders[[#This Row],[Quantity]]&lt;=10,"6 to 10",orders[[#This Row],[Quantity]]&lt;=16,"11 to 16",orders[[#This Row],[Quantity]]&gt;16,"Above 16")</f>
        <v>1 to 5</v>
      </c>
    </row>
    <row r="357" spans="1:16"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c r="P357" t="str" cm="1">
        <f t="array" ref="P357">_xlfn.IFS(orders[[#This Row],[Quantity]]&lt;=5,"1 to 5",orders[[#This Row],[Quantity]]&lt;=10,"6 to 10",orders[[#This Row],[Quantity]]&lt;=16,"11 to 16",orders[[#This Row],[Quantity]]&gt;16,"Above 16")</f>
        <v>1 to 5</v>
      </c>
    </row>
    <row r="358" spans="1:16"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c r="P358" t="str" cm="1">
        <f t="array" ref="P358">_xlfn.IFS(orders[[#This Row],[Quantity]]&lt;=5,"1 to 5",orders[[#This Row],[Quantity]]&lt;=10,"6 to 10",orders[[#This Row],[Quantity]]&lt;=16,"11 to 16",orders[[#This Row],[Quantity]]&gt;16,"Above 16")</f>
        <v>6 to 10</v>
      </c>
    </row>
    <row r="359" spans="1:16"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c r="P359" t="str" cm="1">
        <f t="array" ref="P359">_xlfn.IFS(orders[[#This Row],[Quantity]]&lt;=5,"1 to 5",orders[[#This Row],[Quantity]]&lt;=10,"6 to 10",orders[[#This Row],[Quantity]]&lt;=16,"11 to 16",orders[[#This Row],[Quantity]]&gt;16,"Above 16")</f>
        <v>Above 16</v>
      </c>
    </row>
    <row r="360" spans="1:16"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c r="P360" t="str" cm="1">
        <f t="array" ref="P360">_xlfn.IFS(orders[[#This Row],[Quantity]]&lt;=5,"1 to 5",orders[[#This Row],[Quantity]]&lt;=10,"6 to 10",orders[[#This Row],[Quantity]]&lt;=16,"11 to 16",orders[[#This Row],[Quantity]]&gt;16,"Above 16")</f>
        <v>1 to 5</v>
      </c>
    </row>
    <row r="361" spans="1:16"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c r="P361" t="str" cm="1">
        <f t="array" ref="P361">_xlfn.IFS(orders[[#This Row],[Quantity]]&lt;=5,"1 to 5",orders[[#This Row],[Quantity]]&lt;=10,"6 to 10",orders[[#This Row],[Quantity]]&lt;=16,"11 to 16",orders[[#This Row],[Quantity]]&gt;16,"Above 16")</f>
        <v>1 to 5</v>
      </c>
    </row>
    <row r="362" spans="1:16"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c r="P362" t="str" cm="1">
        <f t="array" ref="P362">_xlfn.IFS(orders[[#This Row],[Quantity]]&lt;=5,"1 to 5",orders[[#This Row],[Quantity]]&lt;=10,"6 to 10",orders[[#This Row],[Quantity]]&lt;=16,"11 to 16",orders[[#This Row],[Quantity]]&gt;16,"Above 16")</f>
        <v>1 to 5</v>
      </c>
    </row>
    <row r="363" spans="1:16"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c r="P363" t="str" cm="1">
        <f t="array" ref="P363">_xlfn.IFS(orders[[#This Row],[Quantity]]&lt;=5,"1 to 5",orders[[#This Row],[Quantity]]&lt;=10,"6 to 10",orders[[#This Row],[Quantity]]&lt;=16,"11 to 16",orders[[#This Row],[Quantity]]&gt;16,"Above 16")</f>
        <v>1 to 5</v>
      </c>
    </row>
    <row r="364" spans="1:16"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c r="P364" t="str" cm="1">
        <f t="array" ref="P364">_xlfn.IFS(orders[[#This Row],[Quantity]]&lt;=5,"1 to 5",orders[[#This Row],[Quantity]]&lt;=10,"6 to 10",orders[[#This Row],[Quantity]]&lt;=16,"11 to 16",orders[[#This Row],[Quantity]]&gt;16,"Above 16")</f>
        <v>6 to 10</v>
      </c>
    </row>
    <row r="365" spans="1:16"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c r="P365" t="str" cm="1">
        <f t="array" ref="P365">_xlfn.IFS(orders[[#This Row],[Quantity]]&lt;=5,"1 to 5",orders[[#This Row],[Quantity]]&lt;=10,"6 to 10",orders[[#This Row],[Quantity]]&lt;=16,"11 to 16",orders[[#This Row],[Quantity]]&gt;16,"Above 16")</f>
        <v>1 to 5</v>
      </c>
    </row>
    <row r="366" spans="1:16"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c r="P366" t="str" cm="1">
        <f t="array" ref="P366">_xlfn.IFS(orders[[#This Row],[Quantity]]&lt;=5,"1 to 5",orders[[#This Row],[Quantity]]&lt;=10,"6 to 10",orders[[#This Row],[Quantity]]&lt;=16,"11 to 16",orders[[#This Row],[Quantity]]&gt;16,"Above 16")</f>
        <v>6 to 10</v>
      </c>
    </row>
    <row r="367" spans="1:16"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c r="P367" t="str" cm="1">
        <f t="array" ref="P367">_xlfn.IFS(orders[[#This Row],[Quantity]]&lt;=5,"1 to 5",orders[[#This Row],[Quantity]]&lt;=10,"6 to 10",orders[[#This Row],[Quantity]]&lt;=16,"11 to 16",orders[[#This Row],[Quantity]]&gt;16,"Above 16")</f>
        <v>11 to 16</v>
      </c>
    </row>
    <row r="368" spans="1:16"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c r="P368" t="str" cm="1">
        <f t="array" ref="P368">_xlfn.IFS(orders[[#This Row],[Quantity]]&lt;=5,"1 to 5",orders[[#This Row],[Quantity]]&lt;=10,"6 to 10",orders[[#This Row],[Quantity]]&lt;=16,"11 to 16",orders[[#This Row],[Quantity]]&gt;16,"Above 16")</f>
        <v>6 to 10</v>
      </c>
    </row>
    <row r="369" spans="1:16"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c r="P369" t="str" cm="1">
        <f t="array" ref="P369">_xlfn.IFS(orders[[#This Row],[Quantity]]&lt;=5,"1 to 5",orders[[#This Row],[Quantity]]&lt;=10,"6 to 10",orders[[#This Row],[Quantity]]&lt;=16,"11 to 16",orders[[#This Row],[Quantity]]&gt;16,"Above 16")</f>
        <v>6 to 10</v>
      </c>
    </row>
    <row r="370" spans="1:16"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c r="P370" t="str" cm="1">
        <f t="array" ref="P370">_xlfn.IFS(orders[[#This Row],[Quantity]]&lt;=5,"1 to 5",orders[[#This Row],[Quantity]]&lt;=10,"6 to 10",orders[[#This Row],[Quantity]]&lt;=16,"11 to 16",orders[[#This Row],[Quantity]]&gt;16,"Above 16")</f>
        <v>1 to 5</v>
      </c>
    </row>
    <row r="371" spans="1:16"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c r="P371" t="str" cm="1">
        <f t="array" ref="P371">_xlfn.IFS(orders[[#This Row],[Quantity]]&lt;=5,"1 to 5",orders[[#This Row],[Quantity]]&lt;=10,"6 to 10",orders[[#This Row],[Quantity]]&lt;=16,"11 to 16",orders[[#This Row],[Quantity]]&gt;16,"Above 16")</f>
        <v>1 to 5</v>
      </c>
    </row>
    <row r="372" spans="1:16"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c r="P372" t="str" cm="1">
        <f t="array" ref="P372">_xlfn.IFS(orders[[#This Row],[Quantity]]&lt;=5,"1 to 5",orders[[#This Row],[Quantity]]&lt;=10,"6 to 10",orders[[#This Row],[Quantity]]&lt;=16,"11 to 16",orders[[#This Row],[Quantity]]&gt;16,"Above 16")</f>
        <v>1 to 5</v>
      </c>
    </row>
    <row r="373" spans="1:16"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c r="P373" t="str" cm="1">
        <f t="array" ref="P373">_xlfn.IFS(orders[[#This Row],[Quantity]]&lt;=5,"1 to 5",orders[[#This Row],[Quantity]]&lt;=10,"6 to 10",orders[[#This Row],[Quantity]]&lt;=16,"11 to 16",orders[[#This Row],[Quantity]]&gt;16,"Above 16")</f>
        <v>1 to 5</v>
      </c>
    </row>
    <row r="374" spans="1:16"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c r="P374" t="str" cm="1">
        <f t="array" ref="P374">_xlfn.IFS(orders[[#This Row],[Quantity]]&lt;=5,"1 to 5",orders[[#This Row],[Quantity]]&lt;=10,"6 to 10",orders[[#This Row],[Quantity]]&lt;=16,"11 to 16",orders[[#This Row],[Quantity]]&gt;16,"Above 16")</f>
        <v>1 to 5</v>
      </c>
    </row>
    <row r="375" spans="1:16"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c r="P375" t="str" cm="1">
        <f t="array" ref="P375">_xlfn.IFS(orders[[#This Row],[Quantity]]&lt;=5,"1 to 5",orders[[#This Row],[Quantity]]&lt;=10,"6 to 10",orders[[#This Row],[Quantity]]&lt;=16,"11 to 16",orders[[#This Row],[Quantity]]&gt;16,"Above 16")</f>
        <v>1 to 5</v>
      </c>
    </row>
    <row r="376" spans="1:16"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c r="P376" t="str" cm="1">
        <f t="array" ref="P376">_xlfn.IFS(orders[[#This Row],[Quantity]]&lt;=5,"1 to 5",orders[[#This Row],[Quantity]]&lt;=10,"6 to 10",orders[[#This Row],[Quantity]]&lt;=16,"11 to 16",orders[[#This Row],[Quantity]]&gt;16,"Above 16")</f>
        <v>1 to 5</v>
      </c>
    </row>
    <row r="377" spans="1:16"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c r="P377" t="str" cm="1">
        <f t="array" ref="P377">_xlfn.IFS(orders[[#This Row],[Quantity]]&lt;=5,"1 to 5",orders[[#This Row],[Quantity]]&lt;=10,"6 to 10",orders[[#This Row],[Quantity]]&lt;=16,"11 to 16",orders[[#This Row],[Quantity]]&gt;16,"Above 16")</f>
        <v>1 to 5</v>
      </c>
    </row>
    <row r="378" spans="1:16"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c r="P378" t="str" cm="1">
        <f t="array" ref="P378">_xlfn.IFS(orders[[#This Row],[Quantity]]&lt;=5,"1 to 5",orders[[#This Row],[Quantity]]&lt;=10,"6 to 10",orders[[#This Row],[Quantity]]&lt;=16,"11 to 16",orders[[#This Row],[Quantity]]&gt;16,"Above 16")</f>
        <v>1 to 5</v>
      </c>
    </row>
    <row r="379" spans="1:16"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c r="P379" t="str" cm="1">
        <f t="array" ref="P379">_xlfn.IFS(orders[[#This Row],[Quantity]]&lt;=5,"1 to 5",orders[[#This Row],[Quantity]]&lt;=10,"6 to 10",orders[[#This Row],[Quantity]]&lt;=16,"11 to 16",orders[[#This Row],[Quantity]]&gt;16,"Above 16")</f>
        <v>1 to 5</v>
      </c>
    </row>
    <row r="380" spans="1:16"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c r="P380" t="str" cm="1">
        <f t="array" ref="P380">_xlfn.IFS(orders[[#This Row],[Quantity]]&lt;=5,"1 to 5",orders[[#This Row],[Quantity]]&lt;=10,"6 to 10",orders[[#This Row],[Quantity]]&lt;=16,"11 to 16",orders[[#This Row],[Quantity]]&gt;16,"Above 16")</f>
        <v>Above 16</v>
      </c>
    </row>
    <row r="381" spans="1:16"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c r="P381" t="str" cm="1">
        <f t="array" ref="P381">_xlfn.IFS(orders[[#This Row],[Quantity]]&lt;=5,"1 to 5",orders[[#This Row],[Quantity]]&lt;=10,"6 to 10",orders[[#This Row],[Quantity]]&lt;=16,"11 to 16",orders[[#This Row],[Quantity]]&gt;16,"Above 16")</f>
        <v>1 to 5</v>
      </c>
    </row>
    <row r="382" spans="1:16"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c r="P382" t="str" cm="1">
        <f t="array" ref="P382">_xlfn.IFS(orders[[#This Row],[Quantity]]&lt;=5,"1 to 5",orders[[#This Row],[Quantity]]&lt;=10,"6 to 10",orders[[#This Row],[Quantity]]&lt;=16,"11 to 16",orders[[#This Row],[Quantity]]&gt;16,"Above 16")</f>
        <v>1 to 5</v>
      </c>
    </row>
    <row r="383" spans="1:16"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c r="P383" t="str" cm="1">
        <f t="array" ref="P383">_xlfn.IFS(orders[[#This Row],[Quantity]]&lt;=5,"1 to 5",orders[[#This Row],[Quantity]]&lt;=10,"6 to 10",orders[[#This Row],[Quantity]]&lt;=16,"11 to 16",orders[[#This Row],[Quantity]]&gt;16,"Above 16")</f>
        <v>6 to 10</v>
      </c>
    </row>
    <row r="384" spans="1:16"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c r="P384" t="str" cm="1">
        <f t="array" ref="P384">_xlfn.IFS(orders[[#This Row],[Quantity]]&lt;=5,"1 to 5",orders[[#This Row],[Quantity]]&lt;=10,"6 to 10",orders[[#This Row],[Quantity]]&lt;=16,"11 to 16",orders[[#This Row],[Quantity]]&gt;16,"Above 16")</f>
        <v>1 to 5</v>
      </c>
    </row>
    <row r="385" spans="1:16"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c r="P385" t="str" cm="1">
        <f t="array" ref="P385">_xlfn.IFS(orders[[#This Row],[Quantity]]&lt;=5,"1 to 5",orders[[#This Row],[Quantity]]&lt;=10,"6 to 10",orders[[#This Row],[Quantity]]&lt;=16,"11 to 16",orders[[#This Row],[Quantity]]&gt;16,"Above 16")</f>
        <v>11 to 16</v>
      </c>
    </row>
    <row r="386" spans="1:16"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c r="P386" t="str" cm="1">
        <f t="array" ref="P386">_xlfn.IFS(orders[[#This Row],[Quantity]]&lt;=5,"1 to 5",orders[[#This Row],[Quantity]]&lt;=10,"6 to 10",orders[[#This Row],[Quantity]]&lt;=16,"11 to 16",orders[[#This Row],[Quantity]]&gt;16,"Above 16")</f>
        <v>1 to 5</v>
      </c>
    </row>
    <row r="387" spans="1:16"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c r="P387" t="str" cm="1">
        <f t="array" ref="P387">_xlfn.IFS(orders[[#This Row],[Quantity]]&lt;=5,"1 to 5",orders[[#This Row],[Quantity]]&lt;=10,"6 to 10",orders[[#This Row],[Quantity]]&lt;=16,"11 to 16",orders[[#This Row],[Quantity]]&gt;16,"Above 16")</f>
        <v>6 to 10</v>
      </c>
    </row>
    <row r="388" spans="1:16"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c r="P388" t="str" cm="1">
        <f t="array" ref="P388">_xlfn.IFS(orders[[#This Row],[Quantity]]&lt;=5,"1 to 5",orders[[#This Row],[Quantity]]&lt;=10,"6 to 10",orders[[#This Row],[Quantity]]&lt;=16,"11 to 16",orders[[#This Row],[Quantity]]&gt;16,"Above 16")</f>
        <v>Above 16</v>
      </c>
    </row>
    <row r="389" spans="1:16"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c r="P389" t="str" cm="1">
        <f t="array" ref="P389">_xlfn.IFS(orders[[#This Row],[Quantity]]&lt;=5,"1 to 5",orders[[#This Row],[Quantity]]&lt;=10,"6 to 10",orders[[#This Row],[Quantity]]&lt;=16,"11 to 16",orders[[#This Row],[Quantity]]&gt;16,"Above 16")</f>
        <v>6 to 10</v>
      </c>
    </row>
    <row r="390" spans="1:16"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c r="P390" t="str" cm="1">
        <f t="array" ref="P390">_xlfn.IFS(orders[[#This Row],[Quantity]]&lt;=5,"1 to 5",orders[[#This Row],[Quantity]]&lt;=10,"6 to 10",orders[[#This Row],[Quantity]]&lt;=16,"11 to 16",orders[[#This Row],[Quantity]]&gt;16,"Above 16")</f>
        <v>6 to 10</v>
      </c>
    </row>
    <row r="391" spans="1:16"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c r="P391" t="str" cm="1">
        <f t="array" ref="P391">_xlfn.IFS(orders[[#This Row],[Quantity]]&lt;=5,"1 to 5",orders[[#This Row],[Quantity]]&lt;=10,"6 to 10",orders[[#This Row],[Quantity]]&lt;=16,"11 to 16",orders[[#This Row],[Quantity]]&gt;16,"Above 16")</f>
        <v>1 to 5</v>
      </c>
    </row>
    <row r="392" spans="1:16"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c r="P392" t="str" cm="1">
        <f t="array" ref="P392">_xlfn.IFS(orders[[#This Row],[Quantity]]&lt;=5,"1 to 5",orders[[#This Row],[Quantity]]&lt;=10,"6 to 10",orders[[#This Row],[Quantity]]&lt;=16,"11 to 16",orders[[#This Row],[Quantity]]&gt;16,"Above 16")</f>
        <v>Above 16</v>
      </c>
    </row>
    <row r="393" spans="1:16"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c r="P393" t="str" cm="1">
        <f t="array" ref="P393">_xlfn.IFS(orders[[#This Row],[Quantity]]&lt;=5,"1 to 5",orders[[#This Row],[Quantity]]&lt;=10,"6 to 10",orders[[#This Row],[Quantity]]&lt;=16,"11 to 16",orders[[#This Row],[Quantity]]&gt;16,"Above 16")</f>
        <v>1 to 5</v>
      </c>
    </row>
    <row r="394" spans="1:16"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c r="P394" t="str" cm="1">
        <f t="array" ref="P394">_xlfn.IFS(orders[[#This Row],[Quantity]]&lt;=5,"1 to 5",orders[[#This Row],[Quantity]]&lt;=10,"6 to 10",orders[[#This Row],[Quantity]]&lt;=16,"11 to 16",orders[[#This Row],[Quantity]]&gt;16,"Above 16")</f>
        <v>1 to 5</v>
      </c>
    </row>
    <row r="395" spans="1:16"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c r="P395" t="str" cm="1">
        <f t="array" ref="P395">_xlfn.IFS(orders[[#This Row],[Quantity]]&lt;=5,"1 to 5",orders[[#This Row],[Quantity]]&lt;=10,"6 to 10",orders[[#This Row],[Quantity]]&lt;=16,"11 to 16",orders[[#This Row],[Quantity]]&gt;16,"Above 16")</f>
        <v>1 to 5</v>
      </c>
    </row>
    <row r="396" spans="1:16"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c r="P396" t="str" cm="1">
        <f t="array" ref="P396">_xlfn.IFS(orders[[#This Row],[Quantity]]&lt;=5,"1 to 5",orders[[#This Row],[Quantity]]&lt;=10,"6 to 10",orders[[#This Row],[Quantity]]&lt;=16,"11 to 16",orders[[#This Row],[Quantity]]&gt;16,"Above 16")</f>
        <v>1 to 5</v>
      </c>
    </row>
    <row r="397" spans="1:16"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c r="P397" t="str" cm="1">
        <f t="array" ref="P397">_xlfn.IFS(orders[[#This Row],[Quantity]]&lt;=5,"1 to 5",orders[[#This Row],[Quantity]]&lt;=10,"6 to 10",orders[[#This Row],[Quantity]]&lt;=16,"11 to 16",orders[[#This Row],[Quantity]]&gt;16,"Above 16")</f>
        <v>1 to 5</v>
      </c>
    </row>
    <row r="398" spans="1:16"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c r="P398" t="str" cm="1">
        <f t="array" ref="P398">_xlfn.IFS(orders[[#This Row],[Quantity]]&lt;=5,"1 to 5",orders[[#This Row],[Quantity]]&lt;=10,"6 to 10",orders[[#This Row],[Quantity]]&lt;=16,"11 to 16",orders[[#This Row],[Quantity]]&gt;16,"Above 16")</f>
        <v>1 to 5</v>
      </c>
    </row>
    <row r="399" spans="1:16"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c r="P399" t="str" cm="1">
        <f t="array" ref="P399">_xlfn.IFS(orders[[#This Row],[Quantity]]&lt;=5,"1 to 5",orders[[#This Row],[Quantity]]&lt;=10,"6 to 10",orders[[#This Row],[Quantity]]&lt;=16,"11 to 16",orders[[#This Row],[Quantity]]&gt;16,"Above 16")</f>
        <v>1 to 5</v>
      </c>
    </row>
    <row r="400" spans="1:16"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c r="P400" t="str" cm="1">
        <f t="array" ref="P400">_xlfn.IFS(orders[[#This Row],[Quantity]]&lt;=5,"1 to 5",orders[[#This Row],[Quantity]]&lt;=10,"6 to 10",orders[[#This Row],[Quantity]]&lt;=16,"11 to 16",orders[[#This Row],[Quantity]]&gt;16,"Above 16")</f>
        <v>6 to 10</v>
      </c>
    </row>
    <row r="401" spans="1:16"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c r="P401" t="str" cm="1">
        <f t="array" ref="P401">_xlfn.IFS(orders[[#This Row],[Quantity]]&lt;=5,"1 to 5",orders[[#This Row],[Quantity]]&lt;=10,"6 to 10",orders[[#This Row],[Quantity]]&lt;=16,"11 to 16",orders[[#This Row],[Quantity]]&gt;16,"Above 16")</f>
        <v>6 to 10</v>
      </c>
    </row>
    <row r="402" spans="1:16"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c r="P402" t="str" cm="1">
        <f t="array" ref="P402">_xlfn.IFS(orders[[#This Row],[Quantity]]&lt;=5,"1 to 5",orders[[#This Row],[Quantity]]&lt;=10,"6 to 10",orders[[#This Row],[Quantity]]&lt;=16,"11 to 16",orders[[#This Row],[Quantity]]&gt;16,"Above 16")</f>
        <v>6 to 10</v>
      </c>
    </row>
    <row r="403" spans="1:16"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c r="P403" t="str" cm="1">
        <f t="array" ref="P403">_xlfn.IFS(orders[[#This Row],[Quantity]]&lt;=5,"1 to 5",orders[[#This Row],[Quantity]]&lt;=10,"6 to 10",orders[[#This Row],[Quantity]]&lt;=16,"11 to 16",orders[[#This Row],[Quantity]]&gt;16,"Above 16")</f>
        <v>1 to 5</v>
      </c>
    </row>
    <row r="404" spans="1:16"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c r="P404" t="str" cm="1">
        <f t="array" ref="P404">_xlfn.IFS(orders[[#This Row],[Quantity]]&lt;=5,"1 to 5",orders[[#This Row],[Quantity]]&lt;=10,"6 to 10",orders[[#This Row],[Quantity]]&lt;=16,"11 to 16",orders[[#This Row],[Quantity]]&gt;16,"Above 16")</f>
        <v>1 to 5</v>
      </c>
    </row>
    <row r="405" spans="1:16"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c r="P405" t="str" cm="1">
        <f t="array" ref="P405">_xlfn.IFS(orders[[#This Row],[Quantity]]&lt;=5,"1 to 5",orders[[#This Row],[Quantity]]&lt;=10,"6 to 10",orders[[#This Row],[Quantity]]&lt;=16,"11 to 16",orders[[#This Row],[Quantity]]&gt;16,"Above 16")</f>
        <v>1 to 5</v>
      </c>
    </row>
    <row r="406" spans="1:16"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c r="P406" t="str" cm="1">
        <f t="array" ref="P406">_xlfn.IFS(orders[[#This Row],[Quantity]]&lt;=5,"1 to 5",orders[[#This Row],[Quantity]]&lt;=10,"6 to 10",orders[[#This Row],[Quantity]]&lt;=16,"11 to 16",orders[[#This Row],[Quantity]]&gt;16,"Above 16")</f>
        <v>1 to 5</v>
      </c>
    </row>
    <row r="407" spans="1:16"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c r="P407" t="str" cm="1">
        <f t="array" ref="P407">_xlfn.IFS(orders[[#This Row],[Quantity]]&lt;=5,"1 to 5",orders[[#This Row],[Quantity]]&lt;=10,"6 to 10",orders[[#This Row],[Quantity]]&lt;=16,"11 to 16",orders[[#This Row],[Quantity]]&gt;16,"Above 16")</f>
        <v>1 to 5</v>
      </c>
    </row>
    <row r="408" spans="1:16"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c r="P408" t="str" cm="1">
        <f t="array" ref="P408">_xlfn.IFS(orders[[#This Row],[Quantity]]&lt;=5,"1 to 5",orders[[#This Row],[Quantity]]&lt;=10,"6 to 10",orders[[#This Row],[Quantity]]&lt;=16,"11 to 16",orders[[#This Row],[Quantity]]&gt;16,"Above 16")</f>
        <v>1 to 5</v>
      </c>
    </row>
    <row r="409" spans="1:16"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c r="P409" t="str" cm="1">
        <f t="array" ref="P409">_xlfn.IFS(orders[[#This Row],[Quantity]]&lt;=5,"1 to 5",orders[[#This Row],[Quantity]]&lt;=10,"6 to 10",orders[[#This Row],[Quantity]]&lt;=16,"11 to 16",orders[[#This Row],[Quantity]]&gt;16,"Above 16")</f>
        <v>1 to 5</v>
      </c>
    </row>
    <row r="410" spans="1:16"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c r="P410" t="str" cm="1">
        <f t="array" ref="P410">_xlfn.IFS(orders[[#This Row],[Quantity]]&lt;=5,"1 to 5",orders[[#This Row],[Quantity]]&lt;=10,"6 to 10",orders[[#This Row],[Quantity]]&lt;=16,"11 to 16",orders[[#This Row],[Quantity]]&gt;16,"Above 16")</f>
        <v>1 to 5</v>
      </c>
    </row>
    <row r="411" spans="1:16"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c r="P411" t="str" cm="1">
        <f t="array" ref="P411">_xlfn.IFS(orders[[#This Row],[Quantity]]&lt;=5,"1 to 5",orders[[#This Row],[Quantity]]&lt;=10,"6 to 10",orders[[#This Row],[Quantity]]&lt;=16,"11 to 16",orders[[#This Row],[Quantity]]&gt;16,"Above 16")</f>
        <v>1 to 5</v>
      </c>
    </row>
    <row r="412" spans="1:16"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c r="P412" t="str" cm="1">
        <f t="array" ref="P412">_xlfn.IFS(orders[[#This Row],[Quantity]]&lt;=5,"1 to 5",orders[[#This Row],[Quantity]]&lt;=10,"6 to 10",orders[[#This Row],[Quantity]]&lt;=16,"11 to 16",orders[[#This Row],[Quantity]]&gt;16,"Above 16")</f>
        <v>11 to 16</v>
      </c>
    </row>
    <row r="413" spans="1:16"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c r="P413" t="str" cm="1">
        <f t="array" ref="P413">_xlfn.IFS(orders[[#This Row],[Quantity]]&lt;=5,"1 to 5",orders[[#This Row],[Quantity]]&lt;=10,"6 to 10",orders[[#This Row],[Quantity]]&lt;=16,"11 to 16",orders[[#This Row],[Quantity]]&gt;16,"Above 16")</f>
        <v>1 to 5</v>
      </c>
    </row>
    <row r="414" spans="1:16"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c r="P414" t="str" cm="1">
        <f t="array" ref="P414">_xlfn.IFS(orders[[#This Row],[Quantity]]&lt;=5,"1 to 5",orders[[#This Row],[Quantity]]&lt;=10,"6 to 10",orders[[#This Row],[Quantity]]&lt;=16,"11 to 16",orders[[#This Row],[Quantity]]&gt;16,"Above 16")</f>
        <v>1 to 5</v>
      </c>
    </row>
    <row r="415" spans="1:16"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c r="P415" t="str" cm="1">
        <f t="array" ref="P415">_xlfn.IFS(orders[[#This Row],[Quantity]]&lt;=5,"1 to 5",orders[[#This Row],[Quantity]]&lt;=10,"6 to 10",orders[[#This Row],[Quantity]]&lt;=16,"11 to 16",orders[[#This Row],[Quantity]]&gt;16,"Above 16")</f>
        <v>1 to 5</v>
      </c>
    </row>
    <row r="416" spans="1:16"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c r="P416" t="str" cm="1">
        <f t="array" ref="P416">_xlfn.IFS(orders[[#This Row],[Quantity]]&lt;=5,"1 to 5",orders[[#This Row],[Quantity]]&lt;=10,"6 to 10",orders[[#This Row],[Quantity]]&lt;=16,"11 to 16",orders[[#This Row],[Quantity]]&gt;16,"Above 16")</f>
        <v>1 to 5</v>
      </c>
    </row>
    <row r="417" spans="1:16"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c r="P417" t="str" cm="1">
        <f t="array" ref="P417">_xlfn.IFS(orders[[#This Row],[Quantity]]&lt;=5,"1 to 5",orders[[#This Row],[Quantity]]&lt;=10,"6 to 10",orders[[#This Row],[Quantity]]&lt;=16,"11 to 16",orders[[#This Row],[Quantity]]&gt;16,"Above 16")</f>
        <v>1 to 5</v>
      </c>
    </row>
    <row r="418" spans="1:16"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c r="P418" t="str" cm="1">
        <f t="array" ref="P418">_xlfn.IFS(orders[[#This Row],[Quantity]]&lt;=5,"1 to 5",orders[[#This Row],[Quantity]]&lt;=10,"6 to 10",orders[[#This Row],[Quantity]]&lt;=16,"11 to 16",orders[[#This Row],[Quantity]]&gt;16,"Above 16")</f>
        <v>1 to 5</v>
      </c>
    </row>
    <row r="419" spans="1:16"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c r="P419" t="str" cm="1">
        <f t="array" ref="P419">_xlfn.IFS(orders[[#This Row],[Quantity]]&lt;=5,"1 to 5",orders[[#This Row],[Quantity]]&lt;=10,"6 to 10",orders[[#This Row],[Quantity]]&lt;=16,"11 to 16",orders[[#This Row],[Quantity]]&gt;16,"Above 16")</f>
        <v>6 to 10</v>
      </c>
    </row>
    <row r="420" spans="1:16"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c r="P420" t="str" cm="1">
        <f t="array" ref="P420">_xlfn.IFS(orders[[#This Row],[Quantity]]&lt;=5,"1 to 5",orders[[#This Row],[Quantity]]&lt;=10,"6 to 10",orders[[#This Row],[Quantity]]&lt;=16,"11 to 16",orders[[#This Row],[Quantity]]&gt;16,"Above 16")</f>
        <v>Above 16</v>
      </c>
    </row>
    <row r="421" spans="1:16"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c r="P421" t="str" cm="1">
        <f t="array" ref="P421">_xlfn.IFS(orders[[#This Row],[Quantity]]&lt;=5,"1 to 5",orders[[#This Row],[Quantity]]&lt;=10,"6 to 10",orders[[#This Row],[Quantity]]&lt;=16,"11 to 16",orders[[#This Row],[Quantity]]&gt;16,"Above 16")</f>
        <v>1 to 5</v>
      </c>
    </row>
    <row r="422" spans="1:16"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c r="P422" t="str" cm="1">
        <f t="array" ref="P422">_xlfn.IFS(orders[[#This Row],[Quantity]]&lt;=5,"1 to 5",orders[[#This Row],[Quantity]]&lt;=10,"6 to 10",orders[[#This Row],[Quantity]]&lt;=16,"11 to 16",orders[[#This Row],[Quantity]]&gt;16,"Above 16")</f>
        <v>Above 16</v>
      </c>
    </row>
    <row r="423" spans="1:16"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c r="P423" t="str" cm="1">
        <f t="array" ref="P423">_xlfn.IFS(orders[[#This Row],[Quantity]]&lt;=5,"1 to 5",orders[[#This Row],[Quantity]]&lt;=10,"6 to 10",orders[[#This Row],[Quantity]]&lt;=16,"11 to 16",orders[[#This Row],[Quantity]]&gt;16,"Above 16")</f>
        <v>6 to 10</v>
      </c>
    </row>
    <row r="424" spans="1:16"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c r="P424" t="str" cm="1">
        <f t="array" ref="P424">_xlfn.IFS(orders[[#This Row],[Quantity]]&lt;=5,"1 to 5",orders[[#This Row],[Quantity]]&lt;=10,"6 to 10",orders[[#This Row],[Quantity]]&lt;=16,"11 to 16",orders[[#This Row],[Quantity]]&gt;16,"Above 16")</f>
        <v>6 to 10</v>
      </c>
    </row>
    <row r="425" spans="1:16"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c r="P425" t="str" cm="1">
        <f t="array" ref="P425">_xlfn.IFS(orders[[#This Row],[Quantity]]&lt;=5,"1 to 5",orders[[#This Row],[Quantity]]&lt;=10,"6 to 10",orders[[#This Row],[Quantity]]&lt;=16,"11 to 16",orders[[#This Row],[Quantity]]&gt;16,"Above 16")</f>
        <v>6 to 10</v>
      </c>
    </row>
    <row r="426" spans="1:16"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c r="P426" t="str" cm="1">
        <f t="array" ref="P426">_xlfn.IFS(orders[[#This Row],[Quantity]]&lt;=5,"1 to 5",orders[[#This Row],[Quantity]]&lt;=10,"6 to 10",orders[[#This Row],[Quantity]]&lt;=16,"11 to 16",orders[[#This Row],[Quantity]]&gt;16,"Above 16")</f>
        <v>6 to 10</v>
      </c>
    </row>
    <row r="427" spans="1:16"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c r="P427" t="str" cm="1">
        <f t="array" ref="P427">_xlfn.IFS(orders[[#This Row],[Quantity]]&lt;=5,"1 to 5",orders[[#This Row],[Quantity]]&lt;=10,"6 to 10",orders[[#This Row],[Quantity]]&lt;=16,"11 to 16",orders[[#This Row],[Quantity]]&gt;16,"Above 16")</f>
        <v>6 to 10</v>
      </c>
    </row>
    <row r="428" spans="1:16"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c r="P428" t="str" cm="1">
        <f t="array" ref="P428">_xlfn.IFS(orders[[#This Row],[Quantity]]&lt;=5,"1 to 5",orders[[#This Row],[Quantity]]&lt;=10,"6 to 10",orders[[#This Row],[Quantity]]&lt;=16,"11 to 16",orders[[#This Row],[Quantity]]&gt;16,"Above 16")</f>
        <v>11 to 16</v>
      </c>
    </row>
    <row r="429" spans="1:16"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c r="P429" t="str" cm="1">
        <f t="array" ref="P429">_xlfn.IFS(orders[[#This Row],[Quantity]]&lt;=5,"1 to 5",orders[[#This Row],[Quantity]]&lt;=10,"6 to 10",orders[[#This Row],[Quantity]]&lt;=16,"11 to 16",orders[[#This Row],[Quantity]]&gt;16,"Above 16")</f>
        <v>11 to 16</v>
      </c>
    </row>
    <row r="430" spans="1:16"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c r="P430" t="str" cm="1">
        <f t="array" ref="P430">_xlfn.IFS(orders[[#This Row],[Quantity]]&lt;=5,"1 to 5",orders[[#This Row],[Quantity]]&lt;=10,"6 to 10",orders[[#This Row],[Quantity]]&lt;=16,"11 to 16",orders[[#This Row],[Quantity]]&gt;16,"Above 16")</f>
        <v>6 to 10</v>
      </c>
    </row>
    <row r="431" spans="1:16"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c r="P431" t="str" cm="1">
        <f t="array" ref="P431">_xlfn.IFS(orders[[#This Row],[Quantity]]&lt;=5,"1 to 5",orders[[#This Row],[Quantity]]&lt;=10,"6 to 10",orders[[#This Row],[Quantity]]&lt;=16,"11 to 16",orders[[#This Row],[Quantity]]&gt;16,"Above 16")</f>
        <v>1 to 5</v>
      </c>
    </row>
    <row r="432" spans="1:16"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c r="P432" t="str" cm="1">
        <f t="array" ref="P432">_xlfn.IFS(orders[[#This Row],[Quantity]]&lt;=5,"1 to 5",orders[[#This Row],[Quantity]]&lt;=10,"6 to 10",orders[[#This Row],[Quantity]]&lt;=16,"11 to 16",orders[[#This Row],[Quantity]]&gt;16,"Above 16")</f>
        <v>1 to 5</v>
      </c>
    </row>
    <row r="433" spans="1:16"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c r="P433" t="str" cm="1">
        <f t="array" ref="P433">_xlfn.IFS(orders[[#This Row],[Quantity]]&lt;=5,"1 to 5",orders[[#This Row],[Quantity]]&lt;=10,"6 to 10",orders[[#This Row],[Quantity]]&lt;=16,"11 to 16",orders[[#This Row],[Quantity]]&gt;16,"Above 16")</f>
        <v>1 to 5</v>
      </c>
    </row>
    <row r="434" spans="1:16"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c r="P434" t="str" cm="1">
        <f t="array" ref="P434">_xlfn.IFS(orders[[#This Row],[Quantity]]&lt;=5,"1 to 5",orders[[#This Row],[Quantity]]&lt;=10,"6 to 10",orders[[#This Row],[Quantity]]&lt;=16,"11 to 16",orders[[#This Row],[Quantity]]&gt;16,"Above 16")</f>
        <v>1 to 5</v>
      </c>
    </row>
    <row r="435" spans="1:16"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c r="P435" t="str" cm="1">
        <f t="array" ref="P435">_xlfn.IFS(orders[[#This Row],[Quantity]]&lt;=5,"1 to 5",orders[[#This Row],[Quantity]]&lt;=10,"6 to 10",orders[[#This Row],[Quantity]]&lt;=16,"11 to 16",orders[[#This Row],[Quantity]]&gt;16,"Above 16")</f>
        <v>Above 16</v>
      </c>
    </row>
    <row r="436" spans="1:16"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c r="P436" t="str" cm="1">
        <f t="array" ref="P436">_xlfn.IFS(orders[[#This Row],[Quantity]]&lt;=5,"1 to 5",orders[[#This Row],[Quantity]]&lt;=10,"6 to 10",orders[[#This Row],[Quantity]]&lt;=16,"11 to 16",orders[[#This Row],[Quantity]]&gt;16,"Above 16")</f>
        <v>1 to 5</v>
      </c>
    </row>
    <row r="437" spans="1:16"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c r="P437" t="str" cm="1">
        <f t="array" ref="P437">_xlfn.IFS(orders[[#This Row],[Quantity]]&lt;=5,"1 to 5",orders[[#This Row],[Quantity]]&lt;=10,"6 to 10",orders[[#This Row],[Quantity]]&lt;=16,"11 to 16",orders[[#This Row],[Quantity]]&gt;16,"Above 16")</f>
        <v>1 to 5</v>
      </c>
    </row>
    <row r="438" spans="1:16"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c r="P438" t="str" cm="1">
        <f t="array" ref="P438">_xlfn.IFS(orders[[#This Row],[Quantity]]&lt;=5,"1 to 5",orders[[#This Row],[Quantity]]&lt;=10,"6 to 10",orders[[#This Row],[Quantity]]&lt;=16,"11 to 16",orders[[#This Row],[Quantity]]&gt;16,"Above 16")</f>
        <v>1 to 5</v>
      </c>
    </row>
    <row r="439" spans="1:16"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c r="P439" t="str" cm="1">
        <f t="array" ref="P439">_xlfn.IFS(orders[[#This Row],[Quantity]]&lt;=5,"1 to 5",orders[[#This Row],[Quantity]]&lt;=10,"6 to 10",orders[[#This Row],[Quantity]]&lt;=16,"11 to 16",orders[[#This Row],[Quantity]]&gt;16,"Above 16")</f>
        <v>1 to 5</v>
      </c>
    </row>
    <row r="440" spans="1:16"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c r="P440" t="str" cm="1">
        <f t="array" ref="P440">_xlfn.IFS(orders[[#This Row],[Quantity]]&lt;=5,"1 to 5",orders[[#This Row],[Quantity]]&lt;=10,"6 to 10",orders[[#This Row],[Quantity]]&lt;=16,"11 to 16",orders[[#This Row],[Quantity]]&gt;16,"Above 16")</f>
        <v>1 to 5</v>
      </c>
    </row>
    <row r="441" spans="1:16"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c r="P441" t="str" cm="1">
        <f t="array" ref="P441">_xlfn.IFS(orders[[#This Row],[Quantity]]&lt;=5,"1 to 5",orders[[#This Row],[Quantity]]&lt;=10,"6 to 10",orders[[#This Row],[Quantity]]&lt;=16,"11 to 16",orders[[#This Row],[Quantity]]&gt;16,"Above 16")</f>
        <v>1 to 5</v>
      </c>
    </row>
    <row r="442" spans="1:16"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c r="P442" t="str" cm="1">
        <f t="array" ref="P442">_xlfn.IFS(orders[[#This Row],[Quantity]]&lt;=5,"1 to 5",orders[[#This Row],[Quantity]]&lt;=10,"6 to 10",orders[[#This Row],[Quantity]]&lt;=16,"11 to 16",orders[[#This Row],[Quantity]]&gt;16,"Above 16")</f>
        <v>1 to 5</v>
      </c>
    </row>
    <row r="443" spans="1:16"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c r="P443" t="str" cm="1">
        <f t="array" ref="P443">_xlfn.IFS(orders[[#This Row],[Quantity]]&lt;=5,"1 to 5",orders[[#This Row],[Quantity]]&lt;=10,"6 to 10",orders[[#This Row],[Quantity]]&lt;=16,"11 to 16",orders[[#This Row],[Quantity]]&gt;16,"Above 16")</f>
        <v>6 to 10</v>
      </c>
    </row>
    <row r="444" spans="1:16"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c r="P444" t="str" cm="1">
        <f t="array" ref="P444">_xlfn.IFS(orders[[#This Row],[Quantity]]&lt;=5,"1 to 5",orders[[#This Row],[Quantity]]&lt;=10,"6 to 10",orders[[#This Row],[Quantity]]&lt;=16,"11 to 16",orders[[#This Row],[Quantity]]&gt;16,"Above 16")</f>
        <v>11 to 16</v>
      </c>
    </row>
    <row r="445" spans="1:16"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c r="P445" t="str" cm="1">
        <f t="array" ref="P445">_xlfn.IFS(orders[[#This Row],[Quantity]]&lt;=5,"1 to 5",orders[[#This Row],[Quantity]]&lt;=10,"6 to 10",orders[[#This Row],[Quantity]]&lt;=16,"11 to 16",orders[[#This Row],[Quantity]]&gt;16,"Above 16")</f>
        <v>1 to 5</v>
      </c>
    </row>
    <row r="446" spans="1:16"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c r="P446" t="str" cm="1">
        <f t="array" ref="P446">_xlfn.IFS(orders[[#This Row],[Quantity]]&lt;=5,"1 to 5",orders[[#This Row],[Quantity]]&lt;=10,"6 to 10",orders[[#This Row],[Quantity]]&lt;=16,"11 to 16",orders[[#This Row],[Quantity]]&gt;16,"Above 16")</f>
        <v>11 to 16</v>
      </c>
    </row>
    <row r="447" spans="1:16"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c r="P447" t="str" cm="1">
        <f t="array" ref="P447">_xlfn.IFS(orders[[#This Row],[Quantity]]&lt;=5,"1 to 5",orders[[#This Row],[Quantity]]&lt;=10,"6 to 10",orders[[#This Row],[Quantity]]&lt;=16,"11 to 16",orders[[#This Row],[Quantity]]&gt;16,"Above 16")</f>
        <v>1 to 5</v>
      </c>
    </row>
    <row r="448" spans="1:16"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c r="P448" t="str" cm="1">
        <f t="array" ref="P448">_xlfn.IFS(orders[[#This Row],[Quantity]]&lt;=5,"1 to 5",orders[[#This Row],[Quantity]]&lt;=10,"6 to 10",orders[[#This Row],[Quantity]]&lt;=16,"11 to 16",orders[[#This Row],[Quantity]]&gt;16,"Above 16")</f>
        <v>Above 16</v>
      </c>
    </row>
    <row r="449" spans="1:16"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c r="P449" t="str" cm="1">
        <f t="array" ref="P449">_xlfn.IFS(orders[[#This Row],[Quantity]]&lt;=5,"1 to 5",orders[[#This Row],[Quantity]]&lt;=10,"6 to 10",orders[[#This Row],[Quantity]]&lt;=16,"11 to 16",orders[[#This Row],[Quantity]]&gt;16,"Above 16")</f>
        <v>1 to 5</v>
      </c>
    </row>
    <row r="450" spans="1:16"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c r="P450" t="str" cm="1">
        <f t="array" ref="P450">_xlfn.IFS(orders[[#This Row],[Quantity]]&lt;=5,"1 to 5",orders[[#This Row],[Quantity]]&lt;=10,"6 to 10",orders[[#This Row],[Quantity]]&lt;=16,"11 to 16",orders[[#This Row],[Quantity]]&gt;16,"Above 16")</f>
        <v>6 to 10</v>
      </c>
    </row>
    <row r="451" spans="1:16"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c r="P451" t="str" cm="1">
        <f t="array" ref="P451">_xlfn.IFS(orders[[#This Row],[Quantity]]&lt;=5,"1 to 5",orders[[#This Row],[Quantity]]&lt;=10,"6 to 10",orders[[#This Row],[Quantity]]&lt;=16,"11 to 16",orders[[#This Row],[Quantity]]&gt;16,"Above 16")</f>
        <v>6 to 10</v>
      </c>
    </row>
    <row r="452" spans="1:16"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c r="P452" t="str" cm="1">
        <f t="array" ref="P452">_xlfn.IFS(orders[[#This Row],[Quantity]]&lt;=5,"1 to 5",orders[[#This Row],[Quantity]]&lt;=10,"6 to 10",orders[[#This Row],[Quantity]]&lt;=16,"11 to 16",orders[[#This Row],[Quantity]]&gt;16,"Above 16")</f>
        <v>1 to 5</v>
      </c>
    </row>
    <row r="453" spans="1:16"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c r="P453" t="str" cm="1">
        <f t="array" ref="P453">_xlfn.IFS(orders[[#This Row],[Quantity]]&lt;=5,"1 to 5",orders[[#This Row],[Quantity]]&lt;=10,"6 to 10",orders[[#This Row],[Quantity]]&lt;=16,"11 to 16",orders[[#This Row],[Quantity]]&gt;16,"Above 16")</f>
        <v>1 to 5</v>
      </c>
    </row>
    <row r="454" spans="1:16"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c r="P454" t="str" cm="1">
        <f t="array" ref="P454">_xlfn.IFS(orders[[#This Row],[Quantity]]&lt;=5,"1 to 5",orders[[#This Row],[Quantity]]&lt;=10,"6 to 10",orders[[#This Row],[Quantity]]&lt;=16,"11 to 16",orders[[#This Row],[Quantity]]&gt;16,"Above 16")</f>
        <v>1 to 5</v>
      </c>
    </row>
    <row r="455" spans="1:16"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c r="P455" t="str" cm="1">
        <f t="array" ref="P455">_xlfn.IFS(orders[[#This Row],[Quantity]]&lt;=5,"1 to 5",orders[[#This Row],[Quantity]]&lt;=10,"6 to 10",orders[[#This Row],[Quantity]]&lt;=16,"11 to 16",orders[[#This Row],[Quantity]]&gt;16,"Above 16")</f>
        <v>6 to 10</v>
      </c>
    </row>
    <row r="456" spans="1:16"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c r="P456" t="str" cm="1">
        <f t="array" ref="P456">_xlfn.IFS(orders[[#This Row],[Quantity]]&lt;=5,"1 to 5",orders[[#This Row],[Quantity]]&lt;=10,"6 to 10",orders[[#This Row],[Quantity]]&lt;=16,"11 to 16",orders[[#This Row],[Quantity]]&gt;16,"Above 16")</f>
        <v>Above 16</v>
      </c>
    </row>
    <row r="457" spans="1:16"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c r="P457" t="str" cm="1">
        <f t="array" ref="P457">_xlfn.IFS(orders[[#This Row],[Quantity]]&lt;=5,"1 to 5",orders[[#This Row],[Quantity]]&lt;=10,"6 to 10",orders[[#This Row],[Quantity]]&lt;=16,"11 to 16",orders[[#This Row],[Quantity]]&gt;16,"Above 16")</f>
        <v>6 to 10</v>
      </c>
    </row>
    <row r="458" spans="1:16"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c r="P458" t="str" cm="1">
        <f t="array" ref="P458">_xlfn.IFS(orders[[#This Row],[Quantity]]&lt;=5,"1 to 5",orders[[#This Row],[Quantity]]&lt;=10,"6 to 10",orders[[#This Row],[Quantity]]&lt;=16,"11 to 16",orders[[#This Row],[Quantity]]&gt;16,"Above 16")</f>
        <v>1 to 5</v>
      </c>
    </row>
    <row r="459" spans="1:16"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c r="P459" t="str" cm="1">
        <f t="array" ref="P459">_xlfn.IFS(orders[[#This Row],[Quantity]]&lt;=5,"1 to 5",orders[[#This Row],[Quantity]]&lt;=10,"6 to 10",orders[[#This Row],[Quantity]]&lt;=16,"11 to 16",orders[[#This Row],[Quantity]]&gt;16,"Above 16")</f>
        <v>1 to 5</v>
      </c>
    </row>
    <row r="460" spans="1:16"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c r="P460" t="str" cm="1">
        <f t="array" ref="P460">_xlfn.IFS(orders[[#This Row],[Quantity]]&lt;=5,"1 to 5",orders[[#This Row],[Quantity]]&lt;=10,"6 to 10",orders[[#This Row],[Quantity]]&lt;=16,"11 to 16",orders[[#This Row],[Quantity]]&gt;16,"Above 16")</f>
        <v>1 to 5</v>
      </c>
    </row>
    <row r="461" spans="1:16"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c r="P461" t="str" cm="1">
        <f t="array" ref="P461">_xlfn.IFS(orders[[#This Row],[Quantity]]&lt;=5,"1 to 5",orders[[#This Row],[Quantity]]&lt;=10,"6 to 10",orders[[#This Row],[Quantity]]&lt;=16,"11 to 16",orders[[#This Row],[Quantity]]&gt;16,"Above 16")</f>
        <v>1 to 5</v>
      </c>
    </row>
    <row r="462" spans="1:16"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c r="P462" t="str" cm="1">
        <f t="array" ref="P462">_xlfn.IFS(orders[[#This Row],[Quantity]]&lt;=5,"1 to 5",orders[[#This Row],[Quantity]]&lt;=10,"6 to 10",orders[[#This Row],[Quantity]]&lt;=16,"11 to 16",orders[[#This Row],[Quantity]]&gt;16,"Above 16")</f>
        <v>1 to 5</v>
      </c>
    </row>
    <row r="463" spans="1:16"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c r="P463" t="str" cm="1">
        <f t="array" ref="P463">_xlfn.IFS(orders[[#This Row],[Quantity]]&lt;=5,"1 to 5",orders[[#This Row],[Quantity]]&lt;=10,"6 to 10",orders[[#This Row],[Quantity]]&lt;=16,"11 to 16",orders[[#This Row],[Quantity]]&gt;16,"Above 16")</f>
        <v>1 to 5</v>
      </c>
    </row>
    <row r="464" spans="1:16"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c r="P464" t="str" cm="1">
        <f t="array" ref="P464">_xlfn.IFS(orders[[#This Row],[Quantity]]&lt;=5,"1 to 5",orders[[#This Row],[Quantity]]&lt;=10,"6 to 10",orders[[#This Row],[Quantity]]&lt;=16,"11 to 16",orders[[#This Row],[Quantity]]&gt;16,"Above 16")</f>
        <v>1 to 5</v>
      </c>
    </row>
    <row r="465" spans="1:16"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c r="P465" t="str" cm="1">
        <f t="array" ref="P465">_xlfn.IFS(orders[[#This Row],[Quantity]]&lt;=5,"1 to 5",orders[[#This Row],[Quantity]]&lt;=10,"6 to 10",orders[[#This Row],[Quantity]]&lt;=16,"11 to 16",orders[[#This Row],[Quantity]]&gt;16,"Above 16")</f>
        <v>6 to 10</v>
      </c>
    </row>
    <row r="466" spans="1:16"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c r="P466" t="str" cm="1">
        <f t="array" ref="P466">_xlfn.IFS(orders[[#This Row],[Quantity]]&lt;=5,"1 to 5",orders[[#This Row],[Quantity]]&lt;=10,"6 to 10",orders[[#This Row],[Quantity]]&lt;=16,"11 to 16",orders[[#This Row],[Quantity]]&gt;16,"Above 16")</f>
        <v>1 to 5</v>
      </c>
    </row>
    <row r="467" spans="1:16"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c r="P467" t="str" cm="1">
        <f t="array" ref="P467">_xlfn.IFS(orders[[#This Row],[Quantity]]&lt;=5,"1 to 5",orders[[#This Row],[Quantity]]&lt;=10,"6 to 10",orders[[#This Row],[Quantity]]&lt;=16,"11 to 16",orders[[#This Row],[Quantity]]&gt;16,"Above 16")</f>
        <v>1 to 5</v>
      </c>
    </row>
    <row r="468" spans="1:16"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c r="P468" t="str" cm="1">
        <f t="array" ref="P468">_xlfn.IFS(orders[[#This Row],[Quantity]]&lt;=5,"1 to 5",orders[[#This Row],[Quantity]]&lt;=10,"6 to 10",orders[[#This Row],[Quantity]]&lt;=16,"11 to 16",orders[[#This Row],[Quantity]]&gt;16,"Above 16")</f>
        <v>1 to 5</v>
      </c>
    </row>
    <row r="469" spans="1:16"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c r="P469" t="str" cm="1">
        <f t="array" ref="P469">_xlfn.IFS(orders[[#This Row],[Quantity]]&lt;=5,"1 to 5",orders[[#This Row],[Quantity]]&lt;=10,"6 to 10",orders[[#This Row],[Quantity]]&lt;=16,"11 to 16",orders[[#This Row],[Quantity]]&gt;16,"Above 16")</f>
        <v>1 to 5</v>
      </c>
    </row>
    <row r="470" spans="1:16"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c r="P470" t="str" cm="1">
        <f t="array" ref="P470">_xlfn.IFS(orders[[#This Row],[Quantity]]&lt;=5,"1 to 5",orders[[#This Row],[Quantity]]&lt;=10,"6 to 10",orders[[#This Row],[Quantity]]&lt;=16,"11 to 16",orders[[#This Row],[Quantity]]&gt;16,"Above 16")</f>
        <v>1 to 5</v>
      </c>
    </row>
    <row r="471" spans="1:16"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c r="P471" t="str" cm="1">
        <f t="array" ref="P471">_xlfn.IFS(orders[[#This Row],[Quantity]]&lt;=5,"1 to 5",orders[[#This Row],[Quantity]]&lt;=10,"6 to 10",orders[[#This Row],[Quantity]]&lt;=16,"11 to 16",orders[[#This Row],[Quantity]]&gt;16,"Above 16")</f>
        <v>1 to 5</v>
      </c>
    </row>
    <row r="472" spans="1:16"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c r="P472" t="str" cm="1">
        <f t="array" ref="P472">_xlfn.IFS(orders[[#This Row],[Quantity]]&lt;=5,"1 to 5",orders[[#This Row],[Quantity]]&lt;=10,"6 to 10",orders[[#This Row],[Quantity]]&lt;=16,"11 to 16",orders[[#This Row],[Quantity]]&gt;16,"Above 16")</f>
        <v>1 to 5</v>
      </c>
    </row>
    <row r="473" spans="1:16"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c r="P473" t="str" cm="1">
        <f t="array" ref="P473">_xlfn.IFS(orders[[#This Row],[Quantity]]&lt;=5,"1 to 5",orders[[#This Row],[Quantity]]&lt;=10,"6 to 10",orders[[#This Row],[Quantity]]&lt;=16,"11 to 16",orders[[#This Row],[Quantity]]&gt;16,"Above 16")</f>
        <v>1 to 5</v>
      </c>
    </row>
    <row r="474" spans="1:16"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c r="P474" t="str" cm="1">
        <f t="array" ref="P474">_xlfn.IFS(orders[[#This Row],[Quantity]]&lt;=5,"1 to 5",orders[[#This Row],[Quantity]]&lt;=10,"6 to 10",orders[[#This Row],[Quantity]]&lt;=16,"11 to 16",orders[[#This Row],[Quantity]]&gt;16,"Above 16")</f>
        <v>1 to 5</v>
      </c>
    </row>
    <row r="475" spans="1:16"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c r="P475" t="str" cm="1">
        <f t="array" ref="P475">_xlfn.IFS(orders[[#This Row],[Quantity]]&lt;=5,"1 to 5",orders[[#This Row],[Quantity]]&lt;=10,"6 to 10",orders[[#This Row],[Quantity]]&lt;=16,"11 to 16",orders[[#This Row],[Quantity]]&gt;16,"Above 16")</f>
        <v>1 to 5</v>
      </c>
    </row>
    <row r="476" spans="1:16"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c r="P476" t="str" cm="1">
        <f t="array" ref="P476">_xlfn.IFS(orders[[#This Row],[Quantity]]&lt;=5,"1 to 5",orders[[#This Row],[Quantity]]&lt;=10,"6 to 10",orders[[#This Row],[Quantity]]&lt;=16,"11 to 16",orders[[#This Row],[Quantity]]&gt;16,"Above 16")</f>
        <v>1 to 5</v>
      </c>
    </row>
    <row r="477" spans="1:16"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c r="P477" t="str" cm="1">
        <f t="array" ref="P477">_xlfn.IFS(orders[[#This Row],[Quantity]]&lt;=5,"1 to 5",orders[[#This Row],[Quantity]]&lt;=10,"6 to 10",orders[[#This Row],[Quantity]]&lt;=16,"11 to 16",orders[[#This Row],[Quantity]]&gt;16,"Above 16")</f>
        <v>6 to 10</v>
      </c>
    </row>
    <row r="478" spans="1:16"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c r="P478" t="str" cm="1">
        <f t="array" ref="P478">_xlfn.IFS(orders[[#This Row],[Quantity]]&lt;=5,"1 to 5",orders[[#This Row],[Quantity]]&lt;=10,"6 to 10",orders[[#This Row],[Quantity]]&lt;=16,"11 to 16",orders[[#This Row],[Quantity]]&gt;16,"Above 16")</f>
        <v>6 to 10</v>
      </c>
    </row>
    <row r="479" spans="1:16"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c r="P479" t="str" cm="1">
        <f t="array" ref="P479">_xlfn.IFS(orders[[#This Row],[Quantity]]&lt;=5,"1 to 5",orders[[#This Row],[Quantity]]&lt;=10,"6 to 10",orders[[#This Row],[Quantity]]&lt;=16,"11 to 16",orders[[#This Row],[Quantity]]&gt;16,"Above 16")</f>
        <v>1 to 5</v>
      </c>
    </row>
    <row r="480" spans="1:16"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c r="P480" t="str" cm="1">
        <f t="array" ref="P480">_xlfn.IFS(orders[[#This Row],[Quantity]]&lt;=5,"1 to 5",orders[[#This Row],[Quantity]]&lt;=10,"6 to 10",orders[[#This Row],[Quantity]]&lt;=16,"11 to 16",orders[[#This Row],[Quantity]]&gt;16,"Above 16")</f>
        <v>1 to 5</v>
      </c>
    </row>
    <row r="481" spans="1:16"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c r="P481" t="str" cm="1">
        <f t="array" ref="P481">_xlfn.IFS(orders[[#This Row],[Quantity]]&lt;=5,"1 to 5",orders[[#This Row],[Quantity]]&lt;=10,"6 to 10",orders[[#This Row],[Quantity]]&lt;=16,"11 to 16",orders[[#This Row],[Quantity]]&gt;16,"Above 16")</f>
        <v>6 to 10</v>
      </c>
    </row>
    <row r="482" spans="1:16"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c r="P482" t="str" cm="1">
        <f t="array" ref="P482">_xlfn.IFS(orders[[#This Row],[Quantity]]&lt;=5,"1 to 5",orders[[#This Row],[Quantity]]&lt;=10,"6 to 10",orders[[#This Row],[Quantity]]&lt;=16,"11 to 16",orders[[#This Row],[Quantity]]&gt;16,"Above 16")</f>
        <v>1 to 5</v>
      </c>
    </row>
    <row r="483" spans="1:16"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c r="P483" t="str" cm="1">
        <f t="array" ref="P483">_xlfn.IFS(orders[[#This Row],[Quantity]]&lt;=5,"1 to 5",orders[[#This Row],[Quantity]]&lt;=10,"6 to 10",orders[[#This Row],[Quantity]]&lt;=16,"11 to 16",orders[[#This Row],[Quantity]]&gt;16,"Above 16")</f>
        <v>6 to 10</v>
      </c>
    </row>
    <row r="484" spans="1:16"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c r="P484" t="str" cm="1">
        <f t="array" ref="P484">_xlfn.IFS(orders[[#This Row],[Quantity]]&lt;=5,"1 to 5",orders[[#This Row],[Quantity]]&lt;=10,"6 to 10",orders[[#This Row],[Quantity]]&lt;=16,"11 to 16",orders[[#This Row],[Quantity]]&gt;16,"Above 16")</f>
        <v>1 to 5</v>
      </c>
    </row>
    <row r="485" spans="1:16"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c r="P485" t="str" cm="1">
        <f t="array" ref="P485">_xlfn.IFS(orders[[#This Row],[Quantity]]&lt;=5,"1 to 5",orders[[#This Row],[Quantity]]&lt;=10,"6 to 10",orders[[#This Row],[Quantity]]&lt;=16,"11 to 16",orders[[#This Row],[Quantity]]&gt;16,"Above 16")</f>
        <v>Above 16</v>
      </c>
    </row>
    <row r="486" spans="1:16"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c r="P486" t="str" cm="1">
        <f t="array" ref="P486">_xlfn.IFS(orders[[#This Row],[Quantity]]&lt;=5,"1 to 5",orders[[#This Row],[Quantity]]&lt;=10,"6 to 10",orders[[#This Row],[Quantity]]&lt;=16,"11 to 16",orders[[#This Row],[Quantity]]&gt;16,"Above 16")</f>
        <v>11 to 16</v>
      </c>
    </row>
    <row r="487" spans="1:16"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c r="P487" t="str" cm="1">
        <f t="array" ref="P487">_xlfn.IFS(orders[[#This Row],[Quantity]]&lt;=5,"1 to 5",orders[[#This Row],[Quantity]]&lt;=10,"6 to 10",orders[[#This Row],[Quantity]]&lt;=16,"11 to 16",orders[[#This Row],[Quantity]]&gt;16,"Above 16")</f>
        <v>1 to 5</v>
      </c>
    </row>
    <row r="488" spans="1:16"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c r="P488" t="str" cm="1">
        <f t="array" ref="P488">_xlfn.IFS(orders[[#This Row],[Quantity]]&lt;=5,"1 to 5",orders[[#This Row],[Quantity]]&lt;=10,"6 to 10",orders[[#This Row],[Quantity]]&lt;=16,"11 to 16",orders[[#This Row],[Quantity]]&gt;16,"Above 16")</f>
        <v>11 to 16</v>
      </c>
    </row>
    <row r="489" spans="1:16"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c r="P489" t="str" cm="1">
        <f t="array" ref="P489">_xlfn.IFS(orders[[#This Row],[Quantity]]&lt;=5,"1 to 5",orders[[#This Row],[Quantity]]&lt;=10,"6 to 10",orders[[#This Row],[Quantity]]&lt;=16,"11 to 16",orders[[#This Row],[Quantity]]&gt;16,"Above 16")</f>
        <v>1 to 5</v>
      </c>
    </row>
    <row r="490" spans="1:16"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c r="P490" t="str" cm="1">
        <f t="array" ref="P490">_xlfn.IFS(orders[[#This Row],[Quantity]]&lt;=5,"1 to 5",orders[[#This Row],[Quantity]]&lt;=10,"6 to 10",orders[[#This Row],[Quantity]]&lt;=16,"11 to 16",orders[[#This Row],[Quantity]]&gt;16,"Above 16")</f>
        <v>1 to 5</v>
      </c>
    </row>
    <row r="491" spans="1:16"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c r="P491" t="str" cm="1">
        <f t="array" ref="P491">_xlfn.IFS(orders[[#This Row],[Quantity]]&lt;=5,"1 to 5",orders[[#This Row],[Quantity]]&lt;=10,"6 to 10",orders[[#This Row],[Quantity]]&lt;=16,"11 to 16",orders[[#This Row],[Quantity]]&gt;16,"Above 16")</f>
        <v>1 to 5</v>
      </c>
    </row>
    <row r="492" spans="1:16"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c r="P492" t="str" cm="1">
        <f t="array" ref="P492">_xlfn.IFS(orders[[#This Row],[Quantity]]&lt;=5,"1 to 5",orders[[#This Row],[Quantity]]&lt;=10,"6 to 10",orders[[#This Row],[Quantity]]&lt;=16,"11 to 16",orders[[#This Row],[Quantity]]&gt;16,"Above 16")</f>
        <v>1 to 5</v>
      </c>
    </row>
    <row r="493" spans="1:16"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c r="P493" t="str" cm="1">
        <f t="array" ref="P493">_xlfn.IFS(orders[[#This Row],[Quantity]]&lt;=5,"1 to 5",orders[[#This Row],[Quantity]]&lt;=10,"6 to 10",orders[[#This Row],[Quantity]]&lt;=16,"11 to 16",orders[[#This Row],[Quantity]]&gt;16,"Above 16")</f>
        <v>1 to 5</v>
      </c>
    </row>
    <row r="494" spans="1:16"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c r="P494" t="str" cm="1">
        <f t="array" ref="P494">_xlfn.IFS(orders[[#This Row],[Quantity]]&lt;=5,"1 to 5",orders[[#This Row],[Quantity]]&lt;=10,"6 to 10",orders[[#This Row],[Quantity]]&lt;=16,"11 to 16",orders[[#This Row],[Quantity]]&gt;16,"Above 16")</f>
        <v>1 to 5</v>
      </c>
    </row>
    <row r="495" spans="1:16"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c r="P495" t="str" cm="1">
        <f t="array" ref="P495">_xlfn.IFS(orders[[#This Row],[Quantity]]&lt;=5,"1 to 5",orders[[#This Row],[Quantity]]&lt;=10,"6 to 10",orders[[#This Row],[Quantity]]&lt;=16,"11 to 16",orders[[#This Row],[Quantity]]&gt;16,"Above 16")</f>
        <v>6 to 10</v>
      </c>
    </row>
    <row r="496" spans="1:16"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c r="P496" t="str" cm="1">
        <f t="array" ref="P496">_xlfn.IFS(orders[[#This Row],[Quantity]]&lt;=5,"1 to 5",orders[[#This Row],[Quantity]]&lt;=10,"6 to 10",orders[[#This Row],[Quantity]]&lt;=16,"11 to 16",orders[[#This Row],[Quantity]]&gt;16,"Above 16")</f>
        <v>1 to 5</v>
      </c>
    </row>
    <row r="497" spans="1:16"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c r="P497" t="str" cm="1">
        <f t="array" ref="P497">_xlfn.IFS(orders[[#This Row],[Quantity]]&lt;=5,"1 to 5",orders[[#This Row],[Quantity]]&lt;=10,"6 to 10",orders[[#This Row],[Quantity]]&lt;=16,"11 to 16",orders[[#This Row],[Quantity]]&gt;16,"Above 16")</f>
        <v>1 to 5</v>
      </c>
    </row>
    <row r="498" spans="1:16"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c r="P498" t="str" cm="1">
        <f t="array" ref="P498">_xlfn.IFS(orders[[#This Row],[Quantity]]&lt;=5,"1 to 5",orders[[#This Row],[Quantity]]&lt;=10,"6 to 10",orders[[#This Row],[Quantity]]&lt;=16,"11 to 16",orders[[#This Row],[Quantity]]&gt;16,"Above 16")</f>
        <v>11 to 16</v>
      </c>
    </row>
    <row r="499" spans="1:16"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c r="P499" t="str" cm="1">
        <f t="array" ref="P499">_xlfn.IFS(orders[[#This Row],[Quantity]]&lt;=5,"1 to 5",orders[[#This Row],[Quantity]]&lt;=10,"6 to 10",orders[[#This Row],[Quantity]]&lt;=16,"11 to 16",orders[[#This Row],[Quantity]]&gt;16,"Above 16")</f>
        <v>1 to 5</v>
      </c>
    </row>
    <row r="500" spans="1:16"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c r="P500" t="str" cm="1">
        <f t="array" ref="P500">_xlfn.IFS(orders[[#This Row],[Quantity]]&lt;=5,"1 to 5",orders[[#This Row],[Quantity]]&lt;=10,"6 to 10",orders[[#This Row],[Quantity]]&lt;=16,"11 to 16",orders[[#This Row],[Quantity]]&gt;16,"Above 16")</f>
        <v>1 to 5</v>
      </c>
    </row>
    <row r="501" spans="1:16"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c r="P501" t="str" cm="1">
        <f t="array" ref="P501">_xlfn.IFS(orders[[#This Row],[Quantity]]&lt;=5,"1 to 5",orders[[#This Row],[Quantity]]&lt;=10,"6 to 10",orders[[#This Row],[Quantity]]&lt;=16,"11 to 16",orders[[#This Row],[Quantity]]&gt;16,"Above 16")</f>
        <v>6 to 10</v>
      </c>
    </row>
    <row r="502" spans="1:16"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c r="P502" t="str" cm="1">
        <f t="array" ref="P502">_xlfn.IFS(orders[[#This Row],[Quantity]]&lt;=5,"1 to 5",orders[[#This Row],[Quantity]]&lt;=10,"6 to 10",orders[[#This Row],[Quantity]]&lt;=16,"11 to 16",orders[[#This Row],[Quantity]]&gt;16,"Above 16")</f>
        <v>1 to 5</v>
      </c>
    </row>
    <row r="503" spans="1:16"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c r="P503" t="str" cm="1">
        <f t="array" ref="P503">_xlfn.IFS(orders[[#This Row],[Quantity]]&lt;=5,"1 to 5",orders[[#This Row],[Quantity]]&lt;=10,"6 to 10",orders[[#This Row],[Quantity]]&lt;=16,"11 to 16",orders[[#This Row],[Quantity]]&gt;16,"Above 16")</f>
        <v>1 to 5</v>
      </c>
    </row>
    <row r="504" spans="1:16"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c r="P504" t="str" cm="1">
        <f t="array" ref="P504">_xlfn.IFS(orders[[#This Row],[Quantity]]&lt;=5,"1 to 5",orders[[#This Row],[Quantity]]&lt;=10,"6 to 10",orders[[#This Row],[Quantity]]&lt;=16,"11 to 16",orders[[#This Row],[Quantity]]&gt;16,"Above 16")</f>
        <v>1 to 5</v>
      </c>
    </row>
    <row r="505" spans="1:16"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c r="P505" t="str" cm="1">
        <f t="array" ref="P505">_xlfn.IFS(orders[[#This Row],[Quantity]]&lt;=5,"1 to 5",orders[[#This Row],[Quantity]]&lt;=10,"6 to 10",orders[[#This Row],[Quantity]]&lt;=16,"11 to 16",orders[[#This Row],[Quantity]]&gt;16,"Above 16")</f>
        <v>1 to 5</v>
      </c>
    </row>
    <row r="506" spans="1:16"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c r="P506" t="str" cm="1">
        <f t="array" ref="P506">_xlfn.IFS(orders[[#This Row],[Quantity]]&lt;=5,"1 to 5",orders[[#This Row],[Quantity]]&lt;=10,"6 to 10",orders[[#This Row],[Quantity]]&lt;=16,"11 to 16",orders[[#This Row],[Quantity]]&gt;16,"Above 16")</f>
        <v>1 to 5</v>
      </c>
    </row>
    <row r="507" spans="1:16"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c r="P507" t="str" cm="1">
        <f t="array" ref="P507">_xlfn.IFS(orders[[#This Row],[Quantity]]&lt;=5,"1 to 5",orders[[#This Row],[Quantity]]&lt;=10,"6 to 10",orders[[#This Row],[Quantity]]&lt;=16,"11 to 16",orders[[#This Row],[Quantity]]&gt;16,"Above 16")</f>
        <v>6 to 10</v>
      </c>
    </row>
    <row r="508" spans="1:16"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c r="P508" t="str" cm="1">
        <f t="array" ref="P508">_xlfn.IFS(orders[[#This Row],[Quantity]]&lt;=5,"1 to 5",orders[[#This Row],[Quantity]]&lt;=10,"6 to 10",orders[[#This Row],[Quantity]]&lt;=16,"11 to 16",orders[[#This Row],[Quantity]]&gt;16,"Above 16")</f>
        <v>1 to 5</v>
      </c>
    </row>
    <row r="509" spans="1:16"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c r="P509" t="str" cm="1">
        <f t="array" ref="P509">_xlfn.IFS(orders[[#This Row],[Quantity]]&lt;=5,"1 to 5",orders[[#This Row],[Quantity]]&lt;=10,"6 to 10",orders[[#This Row],[Quantity]]&lt;=16,"11 to 16",orders[[#This Row],[Quantity]]&gt;16,"Above 16")</f>
        <v>1 to 5</v>
      </c>
    </row>
    <row r="510" spans="1:16"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c r="P510" t="str" cm="1">
        <f t="array" ref="P510">_xlfn.IFS(orders[[#This Row],[Quantity]]&lt;=5,"1 to 5",orders[[#This Row],[Quantity]]&lt;=10,"6 to 10",orders[[#This Row],[Quantity]]&lt;=16,"11 to 16",orders[[#This Row],[Quantity]]&gt;16,"Above 16")</f>
        <v>1 to 5</v>
      </c>
    </row>
    <row r="511" spans="1:16"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c r="P511" t="str" cm="1">
        <f t="array" ref="P511">_xlfn.IFS(orders[[#This Row],[Quantity]]&lt;=5,"1 to 5",orders[[#This Row],[Quantity]]&lt;=10,"6 to 10",orders[[#This Row],[Quantity]]&lt;=16,"11 to 16",orders[[#This Row],[Quantity]]&gt;16,"Above 16")</f>
        <v>1 to 5</v>
      </c>
    </row>
    <row r="512" spans="1:16"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c r="P512" t="str" cm="1">
        <f t="array" ref="P512">_xlfn.IFS(orders[[#This Row],[Quantity]]&lt;=5,"1 to 5",orders[[#This Row],[Quantity]]&lt;=10,"6 to 10",orders[[#This Row],[Quantity]]&lt;=16,"11 to 16",orders[[#This Row],[Quantity]]&gt;16,"Above 16")</f>
        <v>1 to 5</v>
      </c>
    </row>
    <row r="513" spans="1:16"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c r="P513" t="str" cm="1">
        <f t="array" ref="P513">_xlfn.IFS(orders[[#This Row],[Quantity]]&lt;=5,"1 to 5",orders[[#This Row],[Quantity]]&lt;=10,"6 to 10",orders[[#This Row],[Quantity]]&lt;=16,"11 to 16",orders[[#This Row],[Quantity]]&gt;16,"Above 16")</f>
        <v>1 to 5</v>
      </c>
    </row>
    <row r="514" spans="1:16"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c r="P514" t="str" cm="1">
        <f t="array" ref="P514">_xlfn.IFS(orders[[#This Row],[Quantity]]&lt;=5,"1 to 5",orders[[#This Row],[Quantity]]&lt;=10,"6 to 10",orders[[#This Row],[Quantity]]&lt;=16,"11 to 16",orders[[#This Row],[Quantity]]&gt;16,"Above 16")</f>
        <v>11 to 16</v>
      </c>
    </row>
    <row r="515" spans="1:16"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c r="P515" t="str" cm="1">
        <f t="array" ref="P515">_xlfn.IFS(orders[[#This Row],[Quantity]]&lt;=5,"1 to 5",orders[[#This Row],[Quantity]]&lt;=10,"6 to 10",orders[[#This Row],[Quantity]]&lt;=16,"11 to 16",orders[[#This Row],[Quantity]]&gt;16,"Above 16")</f>
        <v>1 to 5</v>
      </c>
    </row>
    <row r="516" spans="1:16"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c r="P516" t="str" cm="1">
        <f t="array" ref="P516">_xlfn.IFS(orders[[#This Row],[Quantity]]&lt;=5,"1 to 5",orders[[#This Row],[Quantity]]&lt;=10,"6 to 10",orders[[#This Row],[Quantity]]&lt;=16,"11 to 16",orders[[#This Row],[Quantity]]&gt;16,"Above 16")</f>
        <v>1 to 5</v>
      </c>
    </row>
    <row r="517" spans="1:16"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c r="P517" t="str" cm="1">
        <f t="array" ref="P517">_xlfn.IFS(orders[[#This Row],[Quantity]]&lt;=5,"1 to 5",orders[[#This Row],[Quantity]]&lt;=10,"6 to 10",orders[[#This Row],[Quantity]]&lt;=16,"11 to 16",orders[[#This Row],[Quantity]]&gt;16,"Above 16")</f>
        <v>Above 16</v>
      </c>
    </row>
    <row r="518" spans="1:16"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c r="P518" t="str" cm="1">
        <f t="array" ref="P518">_xlfn.IFS(orders[[#This Row],[Quantity]]&lt;=5,"1 to 5",orders[[#This Row],[Quantity]]&lt;=10,"6 to 10",orders[[#This Row],[Quantity]]&lt;=16,"11 to 16",orders[[#This Row],[Quantity]]&gt;16,"Above 16")</f>
        <v>1 to 5</v>
      </c>
    </row>
    <row r="519" spans="1:16"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c r="P519" t="str" cm="1">
        <f t="array" ref="P519">_xlfn.IFS(orders[[#This Row],[Quantity]]&lt;=5,"1 to 5",orders[[#This Row],[Quantity]]&lt;=10,"6 to 10",orders[[#This Row],[Quantity]]&lt;=16,"11 to 16",orders[[#This Row],[Quantity]]&gt;16,"Above 16")</f>
        <v>1 to 5</v>
      </c>
    </row>
    <row r="520" spans="1:16"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c r="P520" t="str" cm="1">
        <f t="array" ref="P520">_xlfn.IFS(orders[[#This Row],[Quantity]]&lt;=5,"1 to 5",orders[[#This Row],[Quantity]]&lt;=10,"6 to 10",orders[[#This Row],[Quantity]]&lt;=16,"11 to 16",orders[[#This Row],[Quantity]]&gt;16,"Above 16")</f>
        <v>11 to 16</v>
      </c>
    </row>
    <row r="521" spans="1:16"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c r="P521" t="str" cm="1">
        <f t="array" ref="P521">_xlfn.IFS(orders[[#This Row],[Quantity]]&lt;=5,"1 to 5",orders[[#This Row],[Quantity]]&lt;=10,"6 to 10",orders[[#This Row],[Quantity]]&lt;=16,"11 to 16",orders[[#This Row],[Quantity]]&gt;16,"Above 16")</f>
        <v>1 to 5</v>
      </c>
    </row>
    <row r="522" spans="1:16"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c r="P522" t="str" cm="1">
        <f t="array" ref="P522">_xlfn.IFS(orders[[#This Row],[Quantity]]&lt;=5,"1 to 5",orders[[#This Row],[Quantity]]&lt;=10,"6 to 10",orders[[#This Row],[Quantity]]&lt;=16,"11 to 16",orders[[#This Row],[Quantity]]&gt;16,"Above 16")</f>
        <v>1 to 5</v>
      </c>
    </row>
    <row r="523" spans="1:16"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c r="P523" t="str" cm="1">
        <f t="array" ref="P523">_xlfn.IFS(orders[[#This Row],[Quantity]]&lt;=5,"1 to 5",orders[[#This Row],[Quantity]]&lt;=10,"6 to 10",orders[[#This Row],[Quantity]]&lt;=16,"11 to 16",orders[[#This Row],[Quantity]]&gt;16,"Above 16")</f>
        <v>1 to 5</v>
      </c>
    </row>
    <row r="524" spans="1:16"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c r="P524" t="str" cm="1">
        <f t="array" ref="P524">_xlfn.IFS(orders[[#This Row],[Quantity]]&lt;=5,"1 to 5",orders[[#This Row],[Quantity]]&lt;=10,"6 to 10",orders[[#This Row],[Quantity]]&lt;=16,"11 to 16",orders[[#This Row],[Quantity]]&gt;16,"Above 16")</f>
        <v>1 to 5</v>
      </c>
    </row>
    <row r="525" spans="1:16"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c r="P525" t="str" cm="1">
        <f t="array" ref="P525">_xlfn.IFS(orders[[#This Row],[Quantity]]&lt;=5,"1 to 5",orders[[#This Row],[Quantity]]&lt;=10,"6 to 10",orders[[#This Row],[Quantity]]&lt;=16,"11 to 16",orders[[#This Row],[Quantity]]&gt;16,"Above 16")</f>
        <v>1 to 5</v>
      </c>
    </row>
    <row r="526" spans="1:16"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c r="P526" t="str" cm="1">
        <f t="array" ref="P526">_xlfn.IFS(orders[[#This Row],[Quantity]]&lt;=5,"1 to 5",orders[[#This Row],[Quantity]]&lt;=10,"6 to 10",orders[[#This Row],[Quantity]]&lt;=16,"11 to 16",orders[[#This Row],[Quantity]]&gt;16,"Above 16")</f>
        <v>6 to 10</v>
      </c>
    </row>
    <row r="527" spans="1:16"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c r="P527" t="str" cm="1">
        <f t="array" ref="P527">_xlfn.IFS(orders[[#This Row],[Quantity]]&lt;=5,"1 to 5",orders[[#This Row],[Quantity]]&lt;=10,"6 to 10",orders[[#This Row],[Quantity]]&lt;=16,"11 to 16",orders[[#This Row],[Quantity]]&gt;16,"Above 16")</f>
        <v>1 to 5</v>
      </c>
    </row>
    <row r="528" spans="1:16"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c r="P528" t="str" cm="1">
        <f t="array" ref="P528">_xlfn.IFS(orders[[#This Row],[Quantity]]&lt;=5,"1 to 5",orders[[#This Row],[Quantity]]&lt;=10,"6 to 10",orders[[#This Row],[Quantity]]&lt;=16,"11 to 16",orders[[#This Row],[Quantity]]&gt;16,"Above 16")</f>
        <v>Above 16</v>
      </c>
    </row>
    <row r="529" spans="1:16"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c r="P529" t="str" cm="1">
        <f t="array" ref="P529">_xlfn.IFS(orders[[#This Row],[Quantity]]&lt;=5,"1 to 5",orders[[#This Row],[Quantity]]&lt;=10,"6 to 10",orders[[#This Row],[Quantity]]&lt;=16,"11 to 16",orders[[#This Row],[Quantity]]&gt;16,"Above 16")</f>
        <v>1 to 5</v>
      </c>
    </row>
    <row r="530" spans="1:16"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c r="P530" t="str" cm="1">
        <f t="array" ref="P530">_xlfn.IFS(orders[[#This Row],[Quantity]]&lt;=5,"1 to 5",orders[[#This Row],[Quantity]]&lt;=10,"6 to 10",orders[[#This Row],[Quantity]]&lt;=16,"11 to 16",orders[[#This Row],[Quantity]]&gt;16,"Above 16")</f>
        <v>Above 16</v>
      </c>
    </row>
    <row r="531" spans="1:16"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c r="P531" t="str" cm="1">
        <f t="array" ref="P531">_xlfn.IFS(orders[[#This Row],[Quantity]]&lt;=5,"1 to 5",orders[[#This Row],[Quantity]]&lt;=10,"6 to 10",orders[[#This Row],[Quantity]]&lt;=16,"11 to 16",orders[[#This Row],[Quantity]]&gt;16,"Above 16")</f>
        <v>1 to 5</v>
      </c>
    </row>
    <row r="532" spans="1:16"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c r="P532" t="str" cm="1">
        <f t="array" ref="P532">_xlfn.IFS(orders[[#This Row],[Quantity]]&lt;=5,"1 to 5",orders[[#This Row],[Quantity]]&lt;=10,"6 to 10",orders[[#This Row],[Quantity]]&lt;=16,"11 to 16",orders[[#This Row],[Quantity]]&gt;16,"Above 16")</f>
        <v>1 to 5</v>
      </c>
    </row>
    <row r="533" spans="1:16"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c r="P533" t="str" cm="1">
        <f t="array" ref="P533">_xlfn.IFS(orders[[#This Row],[Quantity]]&lt;=5,"1 to 5",orders[[#This Row],[Quantity]]&lt;=10,"6 to 10",orders[[#This Row],[Quantity]]&lt;=16,"11 to 16",orders[[#This Row],[Quantity]]&gt;16,"Above 16")</f>
        <v>1 to 5</v>
      </c>
    </row>
    <row r="534" spans="1:16"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c r="P534" t="str" cm="1">
        <f t="array" ref="P534">_xlfn.IFS(orders[[#This Row],[Quantity]]&lt;=5,"1 to 5",orders[[#This Row],[Quantity]]&lt;=10,"6 to 10",orders[[#This Row],[Quantity]]&lt;=16,"11 to 16",orders[[#This Row],[Quantity]]&gt;16,"Above 16")</f>
        <v>1 to 5</v>
      </c>
    </row>
    <row r="535" spans="1:16"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c r="P535" t="str" cm="1">
        <f t="array" ref="P535">_xlfn.IFS(orders[[#This Row],[Quantity]]&lt;=5,"1 to 5",orders[[#This Row],[Quantity]]&lt;=10,"6 to 10",orders[[#This Row],[Quantity]]&lt;=16,"11 to 16",orders[[#This Row],[Quantity]]&gt;16,"Above 16")</f>
        <v>1 to 5</v>
      </c>
    </row>
    <row r="536" spans="1:16"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c r="P536" t="str" cm="1">
        <f t="array" ref="P536">_xlfn.IFS(orders[[#This Row],[Quantity]]&lt;=5,"1 to 5",orders[[#This Row],[Quantity]]&lt;=10,"6 to 10",orders[[#This Row],[Quantity]]&lt;=16,"11 to 16",orders[[#This Row],[Quantity]]&gt;16,"Above 16")</f>
        <v>1 to 5</v>
      </c>
    </row>
    <row r="537" spans="1:16"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c r="P537" t="str" cm="1">
        <f t="array" ref="P537">_xlfn.IFS(orders[[#This Row],[Quantity]]&lt;=5,"1 to 5",orders[[#This Row],[Quantity]]&lt;=10,"6 to 10",orders[[#This Row],[Quantity]]&lt;=16,"11 to 16",orders[[#This Row],[Quantity]]&gt;16,"Above 16")</f>
        <v>1 to 5</v>
      </c>
    </row>
    <row r="538" spans="1:16"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c r="P538" t="str" cm="1">
        <f t="array" ref="P538">_xlfn.IFS(orders[[#This Row],[Quantity]]&lt;=5,"1 to 5",orders[[#This Row],[Quantity]]&lt;=10,"6 to 10",orders[[#This Row],[Quantity]]&lt;=16,"11 to 16",orders[[#This Row],[Quantity]]&gt;16,"Above 16")</f>
        <v>11 to 16</v>
      </c>
    </row>
    <row r="539" spans="1:16"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c r="P539" t="str" cm="1">
        <f t="array" ref="P539">_xlfn.IFS(orders[[#This Row],[Quantity]]&lt;=5,"1 to 5",orders[[#This Row],[Quantity]]&lt;=10,"6 to 10",orders[[#This Row],[Quantity]]&lt;=16,"11 to 16",orders[[#This Row],[Quantity]]&gt;16,"Above 16")</f>
        <v>1 to 5</v>
      </c>
    </row>
    <row r="540" spans="1:16"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c r="P540" t="str" cm="1">
        <f t="array" ref="P540">_xlfn.IFS(orders[[#This Row],[Quantity]]&lt;=5,"1 to 5",orders[[#This Row],[Quantity]]&lt;=10,"6 to 10",orders[[#This Row],[Quantity]]&lt;=16,"11 to 16",orders[[#This Row],[Quantity]]&gt;16,"Above 16")</f>
        <v>1 to 5</v>
      </c>
    </row>
    <row r="541" spans="1:16"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c r="P541" t="str" cm="1">
        <f t="array" ref="P541">_xlfn.IFS(orders[[#This Row],[Quantity]]&lt;=5,"1 to 5",orders[[#This Row],[Quantity]]&lt;=10,"6 to 10",orders[[#This Row],[Quantity]]&lt;=16,"11 to 16",orders[[#This Row],[Quantity]]&gt;16,"Above 16")</f>
        <v>1 to 5</v>
      </c>
    </row>
    <row r="542" spans="1:16"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c r="P542" t="str" cm="1">
        <f t="array" ref="P542">_xlfn.IFS(orders[[#This Row],[Quantity]]&lt;=5,"1 to 5",orders[[#This Row],[Quantity]]&lt;=10,"6 to 10",orders[[#This Row],[Quantity]]&lt;=16,"11 to 16",orders[[#This Row],[Quantity]]&gt;16,"Above 16")</f>
        <v>11 to 16</v>
      </c>
    </row>
    <row r="543" spans="1:16"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c r="P543" t="str" cm="1">
        <f t="array" ref="P543">_xlfn.IFS(orders[[#This Row],[Quantity]]&lt;=5,"1 to 5",orders[[#This Row],[Quantity]]&lt;=10,"6 to 10",orders[[#This Row],[Quantity]]&lt;=16,"11 to 16",orders[[#This Row],[Quantity]]&gt;16,"Above 16")</f>
        <v>1 to 5</v>
      </c>
    </row>
    <row r="544" spans="1:16"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c r="P544" t="str" cm="1">
        <f t="array" ref="P544">_xlfn.IFS(orders[[#This Row],[Quantity]]&lt;=5,"1 to 5",orders[[#This Row],[Quantity]]&lt;=10,"6 to 10",orders[[#This Row],[Quantity]]&lt;=16,"11 to 16",orders[[#This Row],[Quantity]]&gt;16,"Above 16")</f>
        <v>1 to 5</v>
      </c>
    </row>
    <row r="545" spans="1:16"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c r="P545" t="str" cm="1">
        <f t="array" ref="P545">_xlfn.IFS(orders[[#This Row],[Quantity]]&lt;=5,"1 to 5",orders[[#This Row],[Quantity]]&lt;=10,"6 to 10",orders[[#This Row],[Quantity]]&lt;=16,"11 to 16",orders[[#This Row],[Quantity]]&gt;16,"Above 16")</f>
        <v>1 to 5</v>
      </c>
    </row>
    <row r="546" spans="1:16"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c r="P546" t="str" cm="1">
        <f t="array" ref="P546">_xlfn.IFS(orders[[#This Row],[Quantity]]&lt;=5,"1 to 5",orders[[#This Row],[Quantity]]&lt;=10,"6 to 10",orders[[#This Row],[Quantity]]&lt;=16,"11 to 16",orders[[#This Row],[Quantity]]&gt;16,"Above 16")</f>
        <v>6 to 10</v>
      </c>
    </row>
    <row r="547" spans="1:16"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c r="P547" t="str" cm="1">
        <f t="array" ref="P547">_xlfn.IFS(orders[[#This Row],[Quantity]]&lt;=5,"1 to 5",orders[[#This Row],[Quantity]]&lt;=10,"6 to 10",orders[[#This Row],[Quantity]]&lt;=16,"11 to 16",orders[[#This Row],[Quantity]]&gt;16,"Above 16")</f>
        <v>Above 16</v>
      </c>
    </row>
    <row r="548" spans="1:16"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c r="P548" t="str" cm="1">
        <f t="array" ref="P548">_xlfn.IFS(orders[[#This Row],[Quantity]]&lt;=5,"1 to 5",orders[[#This Row],[Quantity]]&lt;=10,"6 to 10",orders[[#This Row],[Quantity]]&lt;=16,"11 to 16",orders[[#This Row],[Quantity]]&gt;16,"Above 16")</f>
        <v>1 to 5</v>
      </c>
    </row>
    <row r="549" spans="1:16"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c r="P549" t="str" cm="1">
        <f t="array" ref="P549">_xlfn.IFS(orders[[#This Row],[Quantity]]&lt;=5,"1 to 5",orders[[#This Row],[Quantity]]&lt;=10,"6 to 10",orders[[#This Row],[Quantity]]&lt;=16,"11 to 16",orders[[#This Row],[Quantity]]&gt;16,"Above 16")</f>
        <v>1 to 5</v>
      </c>
    </row>
    <row r="550" spans="1:16"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c r="P550" t="str" cm="1">
        <f t="array" ref="P550">_xlfn.IFS(orders[[#This Row],[Quantity]]&lt;=5,"1 to 5",orders[[#This Row],[Quantity]]&lt;=10,"6 to 10",orders[[#This Row],[Quantity]]&lt;=16,"11 to 16",orders[[#This Row],[Quantity]]&gt;16,"Above 16")</f>
        <v>1 to 5</v>
      </c>
    </row>
    <row r="551" spans="1:16"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c r="P551" t="str" cm="1">
        <f t="array" ref="P551">_xlfn.IFS(orders[[#This Row],[Quantity]]&lt;=5,"1 to 5",orders[[#This Row],[Quantity]]&lt;=10,"6 to 10",orders[[#This Row],[Quantity]]&lt;=16,"11 to 16",orders[[#This Row],[Quantity]]&gt;16,"Above 16")</f>
        <v>1 to 5</v>
      </c>
    </row>
    <row r="552" spans="1:16"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c r="P552" t="str" cm="1">
        <f t="array" ref="P552">_xlfn.IFS(orders[[#This Row],[Quantity]]&lt;=5,"1 to 5",orders[[#This Row],[Quantity]]&lt;=10,"6 to 10",orders[[#This Row],[Quantity]]&lt;=16,"11 to 16",orders[[#This Row],[Quantity]]&gt;16,"Above 16")</f>
        <v>1 to 5</v>
      </c>
    </row>
    <row r="553" spans="1:16"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c r="P553" t="str" cm="1">
        <f t="array" ref="P553">_xlfn.IFS(orders[[#This Row],[Quantity]]&lt;=5,"1 to 5",orders[[#This Row],[Quantity]]&lt;=10,"6 to 10",orders[[#This Row],[Quantity]]&lt;=16,"11 to 16",orders[[#This Row],[Quantity]]&gt;16,"Above 16")</f>
        <v>1 to 5</v>
      </c>
    </row>
    <row r="554" spans="1:16"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c r="P554" t="str" cm="1">
        <f t="array" ref="P554">_xlfn.IFS(orders[[#This Row],[Quantity]]&lt;=5,"1 to 5",orders[[#This Row],[Quantity]]&lt;=10,"6 to 10",orders[[#This Row],[Quantity]]&lt;=16,"11 to 16",orders[[#This Row],[Quantity]]&gt;16,"Above 16")</f>
        <v>6 to 10</v>
      </c>
    </row>
    <row r="555" spans="1:16"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c r="P555" t="str" cm="1">
        <f t="array" ref="P555">_xlfn.IFS(orders[[#This Row],[Quantity]]&lt;=5,"1 to 5",orders[[#This Row],[Quantity]]&lt;=10,"6 to 10",orders[[#This Row],[Quantity]]&lt;=16,"11 to 16",orders[[#This Row],[Quantity]]&gt;16,"Above 16")</f>
        <v>1 to 5</v>
      </c>
    </row>
    <row r="556" spans="1:16"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c r="P556" t="str" cm="1">
        <f t="array" ref="P556">_xlfn.IFS(orders[[#This Row],[Quantity]]&lt;=5,"1 to 5",orders[[#This Row],[Quantity]]&lt;=10,"6 to 10",orders[[#This Row],[Quantity]]&lt;=16,"11 to 16",orders[[#This Row],[Quantity]]&gt;16,"Above 16")</f>
        <v>1 to 5</v>
      </c>
    </row>
    <row r="557" spans="1:16"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c r="P557" t="str" cm="1">
        <f t="array" ref="P557">_xlfn.IFS(orders[[#This Row],[Quantity]]&lt;=5,"1 to 5",orders[[#This Row],[Quantity]]&lt;=10,"6 to 10",orders[[#This Row],[Quantity]]&lt;=16,"11 to 16",orders[[#This Row],[Quantity]]&gt;16,"Above 16")</f>
        <v>1 to 5</v>
      </c>
    </row>
    <row r="558" spans="1:16"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c r="P558" t="str" cm="1">
        <f t="array" ref="P558">_xlfn.IFS(orders[[#This Row],[Quantity]]&lt;=5,"1 to 5",orders[[#This Row],[Quantity]]&lt;=10,"6 to 10",orders[[#This Row],[Quantity]]&lt;=16,"11 to 16",orders[[#This Row],[Quantity]]&gt;16,"Above 16")</f>
        <v>1 to 5</v>
      </c>
    </row>
    <row r="559" spans="1:16"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c r="P559" t="str" cm="1">
        <f t="array" ref="P559">_xlfn.IFS(orders[[#This Row],[Quantity]]&lt;=5,"1 to 5",orders[[#This Row],[Quantity]]&lt;=10,"6 to 10",orders[[#This Row],[Quantity]]&lt;=16,"11 to 16",orders[[#This Row],[Quantity]]&gt;16,"Above 16")</f>
        <v>1 to 5</v>
      </c>
    </row>
    <row r="560" spans="1:16"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c r="P560" t="str" cm="1">
        <f t="array" ref="P560">_xlfn.IFS(orders[[#This Row],[Quantity]]&lt;=5,"1 to 5",orders[[#This Row],[Quantity]]&lt;=10,"6 to 10",orders[[#This Row],[Quantity]]&lt;=16,"11 to 16",orders[[#This Row],[Quantity]]&gt;16,"Above 16")</f>
        <v>1 to 5</v>
      </c>
    </row>
    <row r="561" spans="1:16"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c r="P561" t="str" cm="1">
        <f t="array" ref="P561">_xlfn.IFS(orders[[#This Row],[Quantity]]&lt;=5,"1 to 5",orders[[#This Row],[Quantity]]&lt;=10,"6 to 10",orders[[#This Row],[Quantity]]&lt;=16,"11 to 16",orders[[#This Row],[Quantity]]&gt;16,"Above 16")</f>
        <v>1 to 5</v>
      </c>
    </row>
    <row r="562" spans="1:16"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c r="P562" t="str" cm="1">
        <f t="array" ref="P562">_xlfn.IFS(orders[[#This Row],[Quantity]]&lt;=5,"1 to 5",orders[[#This Row],[Quantity]]&lt;=10,"6 to 10",orders[[#This Row],[Quantity]]&lt;=16,"11 to 16",orders[[#This Row],[Quantity]]&gt;16,"Above 16")</f>
        <v>1 to 5</v>
      </c>
    </row>
    <row r="563" spans="1:16"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c r="P563" t="str" cm="1">
        <f t="array" ref="P563">_xlfn.IFS(orders[[#This Row],[Quantity]]&lt;=5,"1 to 5",orders[[#This Row],[Quantity]]&lt;=10,"6 to 10",orders[[#This Row],[Quantity]]&lt;=16,"11 to 16",orders[[#This Row],[Quantity]]&gt;16,"Above 16")</f>
        <v>1 to 5</v>
      </c>
    </row>
    <row r="564" spans="1:16"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c r="P564" t="str" cm="1">
        <f t="array" ref="P564">_xlfn.IFS(orders[[#This Row],[Quantity]]&lt;=5,"1 to 5",orders[[#This Row],[Quantity]]&lt;=10,"6 to 10",orders[[#This Row],[Quantity]]&lt;=16,"11 to 16",orders[[#This Row],[Quantity]]&gt;16,"Above 16")</f>
        <v>1 to 5</v>
      </c>
    </row>
    <row r="565" spans="1:16"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c r="P565" t="str" cm="1">
        <f t="array" ref="P565">_xlfn.IFS(orders[[#This Row],[Quantity]]&lt;=5,"1 to 5",orders[[#This Row],[Quantity]]&lt;=10,"6 to 10",orders[[#This Row],[Quantity]]&lt;=16,"11 to 16",orders[[#This Row],[Quantity]]&gt;16,"Above 16")</f>
        <v>1 to 5</v>
      </c>
    </row>
    <row r="566" spans="1:16"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c r="P566" t="str" cm="1">
        <f t="array" ref="P566">_xlfn.IFS(orders[[#This Row],[Quantity]]&lt;=5,"1 to 5",orders[[#This Row],[Quantity]]&lt;=10,"6 to 10",orders[[#This Row],[Quantity]]&lt;=16,"11 to 16",orders[[#This Row],[Quantity]]&gt;16,"Above 16")</f>
        <v>1 to 5</v>
      </c>
    </row>
    <row r="567" spans="1:16"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c r="P567" t="str" cm="1">
        <f t="array" ref="P567">_xlfn.IFS(orders[[#This Row],[Quantity]]&lt;=5,"1 to 5",orders[[#This Row],[Quantity]]&lt;=10,"6 to 10",orders[[#This Row],[Quantity]]&lt;=16,"11 to 16",orders[[#This Row],[Quantity]]&gt;16,"Above 16")</f>
        <v>11 to 16</v>
      </c>
    </row>
    <row r="568" spans="1:16"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c r="P568" t="str" cm="1">
        <f t="array" ref="P568">_xlfn.IFS(orders[[#This Row],[Quantity]]&lt;=5,"1 to 5",orders[[#This Row],[Quantity]]&lt;=10,"6 to 10",orders[[#This Row],[Quantity]]&lt;=16,"11 to 16",orders[[#This Row],[Quantity]]&gt;16,"Above 16")</f>
        <v>1 to 5</v>
      </c>
    </row>
    <row r="569" spans="1:16"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c r="P569" t="str" cm="1">
        <f t="array" ref="P569">_xlfn.IFS(orders[[#This Row],[Quantity]]&lt;=5,"1 to 5",orders[[#This Row],[Quantity]]&lt;=10,"6 to 10",orders[[#This Row],[Quantity]]&lt;=16,"11 to 16",orders[[#This Row],[Quantity]]&gt;16,"Above 16")</f>
        <v>11 to 16</v>
      </c>
    </row>
    <row r="570" spans="1:16"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c r="P570" t="str" cm="1">
        <f t="array" ref="P570">_xlfn.IFS(orders[[#This Row],[Quantity]]&lt;=5,"1 to 5",orders[[#This Row],[Quantity]]&lt;=10,"6 to 10",orders[[#This Row],[Quantity]]&lt;=16,"11 to 16",orders[[#This Row],[Quantity]]&gt;16,"Above 16")</f>
        <v>1 to 5</v>
      </c>
    </row>
    <row r="571" spans="1:16"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c r="P571" t="str" cm="1">
        <f t="array" ref="P571">_xlfn.IFS(orders[[#This Row],[Quantity]]&lt;=5,"1 to 5",orders[[#This Row],[Quantity]]&lt;=10,"6 to 10",orders[[#This Row],[Quantity]]&lt;=16,"11 to 16",orders[[#This Row],[Quantity]]&gt;16,"Above 16")</f>
        <v>1 to 5</v>
      </c>
    </row>
    <row r="572" spans="1:16"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c r="P572" t="str" cm="1">
        <f t="array" ref="P572">_xlfn.IFS(orders[[#This Row],[Quantity]]&lt;=5,"1 to 5",orders[[#This Row],[Quantity]]&lt;=10,"6 to 10",orders[[#This Row],[Quantity]]&lt;=16,"11 to 16",orders[[#This Row],[Quantity]]&gt;16,"Above 16")</f>
        <v>1 to 5</v>
      </c>
    </row>
    <row r="573" spans="1:16"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c r="P573" t="str" cm="1">
        <f t="array" ref="P573">_xlfn.IFS(orders[[#This Row],[Quantity]]&lt;=5,"1 to 5",orders[[#This Row],[Quantity]]&lt;=10,"6 to 10",orders[[#This Row],[Quantity]]&lt;=16,"11 to 16",orders[[#This Row],[Quantity]]&gt;16,"Above 16")</f>
        <v>1 to 5</v>
      </c>
    </row>
    <row r="574" spans="1:16"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c r="P574" t="str" cm="1">
        <f t="array" ref="P574">_xlfn.IFS(orders[[#This Row],[Quantity]]&lt;=5,"1 to 5",orders[[#This Row],[Quantity]]&lt;=10,"6 to 10",orders[[#This Row],[Quantity]]&lt;=16,"11 to 16",orders[[#This Row],[Quantity]]&gt;16,"Above 16")</f>
        <v>1 to 5</v>
      </c>
    </row>
    <row r="575" spans="1:16"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c r="P575" t="str" cm="1">
        <f t="array" ref="P575">_xlfn.IFS(orders[[#This Row],[Quantity]]&lt;=5,"1 to 5",orders[[#This Row],[Quantity]]&lt;=10,"6 to 10",orders[[#This Row],[Quantity]]&lt;=16,"11 to 16",orders[[#This Row],[Quantity]]&gt;16,"Above 16")</f>
        <v>1 to 5</v>
      </c>
    </row>
    <row r="576" spans="1:16"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c r="P576" t="str" cm="1">
        <f t="array" ref="P576">_xlfn.IFS(orders[[#This Row],[Quantity]]&lt;=5,"1 to 5",orders[[#This Row],[Quantity]]&lt;=10,"6 to 10",orders[[#This Row],[Quantity]]&lt;=16,"11 to 16",orders[[#This Row],[Quantity]]&gt;16,"Above 16")</f>
        <v>1 to 5</v>
      </c>
    </row>
    <row r="577" spans="1:16"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c r="P577" t="str" cm="1">
        <f t="array" ref="P577">_xlfn.IFS(orders[[#This Row],[Quantity]]&lt;=5,"1 to 5",orders[[#This Row],[Quantity]]&lt;=10,"6 to 10",orders[[#This Row],[Quantity]]&lt;=16,"11 to 16",orders[[#This Row],[Quantity]]&gt;16,"Above 16")</f>
        <v>1 to 5</v>
      </c>
    </row>
    <row r="578" spans="1:16"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c r="P578" t="str" cm="1">
        <f t="array" ref="P578">_xlfn.IFS(orders[[#This Row],[Quantity]]&lt;=5,"1 to 5",orders[[#This Row],[Quantity]]&lt;=10,"6 to 10",orders[[#This Row],[Quantity]]&lt;=16,"11 to 16",orders[[#This Row],[Quantity]]&gt;16,"Above 16")</f>
        <v>1 to 5</v>
      </c>
    </row>
    <row r="579" spans="1:16"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c r="P579" t="str" cm="1">
        <f t="array" ref="P579">_xlfn.IFS(orders[[#This Row],[Quantity]]&lt;=5,"1 to 5",orders[[#This Row],[Quantity]]&lt;=10,"6 to 10",orders[[#This Row],[Quantity]]&lt;=16,"11 to 16",orders[[#This Row],[Quantity]]&gt;16,"Above 16")</f>
        <v>1 to 5</v>
      </c>
    </row>
    <row r="580" spans="1:16"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c r="P580" t="str" cm="1">
        <f t="array" ref="P580">_xlfn.IFS(orders[[#This Row],[Quantity]]&lt;=5,"1 to 5",orders[[#This Row],[Quantity]]&lt;=10,"6 to 10",orders[[#This Row],[Quantity]]&lt;=16,"11 to 16",orders[[#This Row],[Quantity]]&gt;16,"Above 16")</f>
        <v>1 to 5</v>
      </c>
    </row>
    <row r="581" spans="1:16"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c r="P581" t="str" cm="1">
        <f t="array" ref="P581">_xlfn.IFS(orders[[#This Row],[Quantity]]&lt;=5,"1 to 5",orders[[#This Row],[Quantity]]&lt;=10,"6 to 10",orders[[#This Row],[Quantity]]&lt;=16,"11 to 16",orders[[#This Row],[Quantity]]&gt;16,"Above 16")</f>
        <v>1 to 5</v>
      </c>
    </row>
    <row r="582" spans="1:16"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c r="P582" t="str" cm="1">
        <f t="array" ref="P582">_xlfn.IFS(orders[[#This Row],[Quantity]]&lt;=5,"1 to 5",orders[[#This Row],[Quantity]]&lt;=10,"6 to 10",orders[[#This Row],[Quantity]]&lt;=16,"11 to 16",orders[[#This Row],[Quantity]]&gt;16,"Above 16")</f>
        <v>1 to 5</v>
      </c>
    </row>
    <row r="583" spans="1:16"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c r="P583" t="str" cm="1">
        <f t="array" ref="P583">_xlfn.IFS(orders[[#This Row],[Quantity]]&lt;=5,"1 to 5",orders[[#This Row],[Quantity]]&lt;=10,"6 to 10",orders[[#This Row],[Quantity]]&lt;=16,"11 to 16",orders[[#This Row],[Quantity]]&gt;16,"Above 16")</f>
        <v>1 to 5</v>
      </c>
    </row>
    <row r="584" spans="1:16"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c r="P584" t="str" cm="1">
        <f t="array" ref="P584">_xlfn.IFS(orders[[#This Row],[Quantity]]&lt;=5,"1 to 5",orders[[#This Row],[Quantity]]&lt;=10,"6 to 10",orders[[#This Row],[Quantity]]&lt;=16,"11 to 16",orders[[#This Row],[Quantity]]&gt;16,"Above 16")</f>
        <v>11 to 16</v>
      </c>
    </row>
    <row r="585" spans="1:16"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c r="P585" t="str" cm="1">
        <f t="array" ref="P585">_xlfn.IFS(orders[[#This Row],[Quantity]]&lt;=5,"1 to 5",orders[[#This Row],[Quantity]]&lt;=10,"6 to 10",orders[[#This Row],[Quantity]]&lt;=16,"11 to 16",orders[[#This Row],[Quantity]]&gt;16,"Above 16")</f>
        <v>1 to 5</v>
      </c>
    </row>
    <row r="586" spans="1:16"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c r="P586" t="str" cm="1">
        <f t="array" ref="P586">_xlfn.IFS(orders[[#This Row],[Quantity]]&lt;=5,"1 to 5",orders[[#This Row],[Quantity]]&lt;=10,"6 to 10",orders[[#This Row],[Quantity]]&lt;=16,"11 to 16",orders[[#This Row],[Quantity]]&gt;16,"Above 16")</f>
        <v>1 to 5</v>
      </c>
    </row>
    <row r="587" spans="1:16"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c r="P587" t="str" cm="1">
        <f t="array" ref="P587">_xlfn.IFS(orders[[#This Row],[Quantity]]&lt;=5,"1 to 5",orders[[#This Row],[Quantity]]&lt;=10,"6 to 10",orders[[#This Row],[Quantity]]&lt;=16,"11 to 16",orders[[#This Row],[Quantity]]&gt;16,"Above 16")</f>
        <v>1 to 5</v>
      </c>
    </row>
    <row r="588" spans="1:16"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c r="P588" t="str" cm="1">
        <f t="array" ref="P588">_xlfn.IFS(orders[[#This Row],[Quantity]]&lt;=5,"1 to 5",orders[[#This Row],[Quantity]]&lt;=10,"6 to 10",orders[[#This Row],[Quantity]]&lt;=16,"11 to 16",orders[[#This Row],[Quantity]]&gt;16,"Above 16")</f>
        <v>1 to 5</v>
      </c>
    </row>
    <row r="589" spans="1:16"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c r="P589" t="str" cm="1">
        <f t="array" ref="P589">_xlfn.IFS(orders[[#This Row],[Quantity]]&lt;=5,"1 to 5",orders[[#This Row],[Quantity]]&lt;=10,"6 to 10",orders[[#This Row],[Quantity]]&lt;=16,"11 to 16",orders[[#This Row],[Quantity]]&gt;16,"Above 16")</f>
        <v>6 to 10</v>
      </c>
    </row>
    <row r="590" spans="1:16"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c r="P590" t="str" cm="1">
        <f t="array" ref="P590">_xlfn.IFS(orders[[#This Row],[Quantity]]&lt;=5,"1 to 5",orders[[#This Row],[Quantity]]&lt;=10,"6 to 10",orders[[#This Row],[Quantity]]&lt;=16,"11 to 16",orders[[#This Row],[Quantity]]&gt;16,"Above 16")</f>
        <v>1 to 5</v>
      </c>
    </row>
    <row r="591" spans="1:16"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c r="P591" t="str" cm="1">
        <f t="array" ref="P591">_xlfn.IFS(orders[[#This Row],[Quantity]]&lt;=5,"1 to 5",orders[[#This Row],[Quantity]]&lt;=10,"6 to 10",orders[[#This Row],[Quantity]]&lt;=16,"11 to 16",orders[[#This Row],[Quantity]]&gt;16,"Above 16")</f>
        <v>1 to 5</v>
      </c>
    </row>
    <row r="592" spans="1:16"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c r="P592" t="str" cm="1">
        <f t="array" ref="P592">_xlfn.IFS(orders[[#This Row],[Quantity]]&lt;=5,"1 to 5",orders[[#This Row],[Quantity]]&lt;=10,"6 to 10",orders[[#This Row],[Quantity]]&lt;=16,"11 to 16",orders[[#This Row],[Quantity]]&gt;16,"Above 16")</f>
        <v>1 to 5</v>
      </c>
    </row>
    <row r="593" spans="1:16"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c r="P593" t="str" cm="1">
        <f t="array" ref="P593">_xlfn.IFS(orders[[#This Row],[Quantity]]&lt;=5,"1 to 5",orders[[#This Row],[Quantity]]&lt;=10,"6 to 10",orders[[#This Row],[Quantity]]&lt;=16,"11 to 16",orders[[#This Row],[Quantity]]&gt;16,"Above 16")</f>
        <v>1 to 5</v>
      </c>
    </row>
    <row r="594" spans="1:16"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c r="P594" t="str" cm="1">
        <f t="array" ref="P594">_xlfn.IFS(orders[[#This Row],[Quantity]]&lt;=5,"1 to 5",orders[[#This Row],[Quantity]]&lt;=10,"6 to 10",orders[[#This Row],[Quantity]]&lt;=16,"11 to 16",orders[[#This Row],[Quantity]]&gt;16,"Above 16")</f>
        <v>1 to 5</v>
      </c>
    </row>
    <row r="595" spans="1:16"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c r="P595" t="str" cm="1">
        <f t="array" ref="P595">_xlfn.IFS(orders[[#This Row],[Quantity]]&lt;=5,"1 to 5",orders[[#This Row],[Quantity]]&lt;=10,"6 to 10",orders[[#This Row],[Quantity]]&lt;=16,"11 to 16",orders[[#This Row],[Quantity]]&gt;16,"Above 16")</f>
        <v>1 to 5</v>
      </c>
    </row>
    <row r="596" spans="1:16"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c r="P596" t="str" cm="1">
        <f t="array" ref="P596">_xlfn.IFS(orders[[#This Row],[Quantity]]&lt;=5,"1 to 5",orders[[#This Row],[Quantity]]&lt;=10,"6 to 10",orders[[#This Row],[Quantity]]&lt;=16,"11 to 16",orders[[#This Row],[Quantity]]&gt;16,"Above 16")</f>
        <v>1 to 5</v>
      </c>
    </row>
    <row r="597" spans="1:16"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c r="P597" t="str" cm="1">
        <f t="array" ref="P597">_xlfn.IFS(orders[[#This Row],[Quantity]]&lt;=5,"1 to 5",orders[[#This Row],[Quantity]]&lt;=10,"6 to 10",orders[[#This Row],[Quantity]]&lt;=16,"11 to 16",orders[[#This Row],[Quantity]]&gt;16,"Above 16")</f>
        <v>6 to 10</v>
      </c>
    </row>
    <row r="598" spans="1:16"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c r="P598" t="str" cm="1">
        <f t="array" ref="P598">_xlfn.IFS(orders[[#This Row],[Quantity]]&lt;=5,"1 to 5",orders[[#This Row],[Quantity]]&lt;=10,"6 to 10",orders[[#This Row],[Quantity]]&lt;=16,"11 to 16",orders[[#This Row],[Quantity]]&gt;16,"Above 16")</f>
        <v>1 to 5</v>
      </c>
    </row>
    <row r="599" spans="1:16"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c r="P599" t="str" cm="1">
        <f t="array" ref="P599">_xlfn.IFS(orders[[#This Row],[Quantity]]&lt;=5,"1 to 5",orders[[#This Row],[Quantity]]&lt;=10,"6 to 10",orders[[#This Row],[Quantity]]&lt;=16,"11 to 16",orders[[#This Row],[Quantity]]&gt;16,"Above 16")</f>
        <v>1 to 5</v>
      </c>
    </row>
    <row r="600" spans="1:16"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c r="P600" t="str" cm="1">
        <f t="array" ref="P600">_xlfn.IFS(orders[[#This Row],[Quantity]]&lt;=5,"1 to 5",orders[[#This Row],[Quantity]]&lt;=10,"6 to 10",orders[[#This Row],[Quantity]]&lt;=16,"11 to 16",orders[[#This Row],[Quantity]]&gt;16,"Above 16")</f>
        <v>11 to 16</v>
      </c>
    </row>
    <row r="601" spans="1:16"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c r="P601" t="str" cm="1">
        <f t="array" ref="P601">_xlfn.IFS(orders[[#This Row],[Quantity]]&lt;=5,"1 to 5",orders[[#This Row],[Quantity]]&lt;=10,"6 to 10",orders[[#This Row],[Quantity]]&lt;=16,"11 to 16",orders[[#This Row],[Quantity]]&gt;16,"Above 16")</f>
        <v>1 to 5</v>
      </c>
    </row>
    <row r="602" spans="1:16"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c r="P602" t="str" cm="1">
        <f t="array" ref="P602">_xlfn.IFS(orders[[#This Row],[Quantity]]&lt;=5,"1 to 5",orders[[#This Row],[Quantity]]&lt;=10,"6 to 10",orders[[#This Row],[Quantity]]&lt;=16,"11 to 16",orders[[#This Row],[Quantity]]&gt;16,"Above 16")</f>
        <v>1 to 5</v>
      </c>
    </row>
    <row r="603" spans="1:16"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c r="P603" t="str" cm="1">
        <f t="array" ref="P603">_xlfn.IFS(orders[[#This Row],[Quantity]]&lt;=5,"1 to 5",orders[[#This Row],[Quantity]]&lt;=10,"6 to 10",orders[[#This Row],[Quantity]]&lt;=16,"11 to 16",orders[[#This Row],[Quantity]]&gt;16,"Above 16")</f>
        <v>6 to 10</v>
      </c>
    </row>
    <row r="604" spans="1:16"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c r="P604" t="str" cm="1">
        <f t="array" ref="P604">_xlfn.IFS(orders[[#This Row],[Quantity]]&lt;=5,"1 to 5",orders[[#This Row],[Quantity]]&lt;=10,"6 to 10",orders[[#This Row],[Quantity]]&lt;=16,"11 to 16",orders[[#This Row],[Quantity]]&gt;16,"Above 16")</f>
        <v>Above 16</v>
      </c>
    </row>
    <row r="605" spans="1:16"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c r="P605" t="str" cm="1">
        <f t="array" ref="P605">_xlfn.IFS(orders[[#This Row],[Quantity]]&lt;=5,"1 to 5",orders[[#This Row],[Quantity]]&lt;=10,"6 to 10",orders[[#This Row],[Quantity]]&lt;=16,"11 to 16",orders[[#This Row],[Quantity]]&gt;16,"Above 16")</f>
        <v>1 to 5</v>
      </c>
    </row>
    <row r="606" spans="1:16"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c r="P606" t="str" cm="1">
        <f t="array" ref="P606">_xlfn.IFS(orders[[#This Row],[Quantity]]&lt;=5,"1 to 5",orders[[#This Row],[Quantity]]&lt;=10,"6 to 10",orders[[#This Row],[Quantity]]&lt;=16,"11 to 16",orders[[#This Row],[Quantity]]&gt;16,"Above 16")</f>
        <v>1 to 5</v>
      </c>
    </row>
    <row r="607" spans="1:16"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c r="P607" t="str" cm="1">
        <f t="array" ref="P607">_xlfn.IFS(orders[[#This Row],[Quantity]]&lt;=5,"1 to 5",orders[[#This Row],[Quantity]]&lt;=10,"6 to 10",orders[[#This Row],[Quantity]]&lt;=16,"11 to 16",orders[[#This Row],[Quantity]]&gt;16,"Above 16")</f>
        <v>1 to 5</v>
      </c>
    </row>
    <row r="608" spans="1:16"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c r="P608" t="str" cm="1">
        <f t="array" ref="P608">_xlfn.IFS(orders[[#This Row],[Quantity]]&lt;=5,"1 to 5",orders[[#This Row],[Quantity]]&lt;=10,"6 to 10",orders[[#This Row],[Quantity]]&lt;=16,"11 to 16",orders[[#This Row],[Quantity]]&gt;16,"Above 16")</f>
        <v>1 to 5</v>
      </c>
    </row>
    <row r="609" spans="1:16"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c r="P609" t="str" cm="1">
        <f t="array" ref="P609">_xlfn.IFS(orders[[#This Row],[Quantity]]&lt;=5,"1 to 5",orders[[#This Row],[Quantity]]&lt;=10,"6 to 10",orders[[#This Row],[Quantity]]&lt;=16,"11 to 16",orders[[#This Row],[Quantity]]&gt;16,"Above 16")</f>
        <v>1 to 5</v>
      </c>
    </row>
    <row r="610" spans="1:16"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c r="P610" t="str" cm="1">
        <f t="array" ref="P610">_xlfn.IFS(orders[[#This Row],[Quantity]]&lt;=5,"1 to 5",orders[[#This Row],[Quantity]]&lt;=10,"6 to 10",orders[[#This Row],[Quantity]]&lt;=16,"11 to 16",orders[[#This Row],[Quantity]]&gt;16,"Above 16")</f>
        <v>6 to 10</v>
      </c>
    </row>
    <row r="611" spans="1:16"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c r="P611" t="str" cm="1">
        <f t="array" ref="P611">_xlfn.IFS(orders[[#This Row],[Quantity]]&lt;=5,"1 to 5",orders[[#This Row],[Quantity]]&lt;=10,"6 to 10",orders[[#This Row],[Quantity]]&lt;=16,"11 to 16",orders[[#This Row],[Quantity]]&gt;16,"Above 16")</f>
        <v>6 to 10</v>
      </c>
    </row>
    <row r="612" spans="1:16"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c r="P612" t="str" cm="1">
        <f t="array" ref="P612">_xlfn.IFS(orders[[#This Row],[Quantity]]&lt;=5,"1 to 5",orders[[#This Row],[Quantity]]&lt;=10,"6 to 10",orders[[#This Row],[Quantity]]&lt;=16,"11 to 16",orders[[#This Row],[Quantity]]&gt;16,"Above 16")</f>
        <v>Above 16</v>
      </c>
    </row>
    <row r="613" spans="1:16"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c r="P613" t="str" cm="1">
        <f t="array" ref="P613">_xlfn.IFS(orders[[#This Row],[Quantity]]&lt;=5,"1 to 5",orders[[#This Row],[Quantity]]&lt;=10,"6 to 10",orders[[#This Row],[Quantity]]&lt;=16,"11 to 16",orders[[#This Row],[Quantity]]&gt;16,"Above 16")</f>
        <v>1 to 5</v>
      </c>
    </row>
    <row r="614" spans="1:16"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c r="P614" t="str" cm="1">
        <f t="array" ref="P614">_xlfn.IFS(orders[[#This Row],[Quantity]]&lt;=5,"1 to 5",orders[[#This Row],[Quantity]]&lt;=10,"6 to 10",orders[[#This Row],[Quantity]]&lt;=16,"11 to 16",orders[[#This Row],[Quantity]]&gt;16,"Above 16")</f>
        <v>1 to 5</v>
      </c>
    </row>
    <row r="615" spans="1:16"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c r="P615" t="str" cm="1">
        <f t="array" ref="P615">_xlfn.IFS(orders[[#This Row],[Quantity]]&lt;=5,"1 to 5",orders[[#This Row],[Quantity]]&lt;=10,"6 to 10",orders[[#This Row],[Quantity]]&lt;=16,"11 to 16",orders[[#This Row],[Quantity]]&gt;16,"Above 16")</f>
        <v>Above 16</v>
      </c>
    </row>
    <row r="616" spans="1:16"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c r="P616" t="str" cm="1">
        <f t="array" ref="P616">_xlfn.IFS(orders[[#This Row],[Quantity]]&lt;=5,"1 to 5",orders[[#This Row],[Quantity]]&lt;=10,"6 to 10",orders[[#This Row],[Quantity]]&lt;=16,"11 to 16",orders[[#This Row],[Quantity]]&gt;16,"Above 16")</f>
        <v>1 to 5</v>
      </c>
    </row>
    <row r="617" spans="1:16"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c r="P617" t="str" cm="1">
        <f t="array" ref="P617">_xlfn.IFS(orders[[#This Row],[Quantity]]&lt;=5,"1 to 5",orders[[#This Row],[Quantity]]&lt;=10,"6 to 10",orders[[#This Row],[Quantity]]&lt;=16,"11 to 16",orders[[#This Row],[Quantity]]&gt;16,"Above 16")</f>
        <v>1 to 5</v>
      </c>
    </row>
    <row r="618" spans="1:16"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c r="P618" t="str" cm="1">
        <f t="array" ref="P618">_xlfn.IFS(orders[[#This Row],[Quantity]]&lt;=5,"1 to 5",orders[[#This Row],[Quantity]]&lt;=10,"6 to 10",orders[[#This Row],[Quantity]]&lt;=16,"11 to 16",orders[[#This Row],[Quantity]]&gt;16,"Above 16")</f>
        <v>1 to 5</v>
      </c>
    </row>
    <row r="619" spans="1:16"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c r="P619" t="str" cm="1">
        <f t="array" ref="P619">_xlfn.IFS(orders[[#This Row],[Quantity]]&lt;=5,"1 to 5",orders[[#This Row],[Quantity]]&lt;=10,"6 to 10",orders[[#This Row],[Quantity]]&lt;=16,"11 to 16",orders[[#This Row],[Quantity]]&gt;16,"Above 16")</f>
        <v>1 to 5</v>
      </c>
    </row>
    <row r="620" spans="1:16"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c r="P620" t="str" cm="1">
        <f t="array" ref="P620">_xlfn.IFS(orders[[#This Row],[Quantity]]&lt;=5,"1 to 5",orders[[#This Row],[Quantity]]&lt;=10,"6 to 10",orders[[#This Row],[Quantity]]&lt;=16,"11 to 16",orders[[#This Row],[Quantity]]&gt;16,"Above 16")</f>
        <v>6 to 10</v>
      </c>
    </row>
    <row r="621" spans="1:16"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c r="P621" t="str" cm="1">
        <f t="array" ref="P621">_xlfn.IFS(orders[[#This Row],[Quantity]]&lt;=5,"1 to 5",orders[[#This Row],[Quantity]]&lt;=10,"6 to 10",orders[[#This Row],[Quantity]]&lt;=16,"11 to 16",orders[[#This Row],[Quantity]]&gt;16,"Above 16")</f>
        <v>6 to 10</v>
      </c>
    </row>
    <row r="622" spans="1:16"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c r="P622" t="str" cm="1">
        <f t="array" ref="P622">_xlfn.IFS(orders[[#This Row],[Quantity]]&lt;=5,"1 to 5",orders[[#This Row],[Quantity]]&lt;=10,"6 to 10",orders[[#This Row],[Quantity]]&lt;=16,"11 to 16",orders[[#This Row],[Quantity]]&gt;16,"Above 16")</f>
        <v>1 to 5</v>
      </c>
    </row>
    <row r="623" spans="1:16"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c r="P623" t="str" cm="1">
        <f t="array" ref="P623">_xlfn.IFS(orders[[#This Row],[Quantity]]&lt;=5,"1 to 5",orders[[#This Row],[Quantity]]&lt;=10,"6 to 10",orders[[#This Row],[Quantity]]&lt;=16,"11 to 16",orders[[#This Row],[Quantity]]&gt;16,"Above 16")</f>
        <v>1 to 5</v>
      </c>
    </row>
    <row r="624" spans="1:16"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c r="P624" t="str" cm="1">
        <f t="array" ref="P624">_xlfn.IFS(orders[[#This Row],[Quantity]]&lt;=5,"1 to 5",orders[[#This Row],[Quantity]]&lt;=10,"6 to 10",orders[[#This Row],[Quantity]]&lt;=16,"11 to 16",orders[[#This Row],[Quantity]]&gt;16,"Above 16")</f>
        <v>1 to 5</v>
      </c>
    </row>
    <row r="625" spans="1:16"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c r="P625" t="str" cm="1">
        <f t="array" ref="P625">_xlfn.IFS(orders[[#This Row],[Quantity]]&lt;=5,"1 to 5",orders[[#This Row],[Quantity]]&lt;=10,"6 to 10",orders[[#This Row],[Quantity]]&lt;=16,"11 to 16",orders[[#This Row],[Quantity]]&gt;16,"Above 16")</f>
        <v>1 to 5</v>
      </c>
    </row>
    <row r="626" spans="1:16"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c r="P626" t="str" cm="1">
        <f t="array" ref="P626">_xlfn.IFS(orders[[#This Row],[Quantity]]&lt;=5,"1 to 5",orders[[#This Row],[Quantity]]&lt;=10,"6 to 10",orders[[#This Row],[Quantity]]&lt;=16,"11 to 16",orders[[#This Row],[Quantity]]&gt;16,"Above 16")</f>
        <v>Above 16</v>
      </c>
    </row>
    <row r="627" spans="1:16"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c r="P627" t="str" cm="1">
        <f t="array" ref="P627">_xlfn.IFS(orders[[#This Row],[Quantity]]&lt;=5,"1 to 5",orders[[#This Row],[Quantity]]&lt;=10,"6 to 10",orders[[#This Row],[Quantity]]&lt;=16,"11 to 16",orders[[#This Row],[Quantity]]&gt;16,"Above 16")</f>
        <v>6 to 10</v>
      </c>
    </row>
    <row r="628" spans="1:16"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c r="P628" t="str" cm="1">
        <f t="array" ref="P628">_xlfn.IFS(orders[[#This Row],[Quantity]]&lt;=5,"1 to 5",orders[[#This Row],[Quantity]]&lt;=10,"6 to 10",orders[[#This Row],[Quantity]]&lt;=16,"11 to 16",orders[[#This Row],[Quantity]]&gt;16,"Above 16")</f>
        <v>1 to 5</v>
      </c>
    </row>
    <row r="629" spans="1:16"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c r="P629" t="str" cm="1">
        <f t="array" ref="P629">_xlfn.IFS(orders[[#This Row],[Quantity]]&lt;=5,"1 to 5",orders[[#This Row],[Quantity]]&lt;=10,"6 to 10",orders[[#This Row],[Quantity]]&lt;=16,"11 to 16",orders[[#This Row],[Quantity]]&gt;16,"Above 16")</f>
        <v>1 to 5</v>
      </c>
    </row>
    <row r="630" spans="1:16"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c r="P630" t="str" cm="1">
        <f t="array" ref="P630">_xlfn.IFS(orders[[#This Row],[Quantity]]&lt;=5,"1 to 5",orders[[#This Row],[Quantity]]&lt;=10,"6 to 10",orders[[#This Row],[Quantity]]&lt;=16,"11 to 16",orders[[#This Row],[Quantity]]&gt;16,"Above 16")</f>
        <v>1 to 5</v>
      </c>
    </row>
    <row r="631" spans="1:16"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c r="P631" t="str" cm="1">
        <f t="array" ref="P631">_xlfn.IFS(orders[[#This Row],[Quantity]]&lt;=5,"1 to 5",orders[[#This Row],[Quantity]]&lt;=10,"6 to 10",orders[[#This Row],[Quantity]]&lt;=16,"11 to 16",orders[[#This Row],[Quantity]]&gt;16,"Above 16")</f>
        <v>1 to 5</v>
      </c>
    </row>
    <row r="632" spans="1:16"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c r="P632" t="str" cm="1">
        <f t="array" ref="P632">_xlfn.IFS(orders[[#This Row],[Quantity]]&lt;=5,"1 to 5",orders[[#This Row],[Quantity]]&lt;=10,"6 to 10",orders[[#This Row],[Quantity]]&lt;=16,"11 to 16",orders[[#This Row],[Quantity]]&gt;16,"Above 16")</f>
        <v>1 to 5</v>
      </c>
    </row>
    <row r="633" spans="1:16"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c r="P633" t="str" cm="1">
        <f t="array" ref="P633">_xlfn.IFS(orders[[#This Row],[Quantity]]&lt;=5,"1 to 5",orders[[#This Row],[Quantity]]&lt;=10,"6 to 10",orders[[#This Row],[Quantity]]&lt;=16,"11 to 16",orders[[#This Row],[Quantity]]&gt;16,"Above 16")</f>
        <v>1 to 5</v>
      </c>
    </row>
    <row r="634" spans="1:16"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c r="P634" t="str" cm="1">
        <f t="array" ref="P634">_xlfn.IFS(orders[[#This Row],[Quantity]]&lt;=5,"1 to 5",orders[[#This Row],[Quantity]]&lt;=10,"6 to 10",orders[[#This Row],[Quantity]]&lt;=16,"11 to 16",orders[[#This Row],[Quantity]]&gt;16,"Above 16")</f>
        <v>1 to 5</v>
      </c>
    </row>
    <row r="635" spans="1:16"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c r="P635" t="str" cm="1">
        <f t="array" ref="P635">_xlfn.IFS(orders[[#This Row],[Quantity]]&lt;=5,"1 to 5",orders[[#This Row],[Quantity]]&lt;=10,"6 to 10",orders[[#This Row],[Quantity]]&lt;=16,"11 to 16",orders[[#This Row],[Quantity]]&gt;16,"Above 16")</f>
        <v>1 to 5</v>
      </c>
    </row>
    <row r="636" spans="1:16"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c r="P636" t="str" cm="1">
        <f t="array" ref="P636">_xlfn.IFS(orders[[#This Row],[Quantity]]&lt;=5,"1 to 5",orders[[#This Row],[Quantity]]&lt;=10,"6 to 10",orders[[#This Row],[Quantity]]&lt;=16,"11 to 16",orders[[#This Row],[Quantity]]&gt;16,"Above 16")</f>
        <v>1 to 5</v>
      </c>
    </row>
    <row r="637" spans="1:16"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c r="P637" t="str" cm="1">
        <f t="array" ref="P637">_xlfn.IFS(orders[[#This Row],[Quantity]]&lt;=5,"1 to 5",orders[[#This Row],[Quantity]]&lt;=10,"6 to 10",orders[[#This Row],[Quantity]]&lt;=16,"11 to 16",orders[[#This Row],[Quantity]]&gt;16,"Above 16")</f>
        <v>1 to 5</v>
      </c>
    </row>
    <row r="638" spans="1:16"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c r="P638" t="str" cm="1">
        <f t="array" ref="P638">_xlfn.IFS(orders[[#This Row],[Quantity]]&lt;=5,"1 to 5",orders[[#This Row],[Quantity]]&lt;=10,"6 to 10",orders[[#This Row],[Quantity]]&lt;=16,"11 to 16",orders[[#This Row],[Quantity]]&gt;16,"Above 16")</f>
        <v>1 to 5</v>
      </c>
    </row>
    <row r="639" spans="1:16"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c r="P639" t="str" cm="1">
        <f t="array" ref="P639">_xlfn.IFS(orders[[#This Row],[Quantity]]&lt;=5,"1 to 5",orders[[#This Row],[Quantity]]&lt;=10,"6 to 10",orders[[#This Row],[Quantity]]&lt;=16,"11 to 16",orders[[#This Row],[Quantity]]&gt;16,"Above 16")</f>
        <v>1 to 5</v>
      </c>
    </row>
    <row r="640" spans="1:16"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c r="P640" t="str" cm="1">
        <f t="array" ref="P640">_xlfn.IFS(orders[[#This Row],[Quantity]]&lt;=5,"1 to 5",orders[[#This Row],[Quantity]]&lt;=10,"6 to 10",orders[[#This Row],[Quantity]]&lt;=16,"11 to 16",orders[[#This Row],[Quantity]]&gt;16,"Above 16")</f>
        <v>11 to 16</v>
      </c>
    </row>
    <row r="641" spans="1:16"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c r="P641" t="str" cm="1">
        <f t="array" ref="P641">_xlfn.IFS(orders[[#This Row],[Quantity]]&lt;=5,"1 to 5",orders[[#This Row],[Quantity]]&lt;=10,"6 to 10",orders[[#This Row],[Quantity]]&lt;=16,"11 to 16",orders[[#This Row],[Quantity]]&gt;16,"Above 16")</f>
        <v>6 to 10</v>
      </c>
    </row>
    <row r="642" spans="1:16"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c r="P642" t="str" cm="1">
        <f t="array" ref="P642">_xlfn.IFS(orders[[#This Row],[Quantity]]&lt;=5,"1 to 5",orders[[#This Row],[Quantity]]&lt;=10,"6 to 10",orders[[#This Row],[Quantity]]&lt;=16,"11 to 16",orders[[#This Row],[Quantity]]&gt;16,"Above 16")</f>
        <v>1 to 5</v>
      </c>
    </row>
    <row r="643" spans="1:16"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c r="P643" t="str" cm="1">
        <f t="array" ref="P643">_xlfn.IFS(orders[[#This Row],[Quantity]]&lt;=5,"1 to 5",orders[[#This Row],[Quantity]]&lt;=10,"6 to 10",orders[[#This Row],[Quantity]]&lt;=16,"11 to 16",orders[[#This Row],[Quantity]]&gt;16,"Above 16")</f>
        <v>1 to 5</v>
      </c>
    </row>
    <row r="644" spans="1:16"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c r="P644" t="str" cm="1">
        <f t="array" ref="P644">_xlfn.IFS(orders[[#This Row],[Quantity]]&lt;=5,"1 to 5",orders[[#This Row],[Quantity]]&lt;=10,"6 to 10",orders[[#This Row],[Quantity]]&lt;=16,"11 to 16",orders[[#This Row],[Quantity]]&gt;16,"Above 16")</f>
        <v>1 to 5</v>
      </c>
    </row>
    <row r="645" spans="1:16"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c r="P645" t="str" cm="1">
        <f t="array" ref="P645">_xlfn.IFS(orders[[#This Row],[Quantity]]&lt;=5,"1 to 5",orders[[#This Row],[Quantity]]&lt;=10,"6 to 10",orders[[#This Row],[Quantity]]&lt;=16,"11 to 16",orders[[#This Row],[Quantity]]&gt;16,"Above 16")</f>
        <v>1 to 5</v>
      </c>
    </row>
    <row r="646" spans="1:16"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c r="P646" t="str" cm="1">
        <f t="array" ref="P646">_xlfn.IFS(orders[[#This Row],[Quantity]]&lt;=5,"1 to 5",orders[[#This Row],[Quantity]]&lt;=10,"6 to 10",orders[[#This Row],[Quantity]]&lt;=16,"11 to 16",orders[[#This Row],[Quantity]]&gt;16,"Above 16")</f>
        <v>6 to 10</v>
      </c>
    </row>
    <row r="647" spans="1:16"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c r="P647" t="str" cm="1">
        <f t="array" ref="P647">_xlfn.IFS(orders[[#This Row],[Quantity]]&lt;=5,"1 to 5",orders[[#This Row],[Quantity]]&lt;=10,"6 to 10",orders[[#This Row],[Quantity]]&lt;=16,"11 to 16",orders[[#This Row],[Quantity]]&gt;16,"Above 16")</f>
        <v>11 to 16</v>
      </c>
    </row>
    <row r="648" spans="1:16"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c r="P648" t="str" cm="1">
        <f t="array" ref="P648">_xlfn.IFS(orders[[#This Row],[Quantity]]&lt;=5,"1 to 5",orders[[#This Row],[Quantity]]&lt;=10,"6 to 10",orders[[#This Row],[Quantity]]&lt;=16,"11 to 16",orders[[#This Row],[Quantity]]&gt;16,"Above 16")</f>
        <v>1 to 5</v>
      </c>
    </row>
    <row r="649" spans="1:16"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c r="P649" t="str" cm="1">
        <f t="array" ref="P649">_xlfn.IFS(orders[[#This Row],[Quantity]]&lt;=5,"1 to 5",orders[[#This Row],[Quantity]]&lt;=10,"6 to 10",orders[[#This Row],[Quantity]]&lt;=16,"11 to 16",orders[[#This Row],[Quantity]]&gt;16,"Above 16")</f>
        <v>1 to 5</v>
      </c>
    </row>
    <row r="650" spans="1:16"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c r="P650" t="str" cm="1">
        <f t="array" ref="P650">_xlfn.IFS(orders[[#This Row],[Quantity]]&lt;=5,"1 to 5",orders[[#This Row],[Quantity]]&lt;=10,"6 to 10",orders[[#This Row],[Quantity]]&lt;=16,"11 to 16",orders[[#This Row],[Quantity]]&gt;16,"Above 16")</f>
        <v>1 to 5</v>
      </c>
    </row>
    <row r="651" spans="1:16"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c r="P651" t="str" cm="1">
        <f t="array" ref="P651">_xlfn.IFS(orders[[#This Row],[Quantity]]&lt;=5,"1 to 5",orders[[#This Row],[Quantity]]&lt;=10,"6 to 10",orders[[#This Row],[Quantity]]&lt;=16,"11 to 16",orders[[#This Row],[Quantity]]&gt;16,"Above 16")</f>
        <v>1 to 5</v>
      </c>
    </row>
    <row r="652" spans="1:16"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c r="P652" t="str" cm="1">
        <f t="array" ref="P652">_xlfn.IFS(orders[[#This Row],[Quantity]]&lt;=5,"1 to 5",orders[[#This Row],[Quantity]]&lt;=10,"6 to 10",orders[[#This Row],[Quantity]]&lt;=16,"11 to 16",orders[[#This Row],[Quantity]]&gt;16,"Above 16")</f>
        <v>6 to 10</v>
      </c>
    </row>
    <row r="653" spans="1:16"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c r="P653" t="str" cm="1">
        <f t="array" ref="P653">_xlfn.IFS(orders[[#This Row],[Quantity]]&lt;=5,"1 to 5",orders[[#This Row],[Quantity]]&lt;=10,"6 to 10",orders[[#This Row],[Quantity]]&lt;=16,"11 to 16",orders[[#This Row],[Quantity]]&gt;16,"Above 16")</f>
        <v>1 to 5</v>
      </c>
    </row>
    <row r="654" spans="1:16"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c r="P654" t="str" cm="1">
        <f t="array" ref="P654">_xlfn.IFS(orders[[#This Row],[Quantity]]&lt;=5,"1 to 5",orders[[#This Row],[Quantity]]&lt;=10,"6 to 10",orders[[#This Row],[Quantity]]&lt;=16,"11 to 16",orders[[#This Row],[Quantity]]&gt;16,"Above 16")</f>
        <v>1 to 5</v>
      </c>
    </row>
    <row r="655" spans="1:16"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c r="P655" t="str" cm="1">
        <f t="array" ref="P655">_xlfn.IFS(orders[[#This Row],[Quantity]]&lt;=5,"1 to 5",orders[[#This Row],[Quantity]]&lt;=10,"6 to 10",orders[[#This Row],[Quantity]]&lt;=16,"11 to 16",orders[[#This Row],[Quantity]]&gt;16,"Above 16")</f>
        <v>1 to 5</v>
      </c>
    </row>
    <row r="656" spans="1:16"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c r="P656" t="str" cm="1">
        <f t="array" ref="P656">_xlfn.IFS(orders[[#This Row],[Quantity]]&lt;=5,"1 to 5",orders[[#This Row],[Quantity]]&lt;=10,"6 to 10",orders[[#This Row],[Quantity]]&lt;=16,"11 to 16",orders[[#This Row],[Quantity]]&gt;16,"Above 16")</f>
        <v>6 to 10</v>
      </c>
    </row>
    <row r="657" spans="1:16"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c r="P657" t="str" cm="1">
        <f t="array" ref="P657">_xlfn.IFS(orders[[#This Row],[Quantity]]&lt;=5,"1 to 5",orders[[#This Row],[Quantity]]&lt;=10,"6 to 10",orders[[#This Row],[Quantity]]&lt;=16,"11 to 16",orders[[#This Row],[Quantity]]&gt;16,"Above 16")</f>
        <v>1 to 5</v>
      </c>
    </row>
    <row r="658" spans="1:16"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c r="P658" t="str" cm="1">
        <f t="array" ref="P658">_xlfn.IFS(orders[[#This Row],[Quantity]]&lt;=5,"1 to 5",orders[[#This Row],[Quantity]]&lt;=10,"6 to 10",orders[[#This Row],[Quantity]]&lt;=16,"11 to 16",orders[[#This Row],[Quantity]]&gt;16,"Above 16")</f>
        <v>1 to 5</v>
      </c>
    </row>
    <row r="659" spans="1:16"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c r="P659" t="str" cm="1">
        <f t="array" ref="P659">_xlfn.IFS(orders[[#This Row],[Quantity]]&lt;=5,"1 to 5",orders[[#This Row],[Quantity]]&lt;=10,"6 to 10",orders[[#This Row],[Quantity]]&lt;=16,"11 to 16",orders[[#This Row],[Quantity]]&gt;16,"Above 16")</f>
        <v>1 to 5</v>
      </c>
    </row>
    <row r="660" spans="1:16"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c r="P660" t="str" cm="1">
        <f t="array" ref="P660">_xlfn.IFS(orders[[#This Row],[Quantity]]&lt;=5,"1 to 5",orders[[#This Row],[Quantity]]&lt;=10,"6 to 10",orders[[#This Row],[Quantity]]&lt;=16,"11 to 16",orders[[#This Row],[Quantity]]&gt;16,"Above 16")</f>
        <v>1 to 5</v>
      </c>
    </row>
    <row r="661" spans="1:16"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c r="P661" t="str" cm="1">
        <f t="array" ref="P661">_xlfn.IFS(orders[[#This Row],[Quantity]]&lt;=5,"1 to 5",orders[[#This Row],[Quantity]]&lt;=10,"6 to 10",orders[[#This Row],[Quantity]]&lt;=16,"11 to 16",orders[[#This Row],[Quantity]]&gt;16,"Above 16")</f>
        <v>1 to 5</v>
      </c>
    </row>
    <row r="662" spans="1:16"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c r="P662" t="str" cm="1">
        <f t="array" ref="P662">_xlfn.IFS(orders[[#This Row],[Quantity]]&lt;=5,"1 to 5",orders[[#This Row],[Quantity]]&lt;=10,"6 to 10",orders[[#This Row],[Quantity]]&lt;=16,"11 to 16",orders[[#This Row],[Quantity]]&gt;16,"Above 16")</f>
        <v>1 to 5</v>
      </c>
    </row>
    <row r="663" spans="1:16"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c r="P663" t="str" cm="1">
        <f t="array" ref="P663">_xlfn.IFS(orders[[#This Row],[Quantity]]&lt;=5,"1 to 5",orders[[#This Row],[Quantity]]&lt;=10,"6 to 10",orders[[#This Row],[Quantity]]&lt;=16,"11 to 16",orders[[#This Row],[Quantity]]&gt;16,"Above 16")</f>
        <v>1 to 5</v>
      </c>
    </row>
    <row r="664" spans="1:16"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c r="P664" t="str" cm="1">
        <f t="array" ref="P664">_xlfn.IFS(orders[[#This Row],[Quantity]]&lt;=5,"1 to 5",orders[[#This Row],[Quantity]]&lt;=10,"6 to 10",orders[[#This Row],[Quantity]]&lt;=16,"11 to 16",orders[[#This Row],[Quantity]]&gt;16,"Above 16")</f>
        <v>1 to 5</v>
      </c>
    </row>
    <row r="665" spans="1:16"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c r="P665" t="str" cm="1">
        <f t="array" ref="P665">_xlfn.IFS(orders[[#This Row],[Quantity]]&lt;=5,"1 to 5",orders[[#This Row],[Quantity]]&lt;=10,"6 to 10",orders[[#This Row],[Quantity]]&lt;=16,"11 to 16",orders[[#This Row],[Quantity]]&gt;16,"Above 16")</f>
        <v>6 to 10</v>
      </c>
    </row>
    <row r="666" spans="1:16"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c r="P666" t="str" cm="1">
        <f t="array" ref="P666">_xlfn.IFS(orders[[#This Row],[Quantity]]&lt;=5,"1 to 5",orders[[#This Row],[Quantity]]&lt;=10,"6 to 10",orders[[#This Row],[Quantity]]&lt;=16,"11 to 16",orders[[#This Row],[Quantity]]&gt;16,"Above 16")</f>
        <v>11 to 16</v>
      </c>
    </row>
    <row r="667" spans="1:16"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c r="P667" t="str" cm="1">
        <f t="array" ref="P667">_xlfn.IFS(orders[[#This Row],[Quantity]]&lt;=5,"1 to 5",orders[[#This Row],[Quantity]]&lt;=10,"6 to 10",orders[[#This Row],[Quantity]]&lt;=16,"11 to 16",orders[[#This Row],[Quantity]]&gt;16,"Above 16")</f>
        <v>Above 16</v>
      </c>
    </row>
    <row r="668" spans="1:16"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c r="P668" t="str" cm="1">
        <f t="array" ref="P668">_xlfn.IFS(orders[[#This Row],[Quantity]]&lt;=5,"1 to 5",orders[[#This Row],[Quantity]]&lt;=10,"6 to 10",orders[[#This Row],[Quantity]]&lt;=16,"11 to 16",orders[[#This Row],[Quantity]]&gt;16,"Above 16")</f>
        <v>6 to 10</v>
      </c>
    </row>
    <row r="669" spans="1:16"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c r="P669" t="str" cm="1">
        <f t="array" ref="P669">_xlfn.IFS(orders[[#This Row],[Quantity]]&lt;=5,"1 to 5",orders[[#This Row],[Quantity]]&lt;=10,"6 to 10",orders[[#This Row],[Quantity]]&lt;=16,"11 to 16",orders[[#This Row],[Quantity]]&gt;16,"Above 16")</f>
        <v>1 to 5</v>
      </c>
    </row>
    <row r="670" spans="1:16"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c r="P670" t="str" cm="1">
        <f t="array" ref="P670">_xlfn.IFS(orders[[#This Row],[Quantity]]&lt;=5,"1 to 5",orders[[#This Row],[Quantity]]&lt;=10,"6 to 10",orders[[#This Row],[Quantity]]&lt;=16,"11 to 16",orders[[#This Row],[Quantity]]&gt;16,"Above 16")</f>
        <v>6 to 10</v>
      </c>
    </row>
    <row r="671" spans="1:16"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c r="P671" t="str" cm="1">
        <f t="array" ref="P671">_xlfn.IFS(orders[[#This Row],[Quantity]]&lt;=5,"1 to 5",orders[[#This Row],[Quantity]]&lt;=10,"6 to 10",orders[[#This Row],[Quantity]]&lt;=16,"11 to 16",orders[[#This Row],[Quantity]]&gt;16,"Above 16")</f>
        <v>1 to 5</v>
      </c>
    </row>
    <row r="672" spans="1:16"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c r="P672" t="str" cm="1">
        <f t="array" ref="P672">_xlfn.IFS(orders[[#This Row],[Quantity]]&lt;=5,"1 to 5",orders[[#This Row],[Quantity]]&lt;=10,"6 to 10",orders[[#This Row],[Quantity]]&lt;=16,"11 to 16",orders[[#This Row],[Quantity]]&gt;16,"Above 16")</f>
        <v>1 to 5</v>
      </c>
    </row>
    <row r="673" spans="1:16"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c r="P673" t="str" cm="1">
        <f t="array" ref="P673">_xlfn.IFS(orders[[#This Row],[Quantity]]&lt;=5,"1 to 5",orders[[#This Row],[Quantity]]&lt;=10,"6 to 10",orders[[#This Row],[Quantity]]&lt;=16,"11 to 16",orders[[#This Row],[Quantity]]&gt;16,"Above 16")</f>
        <v>1 to 5</v>
      </c>
    </row>
    <row r="674" spans="1:16"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c r="P674" t="str" cm="1">
        <f t="array" ref="P674">_xlfn.IFS(orders[[#This Row],[Quantity]]&lt;=5,"1 to 5",orders[[#This Row],[Quantity]]&lt;=10,"6 to 10",orders[[#This Row],[Quantity]]&lt;=16,"11 to 16",orders[[#This Row],[Quantity]]&gt;16,"Above 16")</f>
        <v>1 to 5</v>
      </c>
    </row>
    <row r="675" spans="1:16"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c r="P675" t="str" cm="1">
        <f t="array" ref="P675">_xlfn.IFS(orders[[#This Row],[Quantity]]&lt;=5,"1 to 5",orders[[#This Row],[Quantity]]&lt;=10,"6 to 10",orders[[#This Row],[Quantity]]&lt;=16,"11 to 16",orders[[#This Row],[Quantity]]&gt;16,"Above 16")</f>
        <v>1 to 5</v>
      </c>
    </row>
    <row r="676" spans="1:16"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c r="P676" t="str" cm="1">
        <f t="array" ref="P676">_xlfn.IFS(orders[[#This Row],[Quantity]]&lt;=5,"1 to 5",orders[[#This Row],[Quantity]]&lt;=10,"6 to 10",orders[[#This Row],[Quantity]]&lt;=16,"11 to 16",orders[[#This Row],[Quantity]]&gt;16,"Above 16")</f>
        <v>1 to 5</v>
      </c>
    </row>
    <row r="677" spans="1:16"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c r="P677" t="str" cm="1">
        <f t="array" ref="P677">_xlfn.IFS(orders[[#This Row],[Quantity]]&lt;=5,"1 to 5",orders[[#This Row],[Quantity]]&lt;=10,"6 to 10",orders[[#This Row],[Quantity]]&lt;=16,"11 to 16",orders[[#This Row],[Quantity]]&gt;16,"Above 16")</f>
        <v>1 to 5</v>
      </c>
    </row>
    <row r="678" spans="1:16"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c r="P678" t="str" cm="1">
        <f t="array" ref="P678">_xlfn.IFS(orders[[#This Row],[Quantity]]&lt;=5,"1 to 5",orders[[#This Row],[Quantity]]&lt;=10,"6 to 10",orders[[#This Row],[Quantity]]&lt;=16,"11 to 16",orders[[#This Row],[Quantity]]&gt;16,"Above 16")</f>
        <v>1 to 5</v>
      </c>
    </row>
    <row r="679" spans="1:16"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c r="P679" t="str" cm="1">
        <f t="array" ref="P679">_xlfn.IFS(orders[[#This Row],[Quantity]]&lt;=5,"1 to 5",orders[[#This Row],[Quantity]]&lt;=10,"6 to 10",orders[[#This Row],[Quantity]]&lt;=16,"11 to 16",orders[[#This Row],[Quantity]]&gt;16,"Above 16")</f>
        <v>1 to 5</v>
      </c>
    </row>
    <row r="680" spans="1:16"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c r="P680" t="str" cm="1">
        <f t="array" ref="P680">_xlfn.IFS(orders[[#This Row],[Quantity]]&lt;=5,"1 to 5",orders[[#This Row],[Quantity]]&lt;=10,"6 to 10",orders[[#This Row],[Quantity]]&lt;=16,"11 to 16",orders[[#This Row],[Quantity]]&gt;16,"Above 16")</f>
        <v>1 to 5</v>
      </c>
    </row>
    <row r="681" spans="1:16"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c r="P681" t="str" cm="1">
        <f t="array" ref="P681">_xlfn.IFS(orders[[#This Row],[Quantity]]&lt;=5,"1 to 5",orders[[#This Row],[Quantity]]&lt;=10,"6 to 10",orders[[#This Row],[Quantity]]&lt;=16,"11 to 16",orders[[#This Row],[Quantity]]&gt;16,"Above 16")</f>
        <v>1 to 5</v>
      </c>
    </row>
    <row r="682" spans="1:16"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c r="P682" t="str" cm="1">
        <f t="array" ref="P682">_xlfn.IFS(orders[[#This Row],[Quantity]]&lt;=5,"1 to 5",orders[[#This Row],[Quantity]]&lt;=10,"6 to 10",orders[[#This Row],[Quantity]]&lt;=16,"11 to 16",orders[[#This Row],[Quantity]]&gt;16,"Above 16")</f>
        <v>1 to 5</v>
      </c>
    </row>
    <row r="683" spans="1:16"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c r="P683" t="str" cm="1">
        <f t="array" ref="P683">_xlfn.IFS(orders[[#This Row],[Quantity]]&lt;=5,"1 to 5",orders[[#This Row],[Quantity]]&lt;=10,"6 to 10",orders[[#This Row],[Quantity]]&lt;=16,"11 to 16",orders[[#This Row],[Quantity]]&gt;16,"Above 16")</f>
        <v>1 to 5</v>
      </c>
    </row>
    <row r="684" spans="1:16"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c r="P684" t="str" cm="1">
        <f t="array" ref="P684">_xlfn.IFS(orders[[#This Row],[Quantity]]&lt;=5,"1 to 5",orders[[#This Row],[Quantity]]&lt;=10,"6 to 10",orders[[#This Row],[Quantity]]&lt;=16,"11 to 16",orders[[#This Row],[Quantity]]&gt;16,"Above 16")</f>
        <v>6 to 10</v>
      </c>
    </row>
    <row r="685" spans="1:16"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c r="P685" t="str" cm="1">
        <f t="array" ref="P685">_xlfn.IFS(orders[[#This Row],[Quantity]]&lt;=5,"1 to 5",orders[[#This Row],[Quantity]]&lt;=10,"6 to 10",orders[[#This Row],[Quantity]]&lt;=16,"11 to 16",orders[[#This Row],[Quantity]]&gt;16,"Above 16")</f>
        <v>1 to 5</v>
      </c>
    </row>
    <row r="686" spans="1:16"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c r="P686" t="str" cm="1">
        <f t="array" ref="P686">_xlfn.IFS(orders[[#This Row],[Quantity]]&lt;=5,"1 to 5",orders[[#This Row],[Quantity]]&lt;=10,"6 to 10",orders[[#This Row],[Quantity]]&lt;=16,"11 to 16",orders[[#This Row],[Quantity]]&gt;16,"Above 16")</f>
        <v>1 to 5</v>
      </c>
    </row>
    <row r="687" spans="1:16"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c r="P687" t="str" cm="1">
        <f t="array" ref="P687">_xlfn.IFS(orders[[#This Row],[Quantity]]&lt;=5,"1 to 5",orders[[#This Row],[Quantity]]&lt;=10,"6 to 10",orders[[#This Row],[Quantity]]&lt;=16,"11 to 16",orders[[#This Row],[Quantity]]&gt;16,"Above 16")</f>
        <v>6 to 10</v>
      </c>
    </row>
    <row r="688" spans="1:16"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c r="P688" t="str" cm="1">
        <f t="array" ref="P688">_xlfn.IFS(orders[[#This Row],[Quantity]]&lt;=5,"1 to 5",orders[[#This Row],[Quantity]]&lt;=10,"6 to 10",orders[[#This Row],[Quantity]]&lt;=16,"11 to 16",orders[[#This Row],[Quantity]]&gt;16,"Above 16")</f>
        <v>6 to 10</v>
      </c>
    </row>
    <row r="689" spans="1:16"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c r="P689" t="str" cm="1">
        <f t="array" ref="P689">_xlfn.IFS(orders[[#This Row],[Quantity]]&lt;=5,"1 to 5",orders[[#This Row],[Quantity]]&lt;=10,"6 to 10",orders[[#This Row],[Quantity]]&lt;=16,"11 to 16",orders[[#This Row],[Quantity]]&gt;16,"Above 16")</f>
        <v>1 to 5</v>
      </c>
    </row>
    <row r="690" spans="1:16"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c r="P690" t="str" cm="1">
        <f t="array" ref="P690">_xlfn.IFS(orders[[#This Row],[Quantity]]&lt;=5,"1 to 5",orders[[#This Row],[Quantity]]&lt;=10,"6 to 10",orders[[#This Row],[Quantity]]&lt;=16,"11 to 16",orders[[#This Row],[Quantity]]&gt;16,"Above 16")</f>
        <v>1 to 5</v>
      </c>
    </row>
    <row r="691" spans="1:16"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c r="P691" t="str" cm="1">
        <f t="array" ref="P691">_xlfn.IFS(orders[[#This Row],[Quantity]]&lt;=5,"1 to 5",orders[[#This Row],[Quantity]]&lt;=10,"6 to 10",orders[[#This Row],[Quantity]]&lt;=16,"11 to 16",orders[[#This Row],[Quantity]]&gt;16,"Above 16")</f>
        <v>1 to 5</v>
      </c>
    </row>
    <row r="692" spans="1:16"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c r="P692" t="str" cm="1">
        <f t="array" ref="P692">_xlfn.IFS(orders[[#This Row],[Quantity]]&lt;=5,"1 to 5",orders[[#This Row],[Quantity]]&lt;=10,"6 to 10",orders[[#This Row],[Quantity]]&lt;=16,"11 to 16",orders[[#This Row],[Quantity]]&gt;16,"Above 16")</f>
        <v>1 to 5</v>
      </c>
    </row>
    <row r="693" spans="1:16"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c r="P693" t="str" cm="1">
        <f t="array" ref="P693">_xlfn.IFS(orders[[#This Row],[Quantity]]&lt;=5,"1 to 5",orders[[#This Row],[Quantity]]&lt;=10,"6 to 10",orders[[#This Row],[Quantity]]&lt;=16,"11 to 16",orders[[#This Row],[Quantity]]&gt;16,"Above 16")</f>
        <v>1 to 5</v>
      </c>
    </row>
    <row r="694" spans="1:16"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c r="P694" t="str" cm="1">
        <f t="array" ref="P694">_xlfn.IFS(orders[[#This Row],[Quantity]]&lt;=5,"1 to 5",orders[[#This Row],[Quantity]]&lt;=10,"6 to 10",orders[[#This Row],[Quantity]]&lt;=16,"11 to 16",orders[[#This Row],[Quantity]]&gt;16,"Above 16")</f>
        <v>1 to 5</v>
      </c>
    </row>
    <row r="695" spans="1:16"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c r="P695" t="str" cm="1">
        <f t="array" ref="P695">_xlfn.IFS(orders[[#This Row],[Quantity]]&lt;=5,"1 to 5",orders[[#This Row],[Quantity]]&lt;=10,"6 to 10",orders[[#This Row],[Quantity]]&lt;=16,"11 to 16",orders[[#This Row],[Quantity]]&gt;16,"Above 16")</f>
        <v>1 to 5</v>
      </c>
    </row>
    <row r="696" spans="1:16"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c r="P696" t="str" cm="1">
        <f t="array" ref="P696">_xlfn.IFS(orders[[#This Row],[Quantity]]&lt;=5,"1 to 5",orders[[#This Row],[Quantity]]&lt;=10,"6 to 10",orders[[#This Row],[Quantity]]&lt;=16,"11 to 16",orders[[#This Row],[Quantity]]&gt;16,"Above 16")</f>
        <v>1 to 5</v>
      </c>
    </row>
    <row r="697" spans="1:16"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c r="P697" t="str" cm="1">
        <f t="array" ref="P697">_xlfn.IFS(orders[[#This Row],[Quantity]]&lt;=5,"1 to 5",orders[[#This Row],[Quantity]]&lt;=10,"6 to 10",orders[[#This Row],[Quantity]]&lt;=16,"11 to 16",orders[[#This Row],[Quantity]]&gt;16,"Above 16")</f>
        <v>1 to 5</v>
      </c>
    </row>
    <row r="698" spans="1:16"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c r="P698" t="str" cm="1">
        <f t="array" ref="P698">_xlfn.IFS(orders[[#This Row],[Quantity]]&lt;=5,"1 to 5",orders[[#This Row],[Quantity]]&lt;=10,"6 to 10",orders[[#This Row],[Quantity]]&lt;=16,"11 to 16",orders[[#This Row],[Quantity]]&gt;16,"Above 16")</f>
        <v>1 to 5</v>
      </c>
    </row>
    <row r="699" spans="1:16"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c r="P699" t="str" cm="1">
        <f t="array" ref="P699">_xlfn.IFS(orders[[#This Row],[Quantity]]&lt;=5,"1 to 5",orders[[#This Row],[Quantity]]&lt;=10,"6 to 10",orders[[#This Row],[Quantity]]&lt;=16,"11 to 16",orders[[#This Row],[Quantity]]&gt;16,"Above 16")</f>
        <v>1 to 5</v>
      </c>
    </row>
    <row r="700" spans="1:16"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c r="P700" t="str" cm="1">
        <f t="array" ref="P700">_xlfn.IFS(orders[[#This Row],[Quantity]]&lt;=5,"1 to 5",orders[[#This Row],[Quantity]]&lt;=10,"6 to 10",orders[[#This Row],[Quantity]]&lt;=16,"11 to 16",orders[[#This Row],[Quantity]]&gt;16,"Above 16")</f>
        <v>1 to 5</v>
      </c>
    </row>
    <row r="701" spans="1:16"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c r="P701" t="str" cm="1">
        <f t="array" ref="P701">_xlfn.IFS(orders[[#This Row],[Quantity]]&lt;=5,"1 to 5",orders[[#This Row],[Quantity]]&lt;=10,"6 to 10",orders[[#This Row],[Quantity]]&lt;=16,"11 to 16",orders[[#This Row],[Quantity]]&gt;16,"Above 16")</f>
        <v>1 to 5</v>
      </c>
    </row>
    <row r="702" spans="1:16"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c r="P702" t="str" cm="1">
        <f t="array" ref="P702">_xlfn.IFS(orders[[#This Row],[Quantity]]&lt;=5,"1 to 5",orders[[#This Row],[Quantity]]&lt;=10,"6 to 10",orders[[#This Row],[Quantity]]&lt;=16,"11 to 16",orders[[#This Row],[Quantity]]&gt;16,"Above 16")</f>
        <v>1 to 5</v>
      </c>
    </row>
    <row r="703" spans="1:16"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c r="P703" t="str" cm="1">
        <f t="array" ref="P703">_xlfn.IFS(orders[[#This Row],[Quantity]]&lt;=5,"1 to 5",orders[[#This Row],[Quantity]]&lt;=10,"6 to 10",orders[[#This Row],[Quantity]]&lt;=16,"11 to 16",orders[[#This Row],[Quantity]]&gt;16,"Above 16")</f>
        <v>1 to 5</v>
      </c>
    </row>
    <row r="704" spans="1:16"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c r="P704" t="str" cm="1">
        <f t="array" ref="P704">_xlfn.IFS(orders[[#This Row],[Quantity]]&lt;=5,"1 to 5",orders[[#This Row],[Quantity]]&lt;=10,"6 to 10",orders[[#This Row],[Quantity]]&lt;=16,"11 to 16",orders[[#This Row],[Quantity]]&gt;16,"Above 16")</f>
        <v>1 to 5</v>
      </c>
    </row>
    <row r="705" spans="1:16"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c r="P705" t="str" cm="1">
        <f t="array" ref="P705">_xlfn.IFS(orders[[#This Row],[Quantity]]&lt;=5,"1 to 5",orders[[#This Row],[Quantity]]&lt;=10,"6 to 10",orders[[#This Row],[Quantity]]&lt;=16,"11 to 16",orders[[#This Row],[Quantity]]&gt;16,"Above 16")</f>
        <v>1 to 5</v>
      </c>
    </row>
    <row r="706" spans="1:16"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c r="P706" t="str" cm="1">
        <f t="array" ref="P706">_xlfn.IFS(orders[[#This Row],[Quantity]]&lt;=5,"1 to 5",orders[[#This Row],[Quantity]]&lt;=10,"6 to 10",orders[[#This Row],[Quantity]]&lt;=16,"11 to 16",orders[[#This Row],[Quantity]]&gt;16,"Above 16")</f>
        <v>1 to 5</v>
      </c>
    </row>
    <row r="707" spans="1:16"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c r="P707" t="str" cm="1">
        <f t="array" ref="P707">_xlfn.IFS(orders[[#This Row],[Quantity]]&lt;=5,"1 to 5",orders[[#This Row],[Quantity]]&lt;=10,"6 to 10",orders[[#This Row],[Quantity]]&lt;=16,"11 to 16",orders[[#This Row],[Quantity]]&gt;16,"Above 16")</f>
        <v>6 to 10</v>
      </c>
    </row>
    <row r="708" spans="1:16"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c r="P708" t="str" cm="1">
        <f t="array" ref="P708">_xlfn.IFS(orders[[#This Row],[Quantity]]&lt;=5,"1 to 5",orders[[#This Row],[Quantity]]&lt;=10,"6 to 10",orders[[#This Row],[Quantity]]&lt;=16,"11 to 16",orders[[#This Row],[Quantity]]&gt;16,"Above 16")</f>
        <v>1 to 5</v>
      </c>
    </row>
    <row r="709" spans="1:16"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c r="P709" t="str" cm="1">
        <f t="array" ref="P709">_xlfn.IFS(orders[[#This Row],[Quantity]]&lt;=5,"1 to 5",orders[[#This Row],[Quantity]]&lt;=10,"6 to 10",orders[[#This Row],[Quantity]]&lt;=16,"11 to 16",orders[[#This Row],[Quantity]]&gt;16,"Above 16")</f>
        <v>1 to 5</v>
      </c>
    </row>
    <row r="710" spans="1:16"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c r="P710" t="str" cm="1">
        <f t="array" ref="P710">_xlfn.IFS(orders[[#This Row],[Quantity]]&lt;=5,"1 to 5",orders[[#This Row],[Quantity]]&lt;=10,"6 to 10",orders[[#This Row],[Quantity]]&lt;=16,"11 to 16",orders[[#This Row],[Quantity]]&gt;16,"Above 16")</f>
        <v>6 to 10</v>
      </c>
    </row>
    <row r="711" spans="1:16"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c r="P711" t="str" cm="1">
        <f t="array" ref="P711">_xlfn.IFS(orders[[#This Row],[Quantity]]&lt;=5,"1 to 5",orders[[#This Row],[Quantity]]&lt;=10,"6 to 10",orders[[#This Row],[Quantity]]&lt;=16,"11 to 16",orders[[#This Row],[Quantity]]&gt;16,"Above 16")</f>
        <v>1 to 5</v>
      </c>
    </row>
    <row r="712" spans="1:16"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c r="P712" t="str" cm="1">
        <f t="array" ref="P712">_xlfn.IFS(orders[[#This Row],[Quantity]]&lt;=5,"1 to 5",orders[[#This Row],[Quantity]]&lt;=10,"6 to 10",orders[[#This Row],[Quantity]]&lt;=16,"11 to 16",orders[[#This Row],[Quantity]]&gt;16,"Above 16")</f>
        <v>1 to 5</v>
      </c>
    </row>
    <row r="713" spans="1:16"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c r="P713" t="str" cm="1">
        <f t="array" ref="P713">_xlfn.IFS(orders[[#This Row],[Quantity]]&lt;=5,"1 to 5",orders[[#This Row],[Quantity]]&lt;=10,"6 to 10",orders[[#This Row],[Quantity]]&lt;=16,"11 to 16",orders[[#This Row],[Quantity]]&gt;16,"Above 16")</f>
        <v>6 to 10</v>
      </c>
    </row>
    <row r="714" spans="1:16"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c r="P714" t="str" cm="1">
        <f t="array" ref="P714">_xlfn.IFS(orders[[#This Row],[Quantity]]&lt;=5,"1 to 5",orders[[#This Row],[Quantity]]&lt;=10,"6 to 10",orders[[#This Row],[Quantity]]&lt;=16,"11 to 16",orders[[#This Row],[Quantity]]&gt;16,"Above 16")</f>
        <v>1 to 5</v>
      </c>
    </row>
    <row r="715" spans="1:16"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c r="P715" t="str" cm="1">
        <f t="array" ref="P715">_xlfn.IFS(orders[[#This Row],[Quantity]]&lt;=5,"1 to 5",orders[[#This Row],[Quantity]]&lt;=10,"6 to 10",orders[[#This Row],[Quantity]]&lt;=16,"11 to 16",orders[[#This Row],[Quantity]]&gt;16,"Above 16")</f>
        <v>1 to 5</v>
      </c>
    </row>
    <row r="716" spans="1:16"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c r="P716" t="str" cm="1">
        <f t="array" ref="P716">_xlfn.IFS(orders[[#This Row],[Quantity]]&lt;=5,"1 to 5",orders[[#This Row],[Quantity]]&lt;=10,"6 to 10",orders[[#This Row],[Quantity]]&lt;=16,"11 to 16",orders[[#This Row],[Quantity]]&gt;16,"Above 16")</f>
        <v>1 to 5</v>
      </c>
    </row>
    <row r="717" spans="1:16"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c r="P717" t="str" cm="1">
        <f t="array" ref="P717">_xlfn.IFS(orders[[#This Row],[Quantity]]&lt;=5,"1 to 5",orders[[#This Row],[Quantity]]&lt;=10,"6 to 10",orders[[#This Row],[Quantity]]&lt;=16,"11 to 16",orders[[#This Row],[Quantity]]&gt;16,"Above 16")</f>
        <v>1 to 5</v>
      </c>
    </row>
    <row r="718" spans="1:16"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c r="P718" t="str" cm="1">
        <f t="array" ref="P718">_xlfn.IFS(orders[[#This Row],[Quantity]]&lt;=5,"1 to 5",orders[[#This Row],[Quantity]]&lt;=10,"6 to 10",orders[[#This Row],[Quantity]]&lt;=16,"11 to 16",orders[[#This Row],[Quantity]]&gt;16,"Above 16")</f>
        <v>1 to 5</v>
      </c>
    </row>
    <row r="719" spans="1:16"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c r="P719" t="str" cm="1">
        <f t="array" ref="P719">_xlfn.IFS(orders[[#This Row],[Quantity]]&lt;=5,"1 to 5",orders[[#This Row],[Quantity]]&lt;=10,"6 to 10",orders[[#This Row],[Quantity]]&lt;=16,"11 to 16",orders[[#This Row],[Quantity]]&gt;16,"Above 16")</f>
        <v>1 to 5</v>
      </c>
    </row>
    <row r="720" spans="1:16"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c r="P720" t="str" cm="1">
        <f t="array" ref="P720">_xlfn.IFS(orders[[#This Row],[Quantity]]&lt;=5,"1 to 5",orders[[#This Row],[Quantity]]&lt;=10,"6 to 10",orders[[#This Row],[Quantity]]&lt;=16,"11 to 16",orders[[#This Row],[Quantity]]&gt;16,"Above 16")</f>
        <v>6 to 10</v>
      </c>
    </row>
    <row r="721" spans="1:16"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c r="P721" t="str" cm="1">
        <f t="array" ref="P721">_xlfn.IFS(orders[[#This Row],[Quantity]]&lt;=5,"1 to 5",orders[[#This Row],[Quantity]]&lt;=10,"6 to 10",orders[[#This Row],[Quantity]]&lt;=16,"11 to 16",orders[[#This Row],[Quantity]]&gt;16,"Above 16")</f>
        <v>11 to 16</v>
      </c>
    </row>
    <row r="722" spans="1:16"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c r="P722" t="str" cm="1">
        <f t="array" ref="P722">_xlfn.IFS(orders[[#This Row],[Quantity]]&lt;=5,"1 to 5",orders[[#This Row],[Quantity]]&lt;=10,"6 to 10",orders[[#This Row],[Quantity]]&lt;=16,"11 to 16",orders[[#This Row],[Quantity]]&gt;16,"Above 16")</f>
        <v>1 to 5</v>
      </c>
    </row>
    <row r="723" spans="1:16"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c r="P723" t="str" cm="1">
        <f t="array" ref="P723">_xlfn.IFS(orders[[#This Row],[Quantity]]&lt;=5,"1 to 5",orders[[#This Row],[Quantity]]&lt;=10,"6 to 10",orders[[#This Row],[Quantity]]&lt;=16,"11 to 16",orders[[#This Row],[Quantity]]&gt;16,"Above 16")</f>
        <v>6 to 10</v>
      </c>
    </row>
    <row r="724" spans="1:16"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c r="P724" t="str" cm="1">
        <f t="array" ref="P724">_xlfn.IFS(orders[[#This Row],[Quantity]]&lt;=5,"1 to 5",orders[[#This Row],[Quantity]]&lt;=10,"6 to 10",orders[[#This Row],[Quantity]]&lt;=16,"11 to 16",orders[[#This Row],[Quantity]]&gt;16,"Above 16")</f>
        <v>1 to 5</v>
      </c>
    </row>
    <row r="725" spans="1:16"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c r="P725" t="str" cm="1">
        <f t="array" ref="P725">_xlfn.IFS(orders[[#This Row],[Quantity]]&lt;=5,"1 to 5",orders[[#This Row],[Quantity]]&lt;=10,"6 to 10",orders[[#This Row],[Quantity]]&lt;=16,"11 to 16",orders[[#This Row],[Quantity]]&gt;16,"Above 16")</f>
        <v>1 to 5</v>
      </c>
    </row>
    <row r="726" spans="1:16"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c r="P726" t="str" cm="1">
        <f t="array" ref="P726">_xlfn.IFS(orders[[#This Row],[Quantity]]&lt;=5,"1 to 5",orders[[#This Row],[Quantity]]&lt;=10,"6 to 10",orders[[#This Row],[Quantity]]&lt;=16,"11 to 16",orders[[#This Row],[Quantity]]&gt;16,"Above 16")</f>
        <v>6 to 10</v>
      </c>
    </row>
    <row r="727" spans="1:16"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c r="P727" t="str" cm="1">
        <f t="array" ref="P727">_xlfn.IFS(orders[[#This Row],[Quantity]]&lt;=5,"1 to 5",orders[[#This Row],[Quantity]]&lt;=10,"6 to 10",orders[[#This Row],[Quantity]]&lt;=16,"11 to 16",orders[[#This Row],[Quantity]]&gt;16,"Above 16")</f>
        <v>1 to 5</v>
      </c>
    </row>
    <row r="728" spans="1:16"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c r="P728" t="str" cm="1">
        <f t="array" ref="P728">_xlfn.IFS(orders[[#This Row],[Quantity]]&lt;=5,"1 to 5",orders[[#This Row],[Quantity]]&lt;=10,"6 to 10",orders[[#This Row],[Quantity]]&lt;=16,"11 to 16",orders[[#This Row],[Quantity]]&gt;16,"Above 16")</f>
        <v>6 to 10</v>
      </c>
    </row>
    <row r="729" spans="1:16"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c r="P729" t="str" cm="1">
        <f t="array" ref="P729">_xlfn.IFS(orders[[#This Row],[Quantity]]&lt;=5,"1 to 5",orders[[#This Row],[Quantity]]&lt;=10,"6 to 10",orders[[#This Row],[Quantity]]&lt;=16,"11 to 16",orders[[#This Row],[Quantity]]&gt;16,"Above 16")</f>
        <v>11 to 16</v>
      </c>
    </row>
    <row r="730" spans="1:16"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c r="P730" t="str" cm="1">
        <f t="array" ref="P730">_xlfn.IFS(orders[[#This Row],[Quantity]]&lt;=5,"1 to 5",orders[[#This Row],[Quantity]]&lt;=10,"6 to 10",orders[[#This Row],[Quantity]]&lt;=16,"11 to 16",orders[[#This Row],[Quantity]]&gt;16,"Above 16")</f>
        <v>6 to 10</v>
      </c>
    </row>
    <row r="731" spans="1:16"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c r="P731" t="str" cm="1">
        <f t="array" ref="P731">_xlfn.IFS(orders[[#This Row],[Quantity]]&lt;=5,"1 to 5",orders[[#This Row],[Quantity]]&lt;=10,"6 to 10",orders[[#This Row],[Quantity]]&lt;=16,"11 to 16",orders[[#This Row],[Quantity]]&gt;16,"Above 16")</f>
        <v>6 to 10</v>
      </c>
    </row>
    <row r="732" spans="1:16"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c r="P732" t="str" cm="1">
        <f t="array" ref="P732">_xlfn.IFS(orders[[#This Row],[Quantity]]&lt;=5,"1 to 5",orders[[#This Row],[Quantity]]&lt;=10,"6 to 10",orders[[#This Row],[Quantity]]&lt;=16,"11 to 16",orders[[#This Row],[Quantity]]&gt;16,"Above 16")</f>
        <v>1 to 5</v>
      </c>
    </row>
    <row r="733" spans="1:16"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c r="P733" t="str" cm="1">
        <f t="array" ref="P733">_xlfn.IFS(orders[[#This Row],[Quantity]]&lt;=5,"1 to 5",orders[[#This Row],[Quantity]]&lt;=10,"6 to 10",orders[[#This Row],[Quantity]]&lt;=16,"11 to 16",orders[[#This Row],[Quantity]]&gt;16,"Above 16")</f>
        <v>1 to 5</v>
      </c>
    </row>
    <row r="734" spans="1:16"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c r="P734" t="str" cm="1">
        <f t="array" ref="P734">_xlfn.IFS(orders[[#This Row],[Quantity]]&lt;=5,"1 to 5",orders[[#This Row],[Quantity]]&lt;=10,"6 to 10",orders[[#This Row],[Quantity]]&lt;=16,"11 to 16",orders[[#This Row],[Quantity]]&gt;16,"Above 16")</f>
        <v>1 to 5</v>
      </c>
    </row>
    <row r="735" spans="1:16"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c r="P735" t="str" cm="1">
        <f t="array" ref="P735">_xlfn.IFS(orders[[#This Row],[Quantity]]&lt;=5,"1 to 5",orders[[#This Row],[Quantity]]&lt;=10,"6 to 10",orders[[#This Row],[Quantity]]&lt;=16,"11 to 16",orders[[#This Row],[Quantity]]&gt;16,"Above 16")</f>
        <v>6 to 10</v>
      </c>
    </row>
    <row r="736" spans="1:16"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c r="P736" t="str" cm="1">
        <f t="array" ref="P736">_xlfn.IFS(orders[[#This Row],[Quantity]]&lt;=5,"1 to 5",orders[[#This Row],[Quantity]]&lt;=10,"6 to 10",orders[[#This Row],[Quantity]]&lt;=16,"11 to 16",orders[[#This Row],[Quantity]]&gt;16,"Above 16")</f>
        <v>1 to 5</v>
      </c>
    </row>
    <row r="737" spans="1:16"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c r="P737" t="str" cm="1">
        <f t="array" ref="P737">_xlfn.IFS(orders[[#This Row],[Quantity]]&lt;=5,"1 to 5",orders[[#This Row],[Quantity]]&lt;=10,"6 to 10",orders[[#This Row],[Quantity]]&lt;=16,"11 to 16",orders[[#This Row],[Quantity]]&gt;16,"Above 16")</f>
        <v>1 to 5</v>
      </c>
    </row>
    <row r="738" spans="1:16"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c r="P738" t="str" cm="1">
        <f t="array" ref="P738">_xlfn.IFS(orders[[#This Row],[Quantity]]&lt;=5,"1 to 5",orders[[#This Row],[Quantity]]&lt;=10,"6 to 10",orders[[#This Row],[Quantity]]&lt;=16,"11 to 16",orders[[#This Row],[Quantity]]&gt;16,"Above 16")</f>
        <v>1 to 5</v>
      </c>
    </row>
    <row r="739" spans="1:16"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c r="P739" t="str" cm="1">
        <f t="array" ref="P739">_xlfn.IFS(orders[[#This Row],[Quantity]]&lt;=5,"1 to 5",orders[[#This Row],[Quantity]]&lt;=10,"6 to 10",orders[[#This Row],[Quantity]]&lt;=16,"11 to 16",orders[[#This Row],[Quantity]]&gt;16,"Above 16")</f>
        <v>11 to 16</v>
      </c>
    </row>
    <row r="740" spans="1:16"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c r="P740" t="str" cm="1">
        <f t="array" ref="P740">_xlfn.IFS(orders[[#This Row],[Quantity]]&lt;=5,"1 to 5",orders[[#This Row],[Quantity]]&lt;=10,"6 to 10",orders[[#This Row],[Quantity]]&lt;=16,"11 to 16",orders[[#This Row],[Quantity]]&gt;16,"Above 16")</f>
        <v>Above 16</v>
      </c>
    </row>
    <row r="741" spans="1:16"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c r="P741" t="str" cm="1">
        <f t="array" ref="P741">_xlfn.IFS(orders[[#This Row],[Quantity]]&lt;=5,"1 to 5",orders[[#This Row],[Quantity]]&lt;=10,"6 to 10",orders[[#This Row],[Quantity]]&lt;=16,"11 to 16",orders[[#This Row],[Quantity]]&gt;16,"Above 16")</f>
        <v>6 to 10</v>
      </c>
    </row>
    <row r="742" spans="1:16"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c r="P742" t="str" cm="1">
        <f t="array" ref="P742">_xlfn.IFS(orders[[#This Row],[Quantity]]&lt;=5,"1 to 5",orders[[#This Row],[Quantity]]&lt;=10,"6 to 10",orders[[#This Row],[Quantity]]&lt;=16,"11 to 16",orders[[#This Row],[Quantity]]&gt;16,"Above 16")</f>
        <v>Above 16</v>
      </c>
    </row>
    <row r="743" spans="1:16"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c r="P743" t="str" cm="1">
        <f t="array" ref="P743">_xlfn.IFS(orders[[#This Row],[Quantity]]&lt;=5,"1 to 5",orders[[#This Row],[Quantity]]&lt;=10,"6 to 10",orders[[#This Row],[Quantity]]&lt;=16,"11 to 16",orders[[#This Row],[Quantity]]&gt;16,"Above 16")</f>
        <v>1 to 5</v>
      </c>
    </row>
    <row r="744" spans="1:16"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c r="P744" t="str" cm="1">
        <f t="array" ref="P744">_xlfn.IFS(orders[[#This Row],[Quantity]]&lt;=5,"1 to 5",orders[[#This Row],[Quantity]]&lt;=10,"6 to 10",orders[[#This Row],[Quantity]]&lt;=16,"11 to 16",orders[[#This Row],[Quantity]]&gt;16,"Above 16")</f>
        <v>1 to 5</v>
      </c>
    </row>
    <row r="745" spans="1:16"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c r="P745" t="str" cm="1">
        <f t="array" ref="P745">_xlfn.IFS(orders[[#This Row],[Quantity]]&lt;=5,"1 to 5",orders[[#This Row],[Quantity]]&lt;=10,"6 to 10",orders[[#This Row],[Quantity]]&lt;=16,"11 to 16",orders[[#This Row],[Quantity]]&gt;16,"Above 16")</f>
        <v>1 to 5</v>
      </c>
    </row>
    <row r="746" spans="1:16"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c r="P746" t="str" cm="1">
        <f t="array" ref="P746">_xlfn.IFS(orders[[#This Row],[Quantity]]&lt;=5,"1 to 5",orders[[#This Row],[Quantity]]&lt;=10,"6 to 10",orders[[#This Row],[Quantity]]&lt;=16,"11 to 16",orders[[#This Row],[Quantity]]&gt;16,"Above 16")</f>
        <v>1 to 5</v>
      </c>
    </row>
    <row r="747" spans="1:16"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c r="P747" t="str" cm="1">
        <f t="array" ref="P747">_xlfn.IFS(orders[[#This Row],[Quantity]]&lt;=5,"1 to 5",orders[[#This Row],[Quantity]]&lt;=10,"6 to 10",orders[[#This Row],[Quantity]]&lt;=16,"11 to 16",orders[[#This Row],[Quantity]]&gt;16,"Above 16")</f>
        <v>1 to 5</v>
      </c>
    </row>
    <row r="748" spans="1:16"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c r="P748" t="str" cm="1">
        <f t="array" ref="P748">_xlfn.IFS(orders[[#This Row],[Quantity]]&lt;=5,"1 to 5",orders[[#This Row],[Quantity]]&lt;=10,"6 to 10",orders[[#This Row],[Quantity]]&lt;=16,"11 to 16",orders[[#This Row],[Quantity]]&gt;16,"Above 16")</f>
        <v>6 to 10</v>
      </c>
    </row>
    <row r="749" spans="1:16"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c r="P749" t="str" cm="1">
        <f t="array" ref="P749">_xlfn.IFS(orders[[#This Row],[Quantity]]&lt;=5,"1 to 5",orders[[#This Row],[Quantity]]&lt;=10,"6 to 10",orders[[#This Row],[Quantity]]&lt;=16,"11 to 16",orders[[#This Row],[Quantity]]&gt;16,"Above 16")</f>
        <v>1 to 5</v>
      </c>
    </row>
    <row r="750" spans="1:16"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c r="P750" t="str" cm="1">
        <f t="array" ref="P750">_xlfn.IFS(orders[[#This Row],[Quantity]]&lt;=5,"1 to 5",orders[[#This Row],[Quantity]]&lt;=10,"6 to 10",orders[[#This Row],[Quantity]]&lt;=16,"11 to 16",orders[[#This Row],[Quantity]]&gt;16,"Above 16")</f>
        <v>11 to 16</v>
      </c>
    </row>
    <row r="751" spans="1:16"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c r="P751" t="str" cm="1">
        <f t="array" ref="P751">_xlfn.IFS(orders[[#This Row],[Quantity]]&lt;=5,"1 to 5",orders[[#This Row],[Quantity]]&lt;=10,"6 to 10",orders[[#This Row],[Quantity]]&lt;=16,"11 to 16",orders[[#This Row],[Quantity]]&gt;16,"Above 16")</f>
        <v>1 to 5</v>
      </c>
    </row>
    <row r="752" spans="1:16"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c r="P752" t="str" cm="1">
        <f t="array" ref="P752">_xlfn.IFS(orders[[#This Row],[Quantity]]&lt;=5,"1 to 5",orders[[#This Row],[Quantity]]&lt;=10,"6 to 10",orders[[#This Row],[Quantity]]&lt;=16,"11 to 16",orders[[#This Row],[Quantity]]&gt;16,"Above 16")</f>
        <v>1 to 5</v>
      </c>
    </row>
    <row r="753" spans="1:16"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c r="P753" t="str" cm="1">
        <f t="array" ref="P753">_xlfn.IFS(orders[[#This Row],[Quantity]]&lt;=5,"1 to 5",orders[[#This Row],[Quantity]]&lt;=10,"6 to 10",orders[[#This Row],[Quantity]]&lt;=16,"11 to 16",orders[[#This Row],[Quantity]]&gt;16,"Above 16")</f>
        <v>1 to 5</v>
      </c>
    </row>
    <row r="754" spans="1:16"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c r="P754" t="str" cm="1">
        <f t="array" ref="P754">_xlfn.IFS(orders[[#This Row],[Quantity]]&lt;=5,"1 to 5",orders[[#This Row],[Quantity]]&lt;=10,"6 to 10",orders[[#This Row],[Quantity]]&lt;=16,"11 to 16",orders[[#This Row],[Quantity]]&gt;16,"Above 16")</f>
        <v>11 to 16</v>
      </c>
    </row>
    <row r="755" spans="1:16"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c r="P755" t="str" cm="1">
        <f t="array" ref="P755">_xlfn.IFS(orders[[#This Row],[Quantity]]&lt;=5,"1 to 5",orders[[#This Row],[Quantity]]&lt;=10,"6 to 10",orders[[#This Row],[Quantity]]&lt;=16,"11 to 16",orders[[#This Row],[Quantity]]&gt;16,"Above 16")</f>
        <v>1 to 5</v>
      </c>
    </row>
    <row r="756" spans="1:16"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c r="P756" t="str" cm="1">
        <f t="array" ref="P756">_xlfn.IFS(orders[[#This Row],[Quantity]]&lt;=5,"1 to 5",orders[[#This Row],[Quantity]]&lt;=10,"6 to 10",orders[[#This Row],[Quantity]]&lt;=16,"11 to 16",orders[[#This Row],[Quantity]]&gt;16,"Above 16")</f>
        <v>1 to 5</v>
      </c>
    </row>
    <row r="757" spans="1:16"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c r="P757" t="str" cm="1">
        <f t="array" ref="P757">_xlfn.IFS(orders[[#This Row],[Quantity]]&lt;=5,"1 to 5",orders[[#This Row],[Quantity]]&lt;=10,"6 to 10",orders[[#This Row],[Quantity]]&lt;=16,"11 to 16",orders[[#This Row],[Quantity]]&gt;16,"Above 16")</f>
        <v>Above 16</v>
      </c>
    </row>
    <row r="758" spans="1:16"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c r="P758" t="str" cm="1">
        <f t="array" ref="P758">_xlfn.IFS(orders[[#This Row],[Quantity]]&lt;=5,"1 to 5",orders[[#This Row],[Quantity]]&lt;=10,"6 to 10",orders[[#This Row],[Quantity]]&lt;=16,"11 to 16",orders[[#This Row],[Quantity]]&gt;16,"Above 16")</f>
        <v>1 to 5</v>
      </c>
    </row>
    <row r="759" spans="1:16"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c r="P759" t="str" cm="1">
        <f t="array" ref="P759">_xlfn.IFS(orders[[#This Row],[Quantity]]&lt;=5,"1 to 5",orders[[#This Row],[Quantity]]&lt;=10,"6 to 10",orders[[#This Row],[Quantity]]&lt;=16,"11 to 16",orders[[#This Row],[Quantity]]&gt;16,"Above 16")</f>
        <v>1 to 5</v>
      </c>
    </row>
    <row r="760" spans="1:16"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c r="P760" t="str" cm="1">
        <f t="array" ref="P760">_xlfn.IFS(orders[[#This Row],[Quantity]]&lt;=5,"1 to 5",orders[[#This Row],[Quantity]]&lt;=10,"6 to 10",orders[[#This Row],[Quantity]]&lt;=16,"11 to 16",orders[[#This Row],[Quantity]]&gt;16,"Above 16")</f>
        <v>1 to 5</v>
      </c>
    </row>
    <row r="761" spans="1:16"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c r="P761" t="str" cm="1">
        <f t="array" ref="P761">_xlfn.IFS(orders[[#This Row],[Quantity]]&lt;=5,"1 to 5",orders[[#This Row],[Quantity]]&lt;=10,"6 to 10",orders[[#This Row],[Quantity]]&lt;=16,"11 to 16",orders[[#This Row],[Quantity]]&gt;16,"Above 16")</f>
        <v>1 to 5</v>
      </c>
    </row>
    <row r="762" spans="1:16"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c r="P762" t="str" cm="1">
        <f t="array" ref="P762">_xlfn.IFS(orders[[#This Row],[Quantity]]&lt;=5,"1 to 5",orders[[#This Row],[Quantity]]&lt;=10,"6 to 10",orders[[#This Row],[Quantity]]&lt;=16,"11 to 16",orders[[#This Row],[Quantity]]&gt;16,"Above 16")</f>
        <v>6 to 10</v>
      </c>
    </row>
    <row r="763" spans="1:16"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c r="P763" t="str" cm="1">
        <f t="array" ref="P763">_xlfn.IFS(orders[[#This Row],[Quantity]]&lt;=5,"1 to 5",orders[[#This Row],[Quantity]]&lt;=10,"6 to 10",orders[[#This Row],[Quantity]]&lt;=16,"11 to 16",orders[[#This Row],[Quantity]]&gt;16,"Above 16")</f>
        <v>1 to 5</v>
      </c>
    </row>
    <row r="764" spans="1:16"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c r="P764" t="str" cm="1">
        <f t="array" ref="P764">_xlfn.IFS(orders[[#This Row],[Quantity]]&lt;=5,"1 to 5",orders[[#This Row],[Quantity]]&lt;=10,"6 to 10",orders[[#This Row],[Quantity]]&lt;=16,"11 to 16",orders[[#This Row],[Quantity]]&gt;16,"Above 16")</f>
        <v>6 to 10</v>
      </c>
    </row>
    <row r="765" spans="1:16"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c r="P765" t="str" cm="1">
        <f t="array" ref="P765">_xlfn.IFS(orders[[#This Row],[Quantity]]&lt;=5,"1 to 5",orders[[#This Row],[Quantity]]&lt;=10,"6 to 10",orders[[#This Row],[Quantity]]&lt;=16,"11 to 16",orders[[#This Row],[Quantity]]&gt;16,"Above 16")</f>
        <v>1 to 5</v>
      </c>
    </row>
    <row r="766" spans="1:16"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c r="P766" t="str" cm="1">
        <f t="array" ref="P766">_xlfn.IFS(orders[[#This Row],[Quantity]]&lt;=5,"1 to 5",orders[[#This Row],[Quantity]]&lt;=10,"6 to 10",orders[[#This Row],[Quantity]]&lt;=16,"11 to 16",orders[[#This Row],[Quantity]]&gt;16,"Above 16")</f>
        <v>1 to 5</v>
      </c>
    </row>
    <row r="767" spans="1:16"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c r="P767" t="str" cm="1">
        <f t="array" ref="P767">_xlfn.IFS(orders[[#This Row],[Quantity]]&lt;=5,"1 to 5",orders[[#This Row],[Quantity]]&lt;=10,"6 to 10",orders[[#This Row],[Quantity]]&lt;=16,"11 to 16",orders[[#This Row],[Quantity]]&gt;16,"Above 16")</f>
        <v>1 to 5</v>
      </c>
    </row>
    <row r="768" spans="1:16"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c r="P768" t="str" cm="1">
        <f t="array" ref="P768">_xlfn.IFS(orders[[#This Row],[Quantity]]&lt;=5,"1 to 5",orders[[#This Row],[Quantity]]&lt;=10,"6 to 10",orders[[#This Row],[Quantity]]&lt;=16,"11 to 16",orders[[#This Row],[Quantity]]&gt;16,"Above 16")</f>
        <v>1 to 5</v>
      </c>
    </row>
    <row r="769" spans="1:16"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c r="P769" t="str" cm="1">
        <f t="array" ref="P769">_xlfn.IFS(orders[[#This Row],[Quantity]]&lt;=5,"1 to 5",orders[[#This Row],[Quantity]]&lt;=10,"6 to 10",orders[[#This Row],[Quantity]]&lt;=16,"11 to 16",orders[[#This Row],[Quantity]]&gt;16,"Above 16")</f>
        <v>1 to 5</v>
      </c>
    </row>
    <row r="770" spans="1:16"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c r="P770" t="str" cm="1">
        <f t="array" ref="P770">_xlfn.IFS(orders[[#This Row],[Quantity]]&lt;=5,"1 to 5",orders[[#This Row],[Quantity]]&lt;=10,"6 to 10",orders[[#This Row],[Quantity]]&lt;=16,"11 to 16",orders[[#This Row],[Quantity]]&gt;16,"Above 16")</f>
        <v>1 to 5</v>
      </c>
    </row>
    <row r="771" spans="1:16"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c r="P771" t="str" cm="1">
        <f t="array" ref="P771">_xlfn.IFS(orders[[#This Row],[Quantity]]&lt;=5,"1 to 5",orders[[#This Row],[Quantity]]&lt;=10,"6 to 10",orders[[#This Row],[Quantity]]&lt;=16,"11 to 16",orders[[#This Row],[Quantity]]&gt;16,"Above 16")</f>
        <v>1 to 5</v>
      </c>
    </row>
    <row r="772" spans="1:16"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c r="P772" t="str" cm="1">
        <f t="array" ref="P772">_xlfn.IFS(orders[[#This Row],[Quantity]]&lt;=5,"1 to 5",orders[[#This Row],[Quantity]]&lt;=10,"6 to 10",orders[[#This Row],[Quantity]]&lt;=16,"11 to 16",orders[[#This Row],[Quantity]]&gt;16,"Above 16")</f>
        <v>1 to 5</v>
      </c>
    </row>
    <row r="773" spans="1:16"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c r="P773" t="str" cm="1">
        <f t="array" ref="P773">_xlfn.IFS(orders[[#This Row],[Quantity]]&lt;=5,"1 to 5",orders[[#This Row],[Quantity]]&lt;=10,"6 to 10",orders[[#This Row],[Quantity]]&lt;=16,"11 to 16",orders[[#This Row],[Quantity]]&gt;16,"Above 16")</f>
        <v>1 to 5</v>
      </c>
    </row>
    <row r="774" spans="1:16"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c r="P774" t="str" cm="1">
        <f t="array" ref="P774">_xlfn.IFS(orders[[#This Row],[Quantity]]&lt;=5,"1 to 5",orders[[#This Row],[Quantity]]&lt;=10,"6 to 10",orders[[#This Row],[Quantity]]&lt;=16,"11 to 16",orders[[#This Row],[Quantity]]&gt;16,"Above 16")</f>
        <v>1 to 5</v>
      </c>
    </row>
    <row r="775" spans="1:16"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c r="P775" t="str" cm="1">
        <f t="array" ref="P775">_xlfn.IFS(orders[[#This Row],[Quantity]]&lt;=5,"1 to 5",orders[[#This Row],[Quantity]]&lt;=10,"6 to 10",orders[[#This Row],[Quantity]]&lt;=16,"11 to 16",orders[[#This Row],[Quantity]]&gt;16,"Above 16")</f>
        <v>1 to 5</v>
      </c>
    </row>
    <row r="776" spans="1:16"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c r="P776" t="str" cm="1">
        <f t="array" ref="P776">_xlfn.IFS(orders[[#This Row],[Quantity]]&lt;=5,"1 to 5",orders[[#This Row],[Quantity]]&lt;=10,"6 to 10",orders[[#This Row],[Quantity]]&lt;=16,"11 to 16",orders[[#This Row],[Quantity]]&gt;16,"Above 16")</f>
        <v>1 to 5</v>
      </c>
    </row>
    <row r="777" spans="1:16"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c r="P777" t="str" cm="1">
        <f t="array" ref="P777">_xlfn.IFS(orders[[#This Row],[Quantity]]&lt;=5,"1 to 5",orders[[#This Row],[Quantity]]&lt;=10,"6 to 10",orders[[#This Row],[Quantity]]&lt;=16,"11 to 16",orders[[#This Row],[Quantity]]&gt;16,"Above 16")</f>
        <v>1 to 5</v>
      </c>
    </row>
    <row r="778" spans="1:16"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c r="P778" t="str" cm="1">
        <f t="array" ref="P778">_xlfn.IFS(orders[[#This Row],[Quantity]]&lt;=5,"1 to 5",orders[[#This Row],[Quantity]]&lt;=10,"6 to 10",orders[[#This Row],[Quantity]]&lt;=16,"11 to 16",orders[[#This Row],[Quantity]]&gt;16,"Above 16")</f>
        <v>6 to 10</v>
      </c>
    </row>
    <row r="779" spans="1:16"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c r="P779" t="str" cm="1">
        <f t="array" ref="P779">_xlfn.IFS(orders[[#This Row],[Quantity]]&lt;=5,"1 to 5",orders[[#This Row],[Quantity]]&lt;=10,"6 to 10",orders[[#This Row],[Quantity]]&lt;=16,"11 to 16",orders[[#This Row],[Quantity]]&gt;16,"Above 16")</f>
        <v>1 to 5</v>
      </c>
    </row>
    <row r="780" spans="1:16"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c r="P780" t="str" cm="1">
        <f t="array" ref="P780">_xlfn.IFS(orders[[#This Row],[Quantity]]&lt;=5,"1 to 5",orders[[#This Row],[Quantity]]&lt;=10,"6 to 10",orders[[#This Row],[Quantity]]&lt;=16,"11 to 16",orders[[#This Row],[Quantity]]&gt;16,"Above 16")</f>
        <v>6 to 10</v>
      </c>
    </row>
    <row r="781" spans="1:16"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c r="P781" t="str" cm="1">
        <f t="array" ref="P781">_xlfn.IFS(orders[[#This Row],[Quantity]]&lt;=5,"1 to 5",orders[[#This Row],[Quantity]]&lt;=10,"6 to 10",orders[[#This Row],[Quantity]]&lt;=16,"11 to 16",orders[[#This Row],[Quantity]]&gt;16,"Above 16")</f>
        <v>1 to 5</v>
      </c>
    </row>
    <row r="782" spans="1:16"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c r="P782" t="str" cm="1">
        <f t="array" ref="P782">_xlfn.IFS(orders[[#This Row],[Quantity]]&lt;=5,"1 to 5",orders[[#This Row],[Quantity]]&lt;=10,"6 to 10",orders[[#This Row],[Quantity]]&lt;=16,"11 to 16",orders[[#This Row],[Quantity]]&gt;16,"Above 16")</f>
        <v>1 to 5</v>
      </c>
    </row>
    <row r="783" spans="1:16"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c r="P783" t="str" cm="1">
        <f t="array" ref="P783">_xlfn.IFS(orders[[#This Row],[Quantity]]&lt;=5,"1 to 5",orders[[#This Row],[Quantity]]&lt;=10,"6 to 10",orders[[#This Row],[Quantity]]&lt;=16,"11 to 16",orders[[#This Row],[Quantity]]&gt;16,"Above 16")</f>
        <v>Above 16</v>
      </c>
    </row>
    <row r="784" spans="1:16"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c r="P784" t="str" cm="1">
        <f t="array" ref="P784">_xlfn.IFS(orders[[#This Row],[Quantity]]&lt;=5,"1 to 5",orders[[#This Row],[Quantity]]&lt;=10,"6 to 10",orders[[#This Row],[Quantity]]&lt;=16,"11 to 16",orders[[#This Row],[Quantity]]&gt;16,"Above 16")</f>
        <v>11 to 16</v>
      </c>
    </row>
    <row r="785" spans="1:16"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c r="P785" t="str" cm="1">
        <f t="array" ref="P785">_xlfn.IFS(orders[[#This Row],[Quantity]]&lt;=5,"1 to 5",orders[[#This Row],[Quantity]]&lt;=10,"6 to 10",orders[[#This Row],[Quantity]]&lt;=16,"11 to 16",orders[[#This Row],[Quantity]]&gt;16,"Above 16")</f>
        <v>1 to 5</v>
      </c>
    </row>
    <row r="786" spans="1:16"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c r="P786" t="str" cm="1">
        <f t="array" ref="P786">_xlfn.IFS(orders[[#This Row],[Quantity]]&lt;=5,"1 to 5",orders[[#This Row],[Quantity]]&lt;=10,"6 to 10",orders[[#This Row],[Quantity]]&lt;=16,"11 to 16",orders[[#This Row],[Quantity]]&gt;16,"Above 16")</f>
        <v>1 to 5</v>
      </c>
    </row>
    <row r="787" spans="1:16"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c r="P787" t="str" cm="1">
        <f t="array" ref="P787">_xlfn.IFS(orders[[#This Row],[Quantity]]&lt;=5,"1 to 5",orders[[#This Row],[Quantity]]&lt;=10,"6 to 10",orders[[#This Row],[Quantity]]&lt;=16,"11 to 16",orders[[#This Row],[Quantity]]&gt;16,"Above 16")</f>
        <v>1 to 5</v>
      </c>
    </row>
    <row r="788" spans="1:16"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c r="P788" t="str" cm="1">
        <f t="array" ref="P788">_xlfn.IFS(orders[[#This Row],[Quantity]]&lt;=5,"1 to 5",orders[[#This Row],[Quantity]]&lt;=10,"6 to 10",orders[[#This Row],[Quantity]]&lt;=16,"11 to 16",orders[[#This Row],[Quantity]]&gt;16,"Above 16")</f>
        <v>1 to 5</v>
      </c>
    </row>
    <row r="789" spans="1:16"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c r="P789" t="str" cm="1">
        <f t="array" ref="P789">_xlfn.IFS(orders[[#This Row],[Quantity]]&lt;=5,"1 to 5",orders[[#This Row],[Quantity]]&lt;=10,"6 to 10",orders[[#This Row],[Quantity]]&lt;=16,"11 to 16",orders[[#This Row],[Quantity]]&gt;16,"Above 16")</f>
        <v>1 to 5</v>
      </c>
    </row>
    <row r="790" spans="1:16"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c r="P790" t="str" cm="1">
        <f t="array" ref="P790">_xlfn.IFS(orders[[#This Row],[Quantity]]&lt;=5,"1 to 5",orders[[#This Row],[Quantity]]&lt;=10,"6 to 10",orders[[#This Row],[Quantity]]&lt;=16,"11 to 16",orders[[#This Row],[Quantity]]&gt;16,"Above 16")</f>
        <v>1 to 5</v>
      </c>
    </row>
    <row r="791" spans="1:16"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c r="P791" t="str" cm="1">
        <f t="array" ref="P791">_xlfn.IFS(orders[[#This Row],[Quantity]]&lt;=5,"1 to 5",orders[[#This Row],[Quantity]]&lt;=10,"6 to 10",orders[[#This Row],[Quantity]]&lt;=16,"11 to 16",orders[[#This Row],[Quantity]]&gt;16,"Above 16")</f>
        <v>1 to 5</v>
      </c>
    </row>
    <row r="792" spans="1:16"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c r="P792" t="str" cm="1">
        <f t="array" ref="P792">_xlfn.IFS(orders[[#This Row],[Quantity]]&lt;=5,"1 to 5",orders[[#This Row],[Quantity]]&lt;=10,"6 to 10",orders[[#This Row],[Quantity]]&lt;=16,"11 to 16",orders[[#This Row],[Quantity]]&gt;16,"Above 16")</f>
        <v>1 to 5</v>
      </c>
    </row>
    <row r="793" spans="1:16"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c r="P793" t="str" cm="1">
        <f t="array" ref="P793">_xlfn.IFS(orders[[#This Row],[Quantity]]&lt;=5,"1 to 5",orders[[#This Row],[Quantity]]&lt;=10,"6 to 10",orders[[#This Row],[Quantity]]&lt;=16,"11 to 16",orders[[#This Row],[Quantity]]&gt;16,"Above 16")</f>
        <v>1 to 5</v>
      </c>
    </row>
    <row r="794" spans="1:16"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c r="P794" t="str" cm="1">
        <f t="array" ref="P794">_xlfn.IFS(orders[[#This Row],[Quantity]]&lt;=5,"1 to 5",orders[[#This Row],[Quantity]]&lt;=10,"6 to 10",orders[[#This Row],[Quantity]]&lt;=16,"11 to 16",orders[[#This Row],[Quantity]]&gt;16,"Above 16")</f>
        <v>11 to 16</v>
      </c>
    </row>
    <row r="795" spans="1:16"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c r="P795" t="str" cm="1">
        <f t="array" ref="P795">_xlfn.IFS(orders[[#This Row],[Quantity]]&lt;=5,"1 to 5",orders[[#This Row],[Quantity]]&lt;=10,"6 to 10",orders[[#This Row],[Quantity]]&lt;=16,"11 to 16",orders[[#This Row],[Quantity]]&gt;16,"Above 16")</f>
        <v>6 to 10</v>
      </c>
    </row>
    <row r="796" spans="1:16"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c r="P796" t="str" cm="1">
        <f t="array" ref="P796">_xlfn.IFS(orders[[#This Row],[Quantity]]&lt;=5,"1 to 5",orders[[#This Row],[Quantity]]&lt;=10,"6 to 10",orders[[#This Row],[Quantity]]&lt;=16,"11 to 16",orders[[#This Row],[Quantity]]&gt;16,"Above 16")</f>
        <v>1 to 5</v>
      </c>
    </row>
    <row r="797" spans="1:16"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c r="P797" t="str" cm="1">
        <f t="array" ref="P797">_xlfn.IFS(orders[[#This Row],[Quantity]]&lt;=5,"1 to 5",orders[[#This Row],[Quantity]]&lt;=10,"6 to 10",orders[[#This Row],[Quantity]]&lt;=16,"11 to 16",orders[[#This Row],[Quantity]]&gt;16,"Above 16")</f>
        <v>Above 16</v>
      </c>
    </row>
    <row r="798" spans="1:16"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c r="P798" t="str" cm="1">
        <f t="array" ref="P798">_xlfn.IFS(orders[[#This Row],[Quantity]]&lt;=5,"1 to 5",orders[[#This Row],[Quantity]]&lt;=10,"6 to 10",orders[[#This Row],[Quantity]]&lt;=16,"11 to 16",orders[[#This Row],[Quantity]]&gt;16,"Above 16")</f>
        <v>1 to 5</v>
      </c>
    </row>
    <row r="799" spans="1:16"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c r="P799" t="str" cm="1">
        <f t="array" ref="P799">_xlfn.IFS(orders[[#This Row],[Quantity]]&lt;=5,"1 to 5",orders[[#This Row],[Quantity]]&lt;=10,"6 to 10",orders[[#This Row],[Quantity]]&lt;=16,"11 to 16",orders[[#This Row],[Quantity]]&gt;16,"Above 16")</f>
        <v>6 to 10</v>
      </c>
    </row>
    <row r="800" spans="1:16"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c r="P800" t="str" cm="1">
        <f t="array" ref="P800">_xlfn.IFS(orders[[#This Row],[Quantity]]&lt;=5,"1 to 5",orders[[#This Row],[Quantity]]&lt;=10,"6 to 10",orders[[#This Row],[Quantity]]&lt;=16,"11 to 16",orders[[#This Row],[Quantity]]&gt;16,"Above 16")</f>
        <v>Above 16</v>
      </c>
    </row>
    <row r="801" spans="1:16"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c r="P801" t="str" cm="1">
        <f t="array" ref="P801">_xlfn.IFS(orders[[#This Row],[Quantity]]&lt;=5,"1 to 5",orders[[#This Row],[Quantity]]&lt;=10,"6 to 10",orders[[#This Row],[Quantity]]&lt;=16,"11 to 16",orders[[#This Row],[Quantity]]&gt;16,"Above 16")</f>
        <v>Above 16</v>
      </c>
    </row>
    <row r="802" spans="1:16"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c r="P802" t="str" cm="1">
        <f t="array" ref="P802">_xlfn.IFS(orders[[#This Row],[Quantity]]&lt;=5,"1 to 5",orders[[#This Row],[Quantity]]&lt;=10,"6 to 10",orders[[#This Row],[Quantity]]&lt;=16,"11 to 16",orders[[#This Row],[Quantity]]&gt;16,"Above 16")</f>
        <v>1 to 5</v>
      </c>
    </row>
    <row r="803" spans="1:16"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c r="P803" t="str" cm="1">
        <f t="array" ref="P803">_xlfn.IFS(orders[[#This Row],[Quantity]]&lt;=5,"1 to 5",orders[[#This Row],[Quantity]]&lt;=10,"6 to 10",orders[[#This Row],[Quantity]]&lt;=16,"11 to 16",orders[[#This Row],[Quantity]]&gt;16,"Above 16")</f>
        <v>6 to 10</v>
      </c>
    </row>
    <row r="804" spans="1:16"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c r="P804" t="str" cm="1">
        <f t="array" ref="P804">_xlfn.IFS(orders[[#This Row],[Quantity]]&lt;=5,"1 to 5",orders[[#This Row],[Quantity]]&lt;=10,"6 to 10",orders[[#This Row],[Quantity]]&lt;=16,"11 to 16",orders[[#This Row],[Quantity]]&gt;16,"Above 16")</f>
        <v>6 to 10</v>
      </c>
    </row>
    <row r="805" spans="1:16"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c r="P805" t="str" cm="1">
        <f t="array" ref="P805">_xlfn.IFS(orders[[#This Row],[Quantity]]&lt;=5,"1 to 5",orders[[#This Row],[Quantity]]&lt;=10,"6 to 10",orders[[#This Row],[Quantity]]&lt;=16,"11 to 16",orders[[#This Row],[Quantity]]&gt;16,"Above 16")</f>
        <v>1 to 5</v>
      </c>
    </row>
    <row r="806" spans="1:16"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c r="P806" t="str" cm="1">
        <f t="array" ref="P806">_xlfn.IFS(orders[[#This Row],[Quantity]]&lt;=5,"1 to 5",orders[[#This Row],[Quantity]]&lt;=10,"6 to 10",orders[[#This Row],[Quantity]]&lt;=16,"11 to 16",orders[[#This Row],[Quantity]]&gt;16,"Above 16")</f>
        <v>1 to 5</v>
      </c>
    </row>
    <row r="807" spans="1:16"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c r="P807" t="str" cm="1">
        <f t="array" ref="P807">_xlfn.IFS(orders[[#This Row],[Quantity]]&lt;=5,"1 to 5",orders[[#This Row],[Quantity]]&lt;=10,"6 to 10",orders[[#This Row],[Quantity]]&lt;=16,"11 to 16",orders[[#This Row],[Quantity]]&gt;16,"Above 16")</f>
        <v>6 to 10</v>
      </c>
    </row>
    <row r="808" spans="1:16"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c r="P808" t="str" cm="1">
        <f t="array" ref="P808">_xlfn.IFS(orders[[#This Row],[Quantity]]&lt;=5,"1 to 5",orders[[#This Row],[Quantity]]&lt;=10,"6 to 10",orders[[#This Row],[Quantity]]&lt;=16,"11 to 16",orders[[#This Row],[Quantity]]&gt;16,"Above 16")</f>
        <v>1 to 5</v>
      </c>
    </row>
    <row r="809" spans="1:16"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c r="P809" t="str" cm="1">
        <f t="array" ref="P809">_xlfn.IFS(orders[[#This Row],[Quantity]]&lt;=5,"1 to 5",orders[[#This Row],[Quantity]]&lt;=10,"6 to 10",orders[[#This Row],[Quantity]]&lt;=16,"11 to 16",orders[[#This Row],[Quantity]]&gt;16,"Above 16")</f>
        <v>1 to 5</v>
      </c>
    </row>
    <row r="810" spans="1:16"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c r="P810" t="str" cm="1">
        <f t="array" ref="P810">_xlfn.IFS(orders[[#This Row],[Quantity]]&lt;=5,"1 to 5",orders[[#This Row],[Quantity]]&lt;=10,"6 to 10",orders[[#This Row],[Quantity]]&lt;=16,"11 to 16",orders[[#This Row],[Quantity]]&gt;16,"Above 16")</f>
        <v>1 to 5</v>
      </c>
    </row>
    <row r="811" spans="1:16"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c r="P811" t="str" cm="1">
        <f t="array" ref="P811">_xlfn.IFS(orders[[#This Row],[Quantity]]&lt;=5,"1 to 5",orders[[#This Row],[Quantity]]&lt;=10,"6 to 10",orders[[#This Row],[Quantity]]&lt;=16,"11 to 16",orders[[#This Row],[Quantity]]&gt;16,"Above 16")</f>
        <v>6 to 10</v>
      </c>
    </row>
    <row r="812" spans="1:16"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c r="P812" t="str" cm="1">
        <f t="array" ref="P812">_xlfn.IFS(orders[[#This Row],[Quantity]]&lt;=5,"1 to 5",orders[[#This Row],[Quantity]]&lt;=10,"6 to 10",orders[[#This Row],[Quantity]]&lt;=16,"11 to 16",orders[[#This Row],[Quantity]]&gt;16,"Above 16")</f>
        <v>1 to 5</v>
      </c>
    </row>
    <row r="813" spans="1:16"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c r="P813" t="str" cm="1">
        <f t="array" ref="P813">_xlfn.IFS(orders[[#This Row],[Quantity]]&lt;=5,"1 to 5",orders[[#This Row],[Quantity]]&lt;=10,"6 to 10",orders[[#This Row],[Quantity]]&lt;=16,"11 to 16",orders[[#This Row],[Quantity]]&gt;16,"Above 16")</f>
        <v>1 to 5</v>
      </c>
    </row>
    <row r="814" spans="1:16"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c r="P814" t="str" cm="1">
        <f t="array" ref="P814">_xlfn.IFS(orders[[#This Row],[Quantity]]&lt;=5,"1 to 5",orders[[#This Row],[Quantity]]&lt;=10,"6 to 10",orders[[#This Row],[Quantity]]&lt;=16,"11 to 16",orders[[#This Row],[Quantity]]&gt;16,"Above 16")</f>
        <v>11 to 16</v>
      </c>
    </row>
    <row r="815" spans="1:16"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c r="P815" t="str" cm="1">
        <f t="array" ref="P815">_xlfn.IFS(orders[[#This Row],[Quantity]]&lt;=5,"1 to 5",orders[[#This Row],[Quantity]]&lt;=10,"6 to 10",orders[[#This Row],[Quantity]]&lt;=16,"11 to 16",orders[[#This Row],[Quantity]]&gt;16,"Above 16")</f>
        <v>6 to 10</v>
      </c>
    </row>
    <row r="816" spans="1:16"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c r="P816" t="str" cm="1">
        <f t="array" ref="P816">_xlfn.IFS(orders[[#This Row],[Quantity]]&lt;=5,"1 to 5",orders[[#This Row],[Quantity]]&lt;=10,"6 to 10",orders[[#This Row],[Quantity]]&lt;=16,"11 to 16",orders[[#This Row],[Quantity]]&gt;16,"Above 16")</f>
        <v>6 to 10</v>
      </c>
    </row>
    <row r="817" spans="1:16"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c r="P817" t="str" cm="1">
        <f t="array" ref="P817">_xlfn.IFS(orders[[#This Row],[Quantity]]&lt;=5,"1 to 5",orders[[#This Row],[Quantity]]&lt;=10,"6 to 10",orders[[#This Row],[Quantity]]&lt;=16,"11 to 16",orders[[#This Row],[Quantity]]&gt;16,"Above 16")</f>
        <v>1 to 5</v>
      </c>
    </row>
    <row r="818" spans="1:16"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c r="P818" t="str" cm="1">
        <f t="array" ref="P818">_xlfn.IFS(orders[[#This Row],[Quantity]]&lt;=5,"1 to 5",orders[[#This Row],[Quantity]]&lt;=10,"6 to 10",orders[[#This Row],[Quantity]]&lt;=16,"11 to 16",orders[[#This Row],[Quantity]]&gt;16,"Above 16")</f>
        <v>6 to 10</v>
      </c>
    </row>
    <row r="819" spans="1:16"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c r="P819" t="str" cm="1">
        <f t="array" ref="P819">_xlfn.IFS(orders[[#This Row],[Quantity]]&lt;=5,"1 to 5",orders[[#This Row],[Quantity]]&lt;=10,"6 to 10",orders[[#This Row],[Quantity]]&lt;=16,"11 to 16",orders[[#This Row],[Quantity]]&gt;16,"Above 16")</f>
        <v>1 to 5</v>
      </c>
    </row>
    <row r="820" spans="1:16"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c r="P820" t="str" cm="1">
        <f t="array" ref="P820">_xlfn.IFS(orders[[#This Row],[Quantity]]&lt;=5,"1 to 5",orders[[#This Row],[Quantity]]&lt;=10,"6 to 10",orders[[#This Row],[Quantity]]&lt;=16,"11 to 16",orders[[#This Row],[Quantity]]&gt;16,"Above 16")</f>
        <v>1 to 5</v>
      </c>
    </row>
    <row r="821" spans="1:16"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c r="P821" t="str" cm="1">
        <f t="array" ref="P821">_xlfn.IFS(orders[[#This Row],[Quantity]]&lt;=5,"1 to 5",orders[[#This Row],[Quantity]]&lt;=10,"6 to 10",orders[[#This Row],[Quantity]]&lt;=16,"11 to 16",orders[[#This Row],[Quantity]]&gt;16,"Above 16")</f>
        <v>6 to 10</v>
      </c>
    </row>
    <row r="822" spans="1:16"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c r="P822" t="str" cm="1">
        <f t="array" ref="P822">_xlfn.IFS(orders[[#This Row],[Quantity]]&lt;=5,"1 to 5",orders[[#This Row],[Quantity]]&lt;=10,"6 to 10",orders[[#This Row],[Quantity]]&lt;=16,"11 to 16",orders[[#This Row],[Quantity]]&gt;16,"Above 16")</f>
        <v>1 to 5</v>
      </c>
    </row>
    <row r="823" spans="1:16"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c r="P823" t="str" cm="1">
        <f t="array" ref="P823">_xlfn.IFS(orders[[#This Row],[Quantity]]&lt;=5,"1 to 5",orders[[#This Row],[Quantity]]&lt;=10,"6 to 10",orders[[#This Row],[Quantity]]&lt;=16,"11 to 16",orders[[#This Row],[Quantity]]&gt;16,"Above 16")</f>
        <v>1 to 5</v>
      </c>
    </row>
    <row r="824" spans="1:16"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c r="P824" t="str" cm="1">
        <f t="array" ref="P824">_xlfn.IFS(orders[[#This Row],[Quantity]]&lt;=5,"1 to 5",orders[[#This Row],[Quantity]]&lt;=10,"6 to 10",orders[[#This Row],[Quantity]]&lt;=16,"11 to 16",orders[[#This Row],[Quantity]]&gt;16,"Above 16")</f>
        <v>1 to 5</v>
      </c>
    </row>
    <row r="825" spans="1:16"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c r="P825" t="str" cm="1">
        <f t="array" ref="P825">_xlfn.IFS(orders[[#This Row],[Quantity]]&lt;=5,"1 to 5",orders[[#This Row],[Quantity]]&lt;=10,"6 to 10",orders[[#This Row],[Quantity]]&lt;=16,"11 to 16",orders[[#This Row],[Quantity]]&gt;16,"Above 16")</f>
        <v>1 to 5</v>
      </c>
    </row>
    <row r="826" spans="1:16"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c r="P826" t="str" cm="1">
        <f t="array" ref="P826">_xlfn.IFS(orders[[#This Row],[Quantity]]&lt;=5,"1 to 5",orders[[#This Row],[Quantity]]&lt;=10,"6 to 10",orders[[#This Row],[Quantity]]&lt;=16,"11 to 16",orders[[#This Row],[Quantity]]&gt;16,"Above 16")</f>
        <v>1 to 5</v>
      </c>
    </row>
    <row r="827" spans="1:16"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c r="P827" t="str" cm="1">
        <f t="array" ref="P827">_xlfn.IFS(orders[[#This Row],[Quantity]]&lt;=5,"1 to 5",orders[[#This Row],[Quantity]]&lt;=10,"6 to 10",orders[[#This Row],[Quantity]]&lt;=16,"11 to 16",orders[[#This Row],[Quantity]]&gt;16,"Above 16")</f>
        <v>1 to 5</v>
      </c>
    </row>
    <row r="828" spans="1:16"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c r="P828" t="str" cm="1">
        <f t="array" ref="P828">_xlfn.IFS(orders[[#This Row],[Quantity]]&lt;=5,"1 to 5",orders[[#This Row],[Quantity]]&lt;=10,"6 to 10",orders[[#This Row],[Quantity]]&lt;=16,"11 to 16",orders[[#This Row],[Quantity]]&gt;16,"Above 16")</f>
        <v>1 to 5</v>
      </c>
    </row>
    <row r="829" spans="1:16"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c r="P829" t="str" cm="1">
        <f t="array" ref="P829">_xlfn.IFS(orders[[#This Row],[Quantity]]&lt;=5,"1 to 5",orders[[#This Row],[Quantity]]&lt;=10,"6 to 10",orders[[#This Row],[Quantity]]&lt;=16,"11 to 16",orders[[#This Row],[Quantity]]&gt;16,"Above 16")</f>
        <v>1 to 5</v>
      </c>
    </row>
    <row r="830" spans="1:16"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c r="P830" t="str" cm="1">
        <f t="array" ref="P830">_xlfn.IFS(orders[[#This Row],[Quantity]]&lt;=5,"1 to 5",orders[[#This Row],[Quantity]]&lt;=10,"6 to 10",orders[[#This Row],[Quantity]]&lt;=16,"11 to 16",orders[[#This Row],[Quantity]]&gt;16,"Above 16")</f>
        <v>1 to 5</v>
      </c>
    </row>
    <row r="831" spans="1:16"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c r="P831" t="str" cm="1">
        <f t="array" ref="P831">_xlfn.IFS(orders[[#This Row],[Quantity]]&lt;=5,"1 to 5",orders[[#This Row],[Quantity]]&lt;=10,"6 to 10",orders[[#This Row],[Quantity]]&lt;=16,"11 to 16",orders[[#This Row],[Quantity]]&gt;16,"Above 16")</f>
        <v>1 to 5</v>
      </c>
    </row>
    <row r="832" spans="1:16"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c r="P832" t="str" cm="1">
        <f t="array" ref="P832">_xlfn.IFS(orders[[#This Row],[Quantity]]&lt;=5,"1 to 5",orders[[#This Row],[Quantity]]&lt;=10,"6 to 10",orders[[#This Row],[Quantity]]&lt;=16,"11 to 16",orders[[#This Row],[Quantity]]&gt;16,"Above 16")</f>
        <v>11 to 16</v>
      </c>
    </row>
    <row r="833" spans="1:16"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c r="P833" t="str" cm="1">
        <f t="array" ref="P833">_xlfn.IFS(orders[[#This Row],[Quantity]]&lt;=5,"1 to 5",orders[[#This Row],[Quantity]]&lt;=10,"6 to 10",orders[[#This Row],[Quantity]]&lt;=16,"11 to 16",orders[[#This Row],[Quantity]]&gt;16,"Above 16")</f>
        <v>1 to 5</v>
      </c>
    </row>
    <row r="834" spans="1:16"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c r="P834" t="str" cm="1">
        <f t="array" ref="P834">_xlfn.IFS(orders[[#This Row],[Quantity]]&lt;=5,"1 to 5",orders[[#This Row],[Quantity]]&lt;=10,"6 to 10",orders[[#This Row],[Quantity]]&lt;=16,"11 to 16",orders[[#This Row],[Quantity]]&gt;16,"Above 16")</f>
        <v>1 to 5</v>
      </c>
    </row>
    <row r="835" spans="1:16"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c r="P835" t="str" cm="1">
        <f t="array" ref="P835">_xlfn.IFS(orders[[#This Row],[Quantity]]&lt;=5,"1 to 5",orders[[#This Row],[Quantity]]&lt;=10,"6 to 10",orders[[#This Row],[Quantity]]&lt;=16,"11 to 16",orders[[#This Row],[Quantity]]&gt;16,"Above 16")</f>
        <v>11 to 16</v>
      </c>
    </row>
    <row r="836" spans="1:16"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c r="P836" t="str" cm="1">
        <f t="array" ref="P836">_xlfn.IFS(orders[[#This Row],[Quantity]]&lt;=5,"1 to 5",orders[[#This Row],[Quantity]]&lt;=10,"6 to 10",orders[[#This Row],[Quantity]]&lt;=16,"11 to 16",orders[[#This Row],[Quantity]]&gt;16,"Above 16")</f>
        <v>1 to 5</v>
      </c>
    </row>
    <row r="837" spans="1:16"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c r="P837" t="str" cm="1">
        <f t="array" ref="P837">_xlfn.IFS(orders[[#This Row],[Quantity]]&lt;=5,"1 to 5",orders[[#This Row],[Quantity]]&lt;=10,"6 to 10",orders[[#This Row],[Quantity]]&lt;=16,"11 to 16",orders[[#This Row],[Quantity]]&gt;16,"Above 16")</f>
        <v>1 to 5</v>
      </c>
    </row>
    <row r="838" spans="1:16"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c r="P838" t="str" cm="1">
        <f t="array" ref="P838">_xlfn.IFS(orders[[#This Row],[Quantity]]&lt;=5,"1 to 5",orders[[#This Row],[Quantity]]&lt;=10,"6 to 10",orders[[#This Row],[Quantity]]&lt;=16,"11 to 16",orders[[#This Row],[Quantity]]&gt;16,"Above 16")</f>
        <v>1 to 5</v>
      </c>
    </row>
    <row r="839" spans="1:16"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c r="P839" t="str" cm="1">
        <f t="array" ref="P839">_xlfn.IFS(orders[[#This Row],[Quantity]]&lt;=5,"1 to 5",orders[[#This Row],[Quantity]]&lt;=10,"6 to 10",orders[[#This Row],[Quantity]]&lt;=16,"11 to 16",orders[[#This Row],[Quantity]]&gt;16,"Above 16")</f>
        <v>6 to 10</v>
      </c>
    </row>
    <row r="840" spans="1:16"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c r="P840" t="str" cm="1">
        <f t="array" ref="P840">_xlfn.IFS(orders[[#This Row],[Quantity]]&lt;=5,"1 to 5",orders[[#This Row],[Quantity]]&lt;=10,"6 to 10",orders[[#This Row],[Quantity]]&lt;=16,"11 to 16",orders[[#This Row],[Quantity]]&gt;16,"Above 16")</f>
        <v>6 to 10</v>
      </c>
    </row>
    <row r="841" spans="1:16"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c r="P841" t="str" cm="1">
        <f t="array" ref="P841">_xlfn.IFS(orders[[#This Row],[Quantity]]&lt;=5,"1 to 5",orders[[#This Row],[Quantity]]&lt;=10,"6 to 10",orders[[#This Row],[Quantity]]&lt;=16,"11 to 16",orders[[#This Row],[Quantity]]&gt;16,"Above 16")</f>
        <v>1 to 5</v>
      </c>
    </row>
    <row r="842" spans="1:16"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c r="P842" t="str" cm="1">
        <f t="array" ref="P842">_xlfn.IFS(orders[[#This Row],[Quantity]]&lt;=5,"1 to 5",orders[[#This Row],[Quantity]]&lt;=10,"6 to 10",orders[[#This Row],[Quantity]]&lt;=16,"11 to 16",orders[[#This Row],[Quantity]]&gt;16,"Above 16")</f>
        <v>1 to 5</v>
      </c>
    </row>
    <row r="843" spans="1:16"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c r="P843" t="str" cm="1">
        <f t="array" ref="P843">_xlfn.IFS(orders[[#This Row],[Quantity]]&lt;=5,"1 to 5",orders[[#This Row],[Quantity]]&lt;=10,"6 to 10",orders[[#This Row],[Quantity]]&lt;=16,"11 to 16",orders[[#This Row],[Quantity]]&gt;16,"Above 16")</f>
        <v>6 to 10</v>
      </c>
    </row>
    <row r="844" spans="1:16"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c r="P844" t="str" cm="1">
        <f t="array" ref="P844">_xlfn.IFS(orders[[#This Row],[Quantity]]&lt;=5,"1 to 5",orders[[#This Row],[Quantity]]&lt;=10,"6 to 10",orders[[#This Row],[Quantity]]&lt;=16,"11 to 16",orders[[#This Row],[Quantity]]&gt;16,"Above 16")</f>
        <v>1 to 5</v>
      </c>
    </row>
    <row r="845" spans="1:16"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c r="P845" t="str" cm="1">
        <f t="array" ref="P845">_xlfn.IFS(orders[[#This Row],[Quantity]]&lt;=5,"1 to 5",orders[[#This Row],[Quantity]]&lt;=10,"6 to 10",orders[[#This Row],[Quantity]]&lt;=16,"11 to 16",orders[[#This Row],[Quantity]]&gt;16,"Above 16")</f>
        <v>Above 16</v>
      </c>
    </row>
    <row r="846" spans="1:16"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c r="P846" t="str" cm="1">
        <f t="array" ref="P846">_xlfn.IFS(orders[[#This Row],[Quantity]]&lt;=5,"1 to 5",orders[[#This Row],[Quantity]]&lt;=10,"6 to 10",orders[[#This Row],[Quantity]]&lt;=16,"11 to 16",orders[[#This Row],[Quantity]]&gt;16,"Above 16")</f>
        <v>1 to 5</v>
      </c>
    </row>
    <row r="847" spans="1:16"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c r="P847" t="str" cm="1">
        <f t="array" ref="P847">_xlfn.IFS(orders[[#This Row],[Quantity]]&lt;=5,"1 to 5",orders[[#This Row],[Quantity]]&lt;=10,"6 to 10",orders[[#This Row],[Quantity]]&lt;=16,"11 to 16",orders[[#This Row],[Quantity]]&gt;16,"Above 16")</f>
        <v>6 to 10</v>
      </c>
    </row>
    <row r="848" spans="1:16"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c r="P848" t="str" cm="1">
        <f t="array" ref="P848">_xlfn.IFS(orders[[#This Row],[Quantity]]&lt;=5,"1 to 5",orders[[#This Row],[Quantity]]&lt;=10,"6 to 10",orders[[#This Row],[Quantity]]&lt;=16,"11 to 16",orders[[#This Row],[Quantity]]&gt;16,"Above 16")</f>
        <v>Above 16</v>
      </c>
    </row>
    <row r="849" spans="1:16"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c r="P849" t="str" cm="1">
        <f t="array" ref="P849">_xlfn.IFS(orders[[#This Row],[Quantity]]&lt;=5,"1 to 5",orders[[#This Row],[Quantity]]&lt;=10,"6 to 10",orders[[#This Row],[Quantity]]&lt;=16,"11 to 16",orders[[#This Row],[Quantity]]&gt;16,"Above 16")</f>
        <v>1 to 5</v>
      </c>
    </row>
    <row r="850" spans="1:16"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c r="P850" t="str" cm="1">
        <f t="array" ref="P850">_xlfn.IFS(orders[[#This Row],[Quantity]]&lt;=5,"1 to 5",orders[[#This Row],[Quantity]]&lt;=10,"6 to 10",orders[[#This Row],[Quantity]]&lt;=16,"11 to 16",orders[[#This Row],[Quantity]]&gt;16,"Above 16")</f>
        <v>1 to 5</v>
      </c>
    </row>
    <row r="851" spans="1:16"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c r="P851" t="str" cm="1">
        <f t="array" ref="P851">_xlfn.IFS(orders[[#This Row],[Quantity]]&lt;=5,"1 to 5",orders[[#This Row],[Quantity]]&lt;=10,"6 to 10",orders[[#This Row],[Quantity]]&lt;=16,"11 to 16",orders[[#This Row],[Quantity]]&gt;16,"Above 16")</f>
        <v>1 to 5</v>
      </c>
    </row>
    <row r="852" spans="1:16"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c r="P852" t="str" cm="1">
        <f t="array" ref="P852">_xlfn.IFS(orders[[#This Row],[Quantity]]&lt;=5,"1 to 5",orders[[#This Row],[Quantity]]&lt;=10,"6 to 10",orders[[#This Row],[Quantity]]&lt;=16,"11 to 16",orders[[#This Row],[Quantity]]&gt;16,"Above 16")</f>
        <v>1 to 5</v>
      </c>
    </row>
    <row r="853" spans="1:16"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c r="P853" t="str" cm="1">
        <f t="array" ref="P853">_xlfn.IFS(orders[[#This Row],[Quantity]]&lt;=5,"1 to 5",orders[[#This Row],[Quantity]]&lt;=10,"6 to 10",orders[[#This Row],[Quantity]]&lt;=16,"11 to 16",orders[[#This Row],[Quantity]]&gt;16,"Above 16")</f>
        <v>1 to 5</v>
      </c>
    </row>
    <row r="854" spans="1:16"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c r="P854" t="str" cm="1">
        <f t="array" ref="P854">_xlfn.IFS(orders[[#This Row],[Quantity]]&lt;=5,"1 to 5",orders[[#This Row],[Quantity]]&lt;=10,"6 to 10",orders[[#This Row],[Quantity]]&lt;=16,"11 to 16",orders[[#This Row],[Quantity]]&gt;16,"Above 16")</f>
        <v>1 to 5</v>
      </c>
    </row>
    <row r="855" spans="1:16"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c r="P855" t="str" cm="1">
        <f t="array" ref="P855">_xlfn.IFS(orders[[#This Row],[Quantity]]&lt;=5,"1 to 5",orders[[#This Row],[Quantity]]&lt;=10,"6 to 10",orders[[#This Row],[Quantity]]&lt;=16,"11 to 16",orders[[#This Row],[Quantity]]&gt;16,"Above 16")</f>
        <v>1 to 5</v>
      </c>
    </row>
    <row r="856" spans="1:16"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c r="P856" t="str" cm="1">
        <f t="array" ref="P856">_xlfn.IFS(orders[[#This Row],[Quantity]]&lt;=5,"1 to 5",orders[[#This Row],[Quantity]]&lt;=10,"6 to 10",orders[[#This Row],[Quantity]]&lt;=16,"11 to 16",orders[[#This Row],[Quantity]]&gt;16,"Above 16")</f>
        <v>11 to 16</v>
      </c>
    </row>
    <row r="857" spans="1:16"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c r="P857" t="str" cm="1">
        <f t="array" ref="P857">_xlfn.IFS(orders[[#This Row],[Quantity]]&lt;=5,"1 to 5",orders[[#This Row],[Quantity]]&lt;=10,"6 to 10",orders[[#This Row],[Quantity]]&lt;=16,"11 to 16",orders[[#This Row],[Quantity]]&gt;16,"Above 16")</f>
        <v>1 to 5</v>
      </c>
    </row>
    <row r="858" spans="1:16"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c r="P858" t="str" cm="1">
        <f t="array" ref="P858">_xlfn.IFS(orders[[#This Row],[Quantity]]&lt;=5,"1 to 5",orders[[#This Row],[Quantity]]&lt;=10,"6 to 10",orders[[#This Row],[Quantity]]&lt;=16,"11 to 16",orders[[#This Row],[Quantity]]&gt;16,"Above 16")</f>
        <v>1 to 5</v>
      </c>
    </row>
    <row r="859" spans="1:16"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c r="P859" t="str" cm="1">
        <f t="array" ref="P859">_xlfn.IFS(orders[[#This Row],[Quantity]]&lt;=5,"1 to 5",orders[[#This Row],[Quantity]]&lt;=10,"6 to 10",orders[[#This Row],[Quantity]]&lt;=16,"11 to 16",orders[[#This Row],[Quantity]]&gt;16,"Above 16")</f>
        <v>6 to 10</v>
      </c>
    </row>
    <row r="860" spans="1:16"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c r="P860" t="str" cm="1">
        <f t="array" ref="P860">_xlfn.IFS(orders[[#This Row],[Quantity]]&lt;=5,"1 to 5",orders[[#This Row],[Quantity]]&lt;=10,"6 to 10",orders[[#This Row],[Quantity]]&lt;=16,"11 to 16",orders[[#This Row],[Quantity]]&gt;16,"Above 16")</f>
        <v>1 to 5</v>
      </c>
    </row>
    <row r="861" spans="1:16"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c r="P861" t="str" cm="1">
        <f t="array" ref="P861">_xlfn.IFS(orders[[#This Row],[Quantity]]&lt;=5,"1 to 5",orders[[#This Row],[Quantity]]&lt;=10,"6 to 10",orders[[#This Row],[Quantity]]&lt;=16,"11 to 16",orders[[#This Row],[Quantity]]&gt;16,"Above 16")</f>
        <v>1 to 5</v>
      </c>
    </row>
    <row r="862" spans="1:16"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c r="P862" t="str" cm="1">
        <f t="array" ref="P862">_xlfn.IFS(orders[[#This Row],[Quantity]]&lt;=5,"1 to 5",orders[[#This Row],[Quantity]]&lt;=10,"6 to 10",orders[[#This Row],[Quantity]]&lt;=16,"11 to 16",orders[[#This Row],[Quantity]]&gt;16,"Above 16")</f>
        <v>1 to 5</v>
      </c>
    </row>
    <row r="863" spans="1:16"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c r="P863" t="str" cm="1">
        <f t="array" ref="P863">_xlfn.IFS(orders[[#This Row],[Quantity]]&lt;=5,"1 to 5",orders[[#This Row],[Quantity]]&lt;=10,"6 to 10",orders[[#This Row],[Quantity]]&lt;=16,"11 to 16",orders[[#This Row],[Quantity]]&gt;16,"Above 16")</f>
        <v>6 to 10</v>
      </c>
    </row>
    <row r="864" spans="1:16"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c r="P864" t="str" cm="1">
        <f t="array" ref="P864">_xlfn.IFS(orders[[#This Row],[Quantity]]&lt;=5,"1 to 5",orders[[#This Row],[Quantity]]&lt;=10,"6 to 10",orders[[#This Row],[Quantity]]&lt;=16,"11 to 16",orders[[#This Row],[Quantity]]&gt;16,"Above 16")</f>
        <v>1 to 5</v>
      </c>
    </row>
    <row r="865" spans="1:16"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c r="P865" t="str" cm="1">
        <f t="array" ref="P865">_xlfn.IFS(orders[[#This Row],[Quantity]]&lt;=5,"1 to 5",orders[[#This Row],[Quantity]]&lt;=10,"6 to 10",orders[[#This Row],[Quantity]]&lt;=16,"11 to 16",orders[[#This Row],[Quantity]]&gt;16,"Above 16")</f>
        <v>1 to 5</v>
      </c>
    </row>
    <row r="866" spans="1:16"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c r="P866" t="str" cm="1">
        <f t="array" ref="P866">_xlfn.IFS(orders[[#This Row],[Quantity]]&lt;=5,"1 to 5",orders[[#This Row],[Quantity]]&lt;=10,"6 to 10",orders[[#This Row],[Quantity]]&lt;=16,"11 to 16",orders[[#This Row],[Quantity]]&gt;16,"Above 16")</f>
        <v>1 to 5</v>
      </c>
    </row>
    <row r="867" spans="1:16"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c r="P867" t="str" cm="1">
        <f t="array" ref="P867">_xlfn.IFS(orders[[#This Row],[Quantity]]&lt;=5,"1 to 5",orders[[#This Row],[Quantity]]&lt;=10,"6 to 10",orders[[#This Row],[Quantity]]&lt;=16,"11 to 16",orders[[#This Row],[Quantity]]&gt;16,"Above 16")</f>
        <v>1 to 5</v>
      </c>
    </row>
    <row r="868" spans="1:16"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c r="P868" t="str" cm="1">
        <f t="array" ref="P868">_xlfn.IFS(orders[[#This Row],[Quantity]]&lt;=5,"1 to 5",orders[[#This Row],[Quantity]]&lt;=10,"6 to 10",orders[[#This Row],[Quantity]]&lt;=16,"11 to 16",orders[[#This Row],[Quantity]]&gt;16,"Above 16")</f>
        <v>1 to 5</v>
      </c>
    </row>
    <row r="869" spans="1:16"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c r="P869" t="str" cm="1">
        <f t="array" ref="P869">_xlfn.IFS(orders[[#This Row],[Quantity]]&lt;=5,"1 to 5",orders[[#This Row],[Quantity]]&lt;=10,"6 to 10",orders[[#This Row],[Quantity]]&lt;=16,"11 to 16",orders[[#This Row],[Quantity]]&gt;16,"Above 16")</f>
        <v>1 to 5</v>
      </c>
    </row>
    <row r="870" spans="1:16"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c r="P870" t="str" cm="1">
        <f t="array" ref="P870">_xlfn.IFS(orders[[#This Row],[Quantity]]&lt;=5,"1 to 5",orders[[#This Row],[Quantity]]&lt;=10,"6 to 10",orders[[#This Row],[Quantity]]&lt;=16,"11 to 16",orders[[#This Row],[Quantity]]&gt;16,"Above 16")</f>
        <v>1 to 5</v>
      </c>
    </row>
    <row r="871" spans="1:16"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c r="P871" t="str" cm="1">
        <f t="array" ref="P871">_xlfn.IFS(orders[[#This Row],[Quantity]]&lt;=5,"1 to 5",orders[[#This Row],[Quantity]]&lt;=10,"6 to 10",orders[[#This Row],[Quantity]]&lt;=16,"11 to 16",orders[[#This Row],[Quantity]]&gt;16,"Above 16")</f>
        <v>1 to 5</v>
      </c>
    </row>
    <row r="872" spans="1:16"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c r="P872" t="str" cm="1">
        <f t="array" ref="P872">_xlfn.IFS(orders[[#This Row],[Quantity]]&lt;=5,"1 to 5",orders[[#This Row],[Quantity]]&lt;=10,"6 to 10",orders[[#This Row],[Quantity]]&lt;=16,"11 to 16",orders[[#This Row],[Quantity]]&gt;16,"Above 16")</f>
        <v>1 to 5</v>
      </c>
    </row>
    <row r="873" spans="1:16"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c r="P873" t="str" cm="1">
        <f t="array" ref="P873">_xlfn.IFS(orders[[#This Row],[Quantity]]&lt;=5,"1 to 5",orders[[#This Row],[Quantity]]&lt;=10,"6 to 10",orders[[#This Row],[Quantity]]&lt;=16,"11 to 16",orders[[#This Row],[Quantity]]&gt;16,"Above 16")</f>
        <v>1 to 5</v>
      </c>
    </row>
    <row r="874" spans="1:16"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c r="P874" t="str" cm="1">
        <f t="array" ref="P874">_xlfn.IFS(orders[[#This Row],[Quantity]]&lt;=5,"1 to 5",orders[[#This Row],[Quantity]]&lt;=10,"6 to 10",orders[[#This Row],[Quantity]]&lt;=16,"11 to 16",orders[[#This Row],[Quantity]]&gt;16,"Above 16")</f>
        <v>6 to 10</v>
      </c>
    </row>
    <row r="875" spans="1:16"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c r="P875" t="str" cm="1">
        <f t="array" ref="P875">_xlfn.IFS(orders[[#This Row],[Quantity]]&lt;=5,"1 to 5",orders[[#This Row],[Quantity]]&lt;=10,"6 to 10",orders[[#This Row],[Quantity]]&lt;=16,"11 to 16",orders[[#This Row],[Quantity]]&gt;16,"Above 16")</f>
        <v>Above 16</v>
      </c>
    </row>
    <row r="876" spans="1:16"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c r="P876" t="str" cm="1">
        <f t="array" ref="P876">_xlfn.IFS(orders[[#This Row],[Quantity]]&lt;=5,"1 to 5",orders[[#This Row],[Quantity]]&lt;=10,"6 to 10",orders[[#This Row],[Quantity]]&lt;=16,"11 to 16",orders[[#This Row],[Quantity]]&gt;16,"Above 16")</f>
        <v>1 to 5</v>
      </c>
    </row>
    <row r="877" spans="1:16"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c r="P877" t="str" cm="1">
        <f t="array" ref="P877">_xlfn.IFS(orders[[#This Row],[Quantity]]&lt;=5,"1 to 5",orders[[#This Row],[Quantity]]&lt;=10,"6 to 10",orders[[#This Row],[Quantity]]&lt;=16,"11 to 16",orders[[#This Row],[Quantity]]&gt;16,"Above 16")</f>
        <v>6 to 10</v>
      </c>
    </row>
    <row r="878" spans="1:16"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c r="P878" t="str" cm="1">
        <f t="array" ref="P878">_xlfn.IFS(orders[[#This Row],[Quantity]]&lt;=5,"1 to 5",orders[[#This Row],[Quantity]]&lt;=10,"6 to 10",orders[[#This Row],[Quantity]]&lt;=16,"11 to 16",orders[[#This Row],[Quantity]]&gt;16,"Above 16")</f>
        <v>1 to 5</v>
      </c>
    </row>
    <row r="879" spans="1:16"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c r="P879" t="str" cm="1">
        <f t="array" ref="P879">_xlfn.IFS(orders[[#This Row],[Quantity]]&lt;=5,"1 to 5",orders[[#This Row],[Quantity]]&lt;=10,"6 to 10",orders[[#This Row],[Quantity]]&lt;=16,"11 to 16",orders[[#This Row],[Quantity]]&gt;16,"Above 16")</f>
        <v>1 to 5</v>
      </c>
    </row>
    <row r="880" spans="1:16"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c r="P880" t="str" cm="1">
        <f t="array" ref="P880">_xlfn.IFS(orders[[#This Row],[Quantity]]&lt;=5,"1 to 5",orders[[#This Row],[Quantity]]&lt;=10,"6 to 10",orders[[#This Row],[Quantity]]&lt;=16,"11 to 16",orders[[#This Row],[Quantity]]&gt;16,"Above 16")</f>
        <v>6 to 10</v>
      </c>
    </row>
    <row r="881" spans="1:16"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c r="P881" t="str" cm="1">
        <f t="array" ref="P881">_xlfn.IFS(orders[[#This Row],[Quantity]]&lt;=5,"1 to 5",orders[[#This Row],[Quantity]]&lt;=10,"6 to 10",orders[[#This Row],[Quantity]]&lt;=16,"11 to 16",orders[[#This Row],[Quantity]]&gt;16,"Above 16")</f>
        <v>6 to 10</v>
      </c>
    </row>
    <row r="882" spans="1:16"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c r="P882" t="str" cm="1">
        <f t="array" ref="P882">_xlfn.IFS(orders[[#This Row],[Quantity]]&lt;=5,"1 to 5",orders[[#This Row],[Quantity]]&lt;=10,"6 to 10",orders[[#This Row],[Quantity]]&lt;=16,"11 to 16",orders[[#This Row],[Quantity]]&gt;16,"Above 16")</f>
        <v>1 to 5</v>
      </c>
    </row>
    <row r="883" spans="1:16"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c r="P883" t="str" cm="1">
        <f t="array" ref="P883">_xlfn.IFS(orders[[#This Row],[Quantity]]&lt;=5,"1 to 5",orders[[#This Row],[Quantity]]&lt;=10,"6 to 10",orders[[#This Row],[Quantity]]&lt;=16,"11 to 16",orders[[#This Row],[Quantity]]&gt;16,"Above 16")</f>
        <v>1 to 5</v>
      </c>
    </row>
    <row r="884" spans="1:16"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c r="P884" t="str" cm="1">
        <f t="array" ref="P884">_xlfn.IFS(orders[[#This Row],[Quantity]]&lt;=5,"1 to 5",orders[[#This Row],[Quantity]]&lt;=10,"6 to 10",orders[[#This Row],[Quantity]]&lt;=16,"11 to 16",orders[[#This Row],[Quantity]]&gt;16,"Above 16")</f>
        <v>6 to 10</v>
      </c>
    </row>
    <row r="885" spans="1:16"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c r="P885" t="str" cm="1">
        <f t="array" ref="P885">_xlfn.IFS(orders[[#This Row],[Quantity]]&lt;=5,"1 to 5",orders[[#This Row],[Quantity]]&lt;=10,"6 to 10",orders[[#This Row],[Quantity]]&lt;=16,"11 to 16",orders[[#This Row],[Quantity]]&gt;16,"Above 16")</f>
        <v>Above 16</v>
      </c>
    </row>
    <row r="886" spans="1:16"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c r="P886" t="str" cm="1">
        <f t="array" ref="P886">_xlfn.IFS(orders[[#This Row],[Quantity]]&lt;=5,"1 to 5",orders[[#This Row],[Quantity]]&lt;=10,"6 to 10",orders[[#This Row],[Quantity]]&lt;=16,"11 to 16",orders[[#This Row],[Quantity]]&gt;16,"Above 16")</f>
        <v>1 to 5</v>
      </c>
    </row>
    <row r="887" spans="1:16"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c r="P887" t="str" cm="1">
        <f t="array" ref="P887">_xlfn.IFS(orders[[#This Row],[Quantity]]&lt;=5,"1 to 5",orders[[#This Row],[Quantity]]&lt;=10,"6 to 10",orders[[#This Row],[Quantity]]&lt;=16,"11 to 16",orders[[#This Row],[Quantity]]&gt;16,"Above 16")</f>
        <v>1 to 5</v>
      </c>
    </row>
    <row r="888" spans="1:16"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c r="P888" t="str" cm="1">
        <f t="array" ref="P888">_xlfn.IFS(orders[[#This Row],[Quantity]]&lt;=5,"1 to 5",orders[[#This Row],[Quantity]]&lt;=10,"6 to 10",orders[[#This Row],[Quantity]]&lt;=16,"11 to 16",orders[[#This Row],[Quantity]]&gt;16,"Above 16")</f>
        <v>1 to 5</v>
      </c>
    </row>
    <row r="889" spans="1:16"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c r="P889" t="str" cm="1">
        <f t="array" ref="P889">_xlfn.IFS(orders[[#This Row],[Quantity]]&lt;=5,"1 to 5",orders[[#This Row],[Quantity]]&lt;=10,"6 to 10",orders[[#This Row],[Quantity]]&lt;=16,"11 to 16",orders[[#This Row],[Quantity]]&gt;16,"Above 16")</f>
        <v>1 to 5</v>
      </c>
    </row>
    <row r="890" spans="1:16"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c r="P890" t="str" cm="1">
        <f t="array" ref="P890">_xlfn.IFS(orders[[#This Row],[Quantity]]&lt;=5,"1 to 5",orders[[#This Row],[Quantity]]&lt;=10,"6 to 10",orders[[#This Row],[Quantity]]&lt;=16,"11 to 16",orders[[#This Row],[Quantity]]&gt;16,"Above 16")</f>
        <v>1 to 5</v>
      </c>
    </row>
    <row r="891" spans="1:16"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c r="P891" t="str" cm="1">
        <f t="array" ref="P891">_xlfn.IFS(orders[[#This Row],[Quantity]]&lt;=5,"1 to 5",orders[[#This Row],[Quantity]]&lt;=10,"6 to 10",orders[[#This Row],[Quantity]]&lt;=16,"11 to 16",orders[[#This Row],[Quantity]]&gt;16,"Above 16")</f>
        <v>1 to 5</v>
      </c>
    </row>
    <row r="892" spans="1:16"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c r="P892" t="str" cm="1">
        <f t="array" ref="P892">_xlfn.IFS(orders[[#This Row],[Quantity]]&lt;=5,"1 to 5",orders[[#This Row],[Quantity]]&lt;=10,"6 to 10",orders[[#This Row],[Quantity]]&lt;=16,"11 to 16",orders[[#This Row],[Quantity]]&gt;16,"Above 16")</f>
        <v>6 to 10</v>
      </c>
    </row>
    <row r="893" spans="1:16"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c r="P893" t="str" cm="1">
        <f t="array" ref="P893">_xlfn.IFS(orders[[#This Row],[Quantity]]&lt;=5,"1 to 5",orders[[#This Row],[Quantity]]&lt;=10,"6 to 10",orders[[#This Row],[Quantity]]&lt;=16,"11 to 16",orders[[#This Row],[Quantity]]&gt;16,"Above 16")</f>
        <v>1 to 5</v>
      </c>
    </row>
    <row r="894" spans="1:16"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c r="P894" t="str" cm="1">
        <f t="array" ref="P894">_xlfn.IFS(orders[[#This Row],[Quantity]]&lt;=5,"1 to 5",orders[[#This Row],[Quantity]]&lt;=10,"6 to 10",orders[[#This Row],[Quantity]]&lt;=16,"11 to 16",orders[[#This Row],[Quantity]]&gt;16,"Above 16")</f>
        <v>1 to 5</v>
      </c>
    </row>
    <row r="895" spans="1:16"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c r="P895" t="str" cm="1">
        <f t="array" ref="P895">_xlfn.IFS(orders[[#This Row],[Quantity]]&lt;=5,"1 to 5",orders[[#This Row],[Quantity]]&lt;=10,"6 to 10",orders[[#This Row],[Quantity]]&lt;=16,"11 to 16",orders[[#This Row],[Quantity]]&gt;16,"Above 16")</f>
        <v>1 to 5</v>
      </c>
    </row>
    <row r="896" spans="1:16"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c r="P896" t="str" cm="1">
        <f t="array" ref="P896">_xlfn.IFS(orders[[#This Row],[Quantity]]&lt;=5,"1 to 5",orders[[#This Row],[Quantity]]&lt;=10,"6 to 10",orders[[#This Row],[Quantity]]&lt;=16,"11 to 16",orders[[#This Row],[Quantity]]&gt;16,"Above 16")</f>
        <v>6 to 10</v>
      </c>
    </row>
    <row r="897" spans="1:16"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c r="P897" t="str" cm="1">
        <f t="array" ref="P897">_xlfn.IFS(orders[[#This Row],[Quantity]]&lt;=5,"1 to 5",orders[[#This Row],[Quantity]]&lt;=10,"6 to 10",orders[[#This Row],[Quantity]]&lt;=16,"11 to 16",orders[[#This Row],[Quantity]]&gt;16,"Above 16")</f>
        <v>Above 16</v>
      </c>
    </row>
    <row r="898" spans="1:16"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c r="P898" t="str" cm="1">
        <f t="array" ref="P898">_xlfn.IFS(orders[[#This Row],[Quantity]]&lt;=5,"1 to 5",orders[[#This Row],[Quantity]]&lt;=10,"6 to 10",orders[[#This Row],[Quantity]]&lt;=16,"11 to 16",orders[[#This Row],[Quantity]]&gt;16,"Above 16")</f>
        <v>1 to 5</v>
      </c>
    </row>
    <row r="899" spans="1:16"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c r="P899" t="str" cm="1">
        <f t="array" ref="P899">_xlfn.IFS(orders[[#This Row],[Quantity]]&lt;=5,"1 to 5",orders[[#This Row],[Quantity]]&lt;=10,"6 to 10",orders[[#This Row],[Quantity]]&lt;=16,"11 to 16",orders[[#This Row],[Quantity]]&gt;16,"Above 16")</f>
        <v>1 to 5</v>
      </c>
    </row>
    <row r="900" spans="1:16"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c r="P900" t="str" cm="1">
        <f t="array" ref="P900">_xlfn.IFS(orders[[#This Row],[Quantity]]&lt;=5,"1 to 5",orders[[#This Row],[Quantity]]&lt;=10,"6 to 10",orders[[#This Row],[Quantity]]&lt;=16,"11 to 16",orders[[#This Row],[Quantity]]&gt;16,"Above 16")</f>
        <v>1 to 5</v>
      </c>
    </row>
    <row r="901" spans="1:16"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c r="P901" t="str" cm="1">
        <f t="array" ref="P901">_xlfn.IFS(orders[[#This Row],[Quantity]]&lt;=5,"1 to 5",orders[[#This Row],[Quantity]]&lt;=10,"6 to 10",orders[[#This Row],[Quantity]]&lt;=16,"11 to 16",orders[[#This Row],[Quantity]]&gt;16,"Above 16")</f>
        <v>6 to 10</v>
      </c>
    </row>
    <row r="902" spans="1:16"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c r="P902" t="str" cm="1">
        <f t="array" ref="P902">_xlfn.IFS(orders[[#This Row],[Quantity]]&lt;=5,"1 to 5",orders[[#This Row],[Quantity]]&lt;=10,"6 to 10",orders[[#This Row],[Quantity]]&lt;=16,"11 to 16",orders[[#This Row],[Quantity]]&gt;16,"Above 16")</f>
        <v>1 to 5</v>
      </c>
    </row>
    <row r="903" spans="1:16"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c r="P903" t="str" cm="1">
        <f t="array" ref="P903">_xlfn.IFS(orders[[#This Row],[Quantity]]&lt;=5,"1 to 5",orders[[#This Row],[Quantity]]&lt;=10,"6 to 10",orders[[#This Row],[Quantity]]&lt;=16,"11 to 16",orders[[#This Row],[Quantity]]&gt;16,"Above 16")</f>
        <v>1 to 5</v>
      </c>
    </row>
    <row r="904" spans="1:16"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c r="P904" t="str" cm="1">
        <f t="array" ref="P904">_xlfn.IFS(orders[[#This Row],[Quantity]]&lt;=5,"1 to 5",orders[[#This Row],[Quantity]]&lt;=10,"6 to 10",orders[[#This Row],[Quantity]]&lt;=16,"11 to 16",orders[[#This Row],[Quantity]]&gt;16,"Above 16")</f>
        <v>6 to 10</v>
      </c>
    </row>
    <row r="905" spans="1:16"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c r="P905" t="str" cm="1">
        <f t="array" ref="P905">_xlfn.IFS(orders[[#This Row],[Quantity]]&lt;=5,"1 to 5",orders[[#This Row],[Quantity]]&lt;=10,"6 to 10",orders[[#This Row],[Quantity]]&lt;=16,"11 to 16",orders[[#This Row],[Quantity]]&gt;16,"Above 16")</f>
        <v>1 to 5</v>
      </c>
    </row>
    <row r="906" spans="1:16"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c r="P906" t="str" cm="1">
        <f t="array" ref="P906">_xlfn.IFS(orders[[#This Row],[Quantity]]&lt;=5,"1 to 5",orders[[#This Row],[Quantity]]&lt;=10,"6 to 10",orders[[#This Row],[Quantity]]&lt;=16,"11 to 16",orders[[#This Row],[Quantity]]&gt;16,"Above 16")</f>
        <v>1 to 5</v>
      </c>
    </row>
    <row r="907" spans="1:16"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c r="P907" t="str" cm="1">
        <f t="array" ref="P907">_xlfn.IFS(orders[[#This Row],[Quantity]]&lt;=5,"1 to 5",orders[[#This Row],[Quantity]]&lt;=10,"6 to 10",orders[[#This Row],[Quantity]]&lt;=16,"11 to 16",orders[[#This Row],[Quantity]]&gt;16,"Above 16")</f>
        <v>1 to 5</v>
      </c>
    </row>
    <row r="908" spans="1:16"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c r="P908" t="str" cm="1">
        <f t="array" ref="P908">_xlfn.IFS(orders[[#This Row],[Quantity]]&lt;=5,"1 to 5",orders[[#This Row],[Quantity]]&lt;=10,"6 to 10",orders[[#This Row],[Quantity]]&lt;=16,"11 to 16",orders[[#This Row],[Quantity]]&gt;16,"Above 16")</f>
        <v>1 to 5</v>
      </c>
    </row>
    <row r="909" spans="1:16"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c r="P909" t="str" cm="1">
        <f t="array" ref="P909">_xlfn.IFS(orders[[#This Row],[Quantity]]&lt;=5,"1 to 5",orders[[#This Row],[Quantity]]&lt;=10,"6 to 10",orders[[#This Row],[Quantity]]&lt;=16,"11 to 16",orders[[#This Row],[Quantity]]&gt;16,"Above 16")</f>
        <v>1 to 5</v>
      </c>
    </row>
    <row r="910" spans="1:16"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c r="P910" t="str" cm="1">
        <f t="array" ref="P910">_xlfn.IFS(orders[[#This Row],[Quantity]]&lt;=5,"1 to 5",orders[[#This Row],[Quantity]]&lt;=10,"6 to 10",orders[[#This Row],[Quantity]]&lt;=16,"11 to 16",orders[[#This Row],[Quantity]]&gt;16,"Above 16")</f>
        <v>6 to 10</v>
      </c>
    </row>
    <row r="911" spans="1:16"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c r="P911" t="str" cm="1">
        <f t="array" ref="P911">_xlfn.IFS(orders[[#This Row],[Quantity]]&lt;=5,"1 to 5",orders[[#This Row],[Quantity]]&lt;=10,"6 to 10",orders[[#This Row],[Quantity]]&lt;=16,"11 to 16",orders[[#This Row],[Quantity]]&gt;16,"Above 16")</f>
        <v>1 to 5</v>
      </c>
    </row>
    <row r="912" spans="1:16"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c r="P912" t="str" cm="1">
        <f t="array" ref="P912">_xlfn.IFS(orders[[#This Row],[Quantity]]&lt;=5,"1 to 5",orders[[#This Row],[Quantity]]&lt;=10,"6 to 10",orders[[#This Row],[Quantity]]&lt;=16,"11 to 16",orders[[#This Row],[Quantity]]&gt;16,"Above 16")</f>
        <v>1 to 5</v>
      </c>
    </row>
    <row r="913" spans="1:16"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c r="P913" t="str" cm="1">
        <f t="array" ref="P913">_xlfn.IFS(orders[[#This Row],[Quantity]]&lt;=5,"1 to 5",orders[[#This Row],[Quantity]]&lt;=10,"6 to 10",orders[[#This Row],[Quantity]]&lt;=16,"11 to 16",orders[[#This Row],[Quantity]]&gt;16,"Above 16")</f>
        <v>1 to 5</v>
      </c>
    </row>
    <row r="914" spans="1:16"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c r="P914" t="str" cm="1">
        <f t="array" ref="P914">_xlfn.IFS(orders[[#This Row],[Quantity]]&lt;=5,"1 to 5",orders[[#This Row],[Quantity]]&lt;=10,"6 to 10",orders[[#This Row],[Quantity]]&lt;=16,"11 to 16",orders[[#This Row],[Quantity]]&gt;16,"Above 16")</f>
        <v>1 to 5</v>
      </c>
    </row>
    <row r="915" spans="1:16"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c r="P915" t="str" cm="1">
        <f t="array" ref="P915">_xlfn.IFS(orders[[#This Row],[Quantity]]&lt;=5,"1 to 5",orders[[#This Row],[Quantity]]&lt;=10,"6 to 10",orders[[#This Row],[Quantity]]&lt;=16,"11 to 16",orders[[#This Row],[Quantity]]&gt;16,"Above 16")</f>
        <v>6 to 10</v>
      </c>
    </row>
    <row r="916" spans="1:16"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c r="P916" t="str" cm="1">
        <f t="array" ref="P916">_xlfn.IFS(orders[[#This Row],[Quantity]]&lt;=5,"1 to 5",orders[[#This Row],[Quantity]]&lt;=10,"6 to 10",orders[[#This Row],[Quantity]]&lt;=16,"11 to 16",orders[[#This Row],[Quantity]]&gt;16,"Above 16")</f>
        <v>1 to 5</v>
      </c>
    </row>
    <row r="917" spans="1:16"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c r="P917" t="str" cm="1">
        <f t="array" ref="P917">_xlfn.IFS(orders[[#This Row],[Quantity]]&lt;=5,"1 to 5",orders[[#This Row],[Quantity]]&lt;=10,"6 to 10",orders[[#This Row],[Quantity]]&lt;=16,"11 to 16",orders[[#This Row],[Quantity]]&gt;16,"Above 16")</f>
        <v>1 to 5</v>
      </c>
    </row>
    <row r="918" spans="1:16"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c r="P918" t="str" cm="1">
        <f t="array" ref="P918">_xlfn.IFS(orders[[#This Row],[Quantity]]&lt;=5,"1 to 5",orders[[#This Row],[Quantity]]&lt;=10,"6 to 10",orders[[#This Row],[Quantity]]&lt;=16,"11 to 16",orders[[#This Row],[Quantity]]&gt;16,"Above 16")</f>
        <v>6 to 10</v>
      </c>
    </row>
    <row r="919" spans="1:16"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c r="P919" t="str" cm="1">
        <f t="array" ref="P919">_xlfn.IFS(orders[[#This Row],[Quantity]]&lt;=5,"1 to 5",orders[[#This Row],[Quantity]]&lt;=10,"6 to 10",orders[[#This Row],[Quantity]]&lt;=16,"11 to 16",orders[[#This Row],[Quantity]]&gt;16,"Above 16")</f>
        <v>1 to 5</v>
      </c>
    </row>
    <row r="920" spans="1:16"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c r="P920" t="str" cm="1">
        <f t="array" ref="P920">_xlfn.IFS(orders[[#This Row],[Quantity]]&lt;=5,"1 to 5",orders[[#This Row],[Quantity]]&lt;=10,"6 to 10",orders[[#This Row],[Quantity]]&lt;=16,"11 to 16",orders[[#This Row],[Quantity]]&gt;16,"Above 16")</f>
        <v>1 to 5</v>
      </c>
    </row>
    <row r="921" spans="1:16"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c r="P921" t="str" cm="1">
        <f t="array" ref="P921">_xlfn.IFS(orders[[#This Row],[Quantity]]&lt;=5,"1 to 5",orders[[#This Row],[Quantity]]&lt;=10,"6 to 10",orders[[#This Row],[Quantity]]&lt;=16,"11 to 16",orders[[#This Row],[Quantity]]&gt;16,"Above 16")</f>
        <v>1 to 5</v>
      </c>
    </row>
    <row r="922" spans="1:16"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c r="P922" t="str" cm="1">
        <f t="array" ref="P922">_xlfn.IFS(orders[[#This Row],[Quantity]]&lt;=5,"1 to 5",orders[[#This Row],[Quantity]]&lt;=10,"6 to 10",orders[[#This Row],[Quantity]]&lt;=16,"11 to 16",orders[[#This Row],[Quantity]]&gt;16,"Above 16")</f>
        <v>1 to 5</v>
      </c>
    </row>
    <row r="923" spans="1:16"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c r="P923" t="str" cm="1">
        <f t="array" ref="P923">_xlfn.IFS(orders[[#This Row],[Quantity]]&lt;=5,"1 to 5",orders[[#This Row],[Quantity]]&lt;=10,"6 to 10",orders[[#This Row],[Quantity]]&lt;=16,"11 to 16",orders[[#This Row],[Quantity]]&gt;16,"Above 16")</f>
        <v>1 to 5</v>
      </c>
    </row>
    <row r="924" spans="1:16"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c r="P924" t="str" cm="1">
        <f t="array" ref="P924">_xlfn.IFS(orders[[#This Row],[Quantity]]&lt;=5,"1 to 5",orders[[#This Row],[Quantity]]&lt;=10,"6 to 10",orders[[#This Row],[Quantity]]&lt;=16,"11 to 16",orders[[#This Row],[Quantity]]&gt;16,"Above 16")</f>
        <v>1 to 5</v>
      </c>
    </row>
    <row r="925" spans="1:16"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c r="P925" t="str" cm="1">
        <f t="array" ref="P925">_xlfn.IFS(orders[[#This Row],[Quantity]]&lt;=5,"1 to 5",orders[[#This Row],[Quantity]]&lt;=10,"6 to 10",orders[[#This Row],[Quantity]]&lt;=16,"11 to 16",orders[[#This Row],[Quantity]]&gt;16,"Above 16")</f>
        <v>1 to 5</v>
      </c>
    </row>
    <row r="926" spans="1:16"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c r="P926" t="str" cm="1">
        <f t="array" ref="P926">_xlfn.IFS(orders[[#This Row],[Quantity]]&lt;=5,"1 to 5",orders[[#This Row],[Quantity]]&lt;=10,"6 to 10",orders[[#This Row],[Quantity]]&lt;=16,"11 to 16",orders[[#This Row],[Quantity]]&gt;16,"Above 16")</f>
        <v>1 to 5</v>
      </c>
    </row>
    <row r="927" spans="1:16"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c r="P927" t="str" cm="1">
        <f t="array" ref="P927">_xlfn.IFS(orders[[#This Row],[Quantity]]&lt;=5,"1 to 5",orders[[#This Row],[Quantity]]&lt;=10,"6 to 10",orders[[#This Row],[Quantity]]&lt;=16,"11 to 16",orders[[#This Row],[Quantity]]&gt;16,"Above 16")</f>
        <v>1 to 5</v>
      </c>
    </row>
    <row r="928" spans="1:16"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c r="P928" t="str" cm="1">
        <f t="array" ref="P928">_xlfn.IFS(orders[[#This Row],[Quantity]]&lt;=5,"1 to 5",orders[[#This Row],[Quantity]]&lt;=10,"6 to 10",orders[[#This Row],[Quantity]]&lt;=16,"11 to 16",orders[[#This Row],[Quantity]]&gt;16,"Above 16")</f>
        <v>1 to 5</v>
      </c>
    </row>
    <row r="929" spans="1:16"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c r="P929" t="str" cm="1">
        <f t="array" ref="P929">_xlfn.IFS(orders[[#This Row],[Quantity]]&lt;=5,"1 to 5",orders[[#This Row],[Quantity]]&lt;=10,"6 to 10",orders[[#This Row],[Quantity]]&lt;=16,"11 to 16",orders[[#This Row],[Quantity]]&gt;16,"Above 16")</f>
        <v>1 to 5</v>
      </c>
    </row>
    <row r="930" spans="1:16"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c r="P930" t="str" cm="1">
        <f t="array" ref="P930">_xlfn.IFS(orders[[#This Row],[Quantity]]&lt;=5,"1 to 5",orders[[#This Row],[Quantity]]&lt;=10,"6 to 10",orders[[#This Row],[Quantity]]&lt;=16,"11 to 16",orders[[#This Row],[Quantity]]&gt;16,"Above 16")</f>
        <v>1 to 5</v>
      </c>
    </row>
    <row r="931" spans="1:16"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c r="P931" t="str" cm="1">
        <f t="array" ref="P931">_xlfn.IFS(orders[[#This Row],[Quantity]]&lt;=5,"1 to 5",orders[[#This Row],[Quantity]]&lt;=10,"6 to 10",orders[[#This Row],[Quantity]]&lt;=16,"11 to 16",orders[[#This Row],[Quantity]]&gt;16,"Above 16")</f>
        <v>1 to 5</v>
      </c>
    </row>
    <row r="932" spans="1:16"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c r="P932" t="str" cm="1">
        <f t="array" ref="P932">_xlfn.IFS(orders[[#This Row],[Quantity]]&lt;=5,"1 to 5",orders[[#This Row],[Quantity]]&lt;=10,"6 to 10",orders[[#This Row],[Quantity]]&lt;=16,"11 to 16",orders[[#This Row],[Quantity]]&gt;16,"Above 16")</f>
        <v>6 to 10</v>
      </c>
    </row>
    <row r="933" spans="1:16"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c r="P933" t="str" cm="1">
        <f t="array" ref="P933">_xlfn.IFS(orders[[#This Row],[Quantity]]&lt;=5,"1 to 5",orders[[#This Row],[Quantity]]&lt;=10,"6 to 10",orders[[#This Row],[Quantity]]&lt;=16,"11 to 16",orders[[#This Row],[Quantity]]&gt;16,"Above 16")</f>
        <v>6 to 10</v>
      </c>
    </row>
    <row r="934" spans="1:16"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c r="P934" t="str" cm="1">
        <f t="array" ref="P934">_xlfn.IFS(orders[[#This Row],[Quantity]]&lt;=5,"1 to 5",orders[[#This Row],[Quantity]]&lt;=10,"6 to 10",orders[[#This Row],[Quantity]]&lt;=16,"11 to 16",orders[[#This Row],[Quantity]]&gt;16,"Above 16")</f>
        <v>11 to 16</v>
      </c>
    </row>
    <row r="935" spans="1:16"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c r="P935" t="str" cm="1">
        <f t="array" ref="P935">_xlfn.IFS(orders[[#This Row],[Quantity]]&lt;=5,"1 to 5",orders[[#This Row],[Quantity]]&lt;=10,"6 to 10",orders[[#This Row],[Quantity]]&lt;=16,"11 to 16",orders[[#This Row],[Quantity]]&gt;16,"Above 16")</f>
        <v>1 to 5</v>
      </c>
    </row>
    <row r="936" spans="1:16"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c r="P936" t="str" cm="1">
        <f t="array" ref="P936">_xlfn.IFS(orders[[#This Row],[Quantity]]&lt;=5,"1 to 5",orders[[#This Row],[Quantity]]&lt;=10,"6 to 10",orders[[#This Row],[Quantity]]&lt;=16,"11 to 16",orders[[#This Row],[Quantity]]&gt;16,"Above 16")</f>
        <v>1 to 5</v>
      </c>
    </row>
    <row r="937" spans="1:16"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c r="P937" t="str" cm="1">
        <f t="array" ref="P937">_xlfn.IFS(orders[[#This Row],[Quantity]]&lt;=5,"1 to 5",orders[[#This Row],[Quantity]]&lt;=10,"6 to 10",orders[[#This Row],[Quantity]]&lt;=16,"11 to 16",orders[[#This Row],[Quantity]]&gt;16,"Above 16")</f>
        <v>1 to 5</v>
      </c>
    </row>
    <row r="938" spans="1:16"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c r="P938" t="str" cm="1">
        <f t="array" ref="P938">_xlfn.IFS(orders[[#This Row],[Quantity]]&lt;=5,"1 to 5",orders[[#This Row],[Quantity]]&lt;=10,"6 to 10",orders[[#This Row],[Quantity]]&lt;=16,"11 to 16",orders[[#This Row],[Quantity]]&gt;16,"Above 16")</f>
        <v>6 to 10</v>
      </c>
    </row>
    <row r="939" spans="1:16"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c r="P939" t="str" cm="1">
        <f t="array" ref="P939">_xlfn.IFS(orders[[#This Row],[Quantity]]&lt;=5,"1 to 5",orders[[#This Row],[Quantity]]&lt;=10,"6 to 10",orders[[#This Row],[Quantity]]&lt;=16,"11 to 16",orders[[#This Row],[Quantity]]&gt;16,"Above 16")</f>
        <v>1 to 5</v>
      </c>
    </row>
    <row r="940" spans="1:16"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c r="P940" t="str" cm="1">
        <f t="array" ref="P940">_xlfn.IFS(orders[[#This Row],[Quantity]]&lt;=5,"1 to 5",orders[[#This Row],[Quantity]]&lt;=10,"6 to 10",orders[[#This Row],[Quantity]]&lt;=16,"11 to 16",orders[[#This Row],[Quantity]]&gt;16,"Above 16")</f>
        <v>6 to 10</v>
      </c>
    </row>
    <row r="941" spans="1:16"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c r="P941" t="str" cm="1">
        <f t="array" ref="P941">_xlfn.IFS(orders[[#This Row],[Quantity]]&lt;=5,"1 to 5",orders[[#This Row],[Quantity]]&lt;=10,"6 to 10",orders[[#This Row],[Quantity]]&lt;=16,"11 to 16",orders[[#This Row],[Quantity]]&gt;16,"Above 16")</f>
        <v>1 to 5</v>
      </c>
    </row>
    <row r="942" spans="1:16"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c r="P942" t="str" cm="1">
        <f t="array" ref="P942">_xlfn.IFS(orders[[#This Row],[Quantity]]&lt;=5,"1 to 5",orders[[#This Row],[Quantity]]&lt;=10,"6 to 10",orders[[#This Row],[Quantity]]&lt;=16,"11 to 16",orders[[#This Row],[Quantity]]&gt;16,"Above 16")</f>
        <v>1 to 5</v>
      </c>
    </row>
    <row r="943" spans="1:16"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c r="P943" t="str" cm="1">
        <f t="array" ref="P943">_xlfn.IFS(orders[[#This Row],[Quantity]]&lt;=5,"1 to 5",orders[[#This Row],[Quantity]]&lt;=10,"6 to 10",orders[[#This Row],[Quantity]]&lt;=16,"11 to 16",orders[[#This Row],[Quantity]]&gt;16,"Above 16")</f>
        <v>1 to 5</v>
      </c>
    </row>
    <row r="944" spans="1:16"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c r="P944" t="str" cm="1">
        <f t="array" ref="P944">_xlfn.IFS(orders[[#This Row],[Quantity]]&lt;=5,"1 to 5",orders[[#This Row],[Quantity]]&lt;=10,"6 to 10",orders[[#This Row],[Quantity]]&lt;=16,"11 to 16",orders[[#This Row],[Quantity]]&gt;16,"Above 16")</f>
        <v>6 to 10</v>
      </c>
    </row>
    <row r="945" spans="1:16"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c r="P945" t="str" cm="1">
        <f t="array" ref="P945">_xlfn.IFS(orders[[#This Row],[Quantity]]&lt;=5,"1 to 5",orders[[#This Row],[Quantity]]&lt;=10,"6 to 10",orders[[#This Row],[Quantity]]&lt;=16,"11 to 16",orders[[#This Row],[Quantity]]&gt;16,"Above 16")</f>
        <v>1 to 5</v>
      </c>
    </row>
    <row r="946" spans="1:16"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c r="P946" t="str" cm="1">
        <f t="array" ref="P946">_xlfn.IFS(orders[[#This Row],[Quantity]]&lt;=5,"1 to 5",orders[[#This Row],[Quantity]]&lt;=10,"6 to 10",orders[[#This Row],[Quantity]]&lt;=16,"11 to 16",orders[[#This Row],[Quantity]]&gt;16,"Above 16")</f>
        <v>1 to 5</v>
      </c>
    </row>
    <row r="947" spans="1:16"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c r="P947" t="str" cm="1">
        <f t="array" ref="P947">_xlfn.IFS(orders[[#This Row],[Quantity]]&lt;=5,"1 to 5",orders[[#This Row],[Quantity]]&lt;=10,"6 to 10",orders[[#This Row],[Quantity]]&lt;=16,"11 to 16",orders[[#This Row],[Quantity]]&gt;16,"Above 16")</f>
        <v>Above 16</v>
      </c>
    </row>
    <row r="948" spans="1:16"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c r="P948" t="str" cm="1">
        <f t="array" ref="P948">_xlfn.IFS(orders[[#This Row],[Quantity]]&lt;=5,"1 to 5",orders[[#This Row],[Quantity]]&lt;=10,"6 to 10",orders[[#This Row],[Quantity]]&lt;=16,"11 to 16",orders[[#This Row],[Quantity]]&gt;16,"Above 16")</f>
        <v>1 to 5</v>
      </c>
    </row>
    <row r="949" spans="1:16"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c r="P949" t="str" cm="1">
        <f t="array" ref="P949">_xlfn.IFS(orders[[#This Row],[Quantity]]&lt;=5,"1 to 5",orders[[#This Row],[Quantity]]&lt;=10,"6 to 10",orders[[#This Row],[Quantity]]&lt;=16,"11 to 16",orders[[#This Row],[Quantity]]&gt;16,"Above 16")</f>
        <v>1 to 5</v>
      </c>
    </row>
    <row r="950" spans="1:16"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c r="P950" t="str" cm="1">
        <f t="array" ref="P950">_xlfn.IFS(orders[[#This Row],[Quantity]]&lt;=5,"1 to 5",orders[[#This Row],[Quantity]]&lt;=10,"6 to 10",orders[[#This Row],[Quantity]]&lt;=16,"11 to 16",orders[[#This Row],[Quantity]]&gt;16,"Above 16")</f>
        <v>1 to 5</v>
      </c>
    </row>
    <row r="951" spans="1:16"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c r="P951" t="str" cm="1">
        <f t="array" ref="P951">_xlfn.IFS(orders[[#This Row],[Quantity]]&lt;=5,"1 to 5",orders[[#This Row],[Quantity]]&lt;=10,"6 to 10",orders[[#This Row],[Quantity]]&lt;=16,"11 to 16",orders[[#This Row],[Quantity]]&gt;16,"Above 16")</f>
        <v>1 to 5</v>
      </c>
    </row>
    <row r="952" spans="1:16"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c r="P952" t="str" cm="1">
        <f t="array" ref="P952">_xlfn.IFS(orders[[#This Row],[Quantity]]&lt;=5,"1 to 5",orders[[#This Row],[Quantity]]&lt;=10,"6 to 10",orders[[#This Row],[Quantity]]&lt;=16,"11 to 16",orders[[#This Row],[Quantity]]&gt;16,"Above 16")</f>
        <v>1 to 5</v>
      </c>
    </row>
    <row r="953" spans="1:16"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c r="P953" t="str" cm="1">
        <f t="array" ref="P953">_xlfn.IFS(orders[[#This Row],[Quantity]]&lt;=5,"1 to 5",orders[[#This Row],[Quantity]]&lt;=10,"6 to 10",orders[[#This Row],[Quantity]]&lt;=16,"11 to 16",orders[[#This Row],[Quantity]]&gt;16,"Above 16")</f>
        <v>1 to 5</v>
      </c>
    </row>
    <row r="954" spans="1:16"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c r="P954" t="str" cm="1">
        <f t="array" ref="P954">_xlfn.IFS(orders[[#This Row],[Quantity]]&lt;=5,"1 to 5",orders[[#This Row],[Quantity]]&lt;=10,"6 to 10",orders[[#This Row],[Quantity]]&lt;=16,"11 to 16",orders[[#This Row],[Quantity]]&gt;16,"Above 16")</f>
        <v>1 to 5</v>
      </c>
    </row>
    <row r="955" spans="1:16"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c r="P955" t="str" cm="1">
        <f t="array" ref="P955">_xlfn.IFS(orders[[#This Row],[Quantity]]&lt;=5,"1 to 5",orders[[#This Row],[Quantity]]&lt;=10,"6 to 10",orders[[#This Row],[Quantity]]&lt;=16,"11 to 16",orders[[#This Row],[Quantity]]&gt;16,"Above 16")</f>
        <v>1 to 5</v>
      </c>
    </row>
    <row r="956" spans="1:16"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c r="P956" t="str" cm="1">
        <f t="array" ref="P956">_xlfn.IFS(orders[[#This Row],[Quantity]]&lt;=5,"1 to 5",orders[[#This Row],[Quantity]]&lt;=10,"6 to 10",orders[[#This Row],[Quantity]]&lt;=16,"11 to 16",orders[[#This Row],[Quantity]]&gt;16,"Above 16")</f>
        <v>1 to 5</v>
      </c>
    </row>
    <row r="957" spans="1:16"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c r="P957" t="str" cm="1">
        <f t="array" ref="P957">_xlfn.IFS(orders[[#This Row],[Quantity]]&lt;=5,"1 to 5",orders[[#This Row],[Quantity]]&lt;=10,"6 to 10",orders[[#This Row],[Quantity]]&lt;=16,"11 to 16",orders[[#This Row],[Quantity]]&gt;16,"Above 16")</f>
        <v>1 to 5</v>
      </c>
    </row>
    <row r="958" spans="1:16"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c r="P958" t="str" cm="1">
        <f t="array" ref="P958">_xlfn.IFS(orders[[#This Row],[Quantity]]&lt;=5,"1 to 5",orders[[#This Row],[Quantity]]&lt;=10,"6 to 10",orders[[#This Row],[Quantity]]&lt;=16,"11 to 16",orders[[#This Row],[Quantity]]&gt;16,"Above 16")</f>
        <v>1 to 5</v>
      </c>
    </row>
    <row r="959" spans="1:16"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c r="P959" t="str" cm="1">
        <f t="array" ref="P959">_xlfn.IFS(orders[[#This Row],[Quantity]]&lt;=5,"1 to 5",orders[[#This Row],[Quantity]]&lt;=10,"6 to 10",orders[[#This Row],[Quantity]]&lt;=16,"11 to 16",orders[[#This Row],[Quantity]]&gt;16,"Above 16")</f>
        <v>1 to 5</v>
      </c>
    </row>
    <row r="960" spans="1:16"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c r="P960" t="str" cm="1">
        <f t="array" ref="P960">_xlfn.IFS(orders[[#This Row],[Quantity]]&lt;=5,"1 to 5",orders[[#This Row],[Quantity]]&lt;=10,"6 to 10",orders[[#This Row],[Quantity]]&lt;=16,"11 to 16",orders[[#This Row],[Quantity]]&gt;16,"Above 16")</f>
        <v>Above 16</v>
      </c>
    </row>
    <row r="961" spans="1:16"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c r="P961" t="str" cm="1">
        <f t="array" ref="P961">_xlfn.IFS(orders[[#This Row],[Quantity]]&lt;=5,"1 to 5",orders[[#This Row],[Quantity]]&lt;=10,"6 to 10",orders[[#This Row],[Quantity]]&lt;=16,"11 to 16",orders[[#This Row],[Quantity]]&gt;16,"Above 16")</f>
        <v>1 to 5</v>
      </c>
    </row>
    <row r="962" spans="1:16"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c r="P962" t="str" cm="1">
        <f t="array" ref="P962">_xlfn.IFS(orders[[#This Row],[Quantity]]&lt;=5,"1 to 5",orders[[#This Row],[Quantity]]&lt;=10,"6 to 10",orders[[#This Row],[Quantity]]&lt;=16,"11 to 16",orders[[#This Row],[Quantity]]&gt;16,"Above 16")</f>
        <v>6 to 10</v>
      </c>
    </row>
    <row r="963" spans="1:16"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c r="P963" t="str" cm="1">
        <f t="array" ref="P963">_xlfn.IFS(orders[[#This Row],[Quantity]]&lt;=5,"1 to 5",orders[[#This Row],[Quantity]]&lt;=10,"6 to 10",orders[[#This Row],[Quantity]]&lt;=16,"11 to 16",orders[[#This Row],[Quantity]]&gt;16,"Above 16")</f>
        <v>1 to 5</v>
      </c>
    </row>
    <row r="964" spans="1:16"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c r="P964" t="str" cm="1">
        <f t="array" ref="P964">_xlfn.IFS(orders[[#This Row],[Quantity]]&lt;=5,"1 to 5",orders[[#This Row],[Quantity]]&lt;=10,"6 to 10",orders[[#This Row],[Quantity]]&lt;=16,"11 to 16",orders[[#This Row],[Quantity]]&gt;16,"Above 16")</f>
        <v>1 to 5</v>
      </c>
    </row>
    <row r="965" spans="1:16"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c r="P965" t="str" cm="1">
        <f t="array" ref="P965">_xlfn.IFS(orders[[#This Row],[Quantity]]&lt;=5,"1 to 5",orders[[#This Row],[Quantity]]&lt;=10,"6 to 10",orders[[#This Row],[Quantity]]&lt;=16,"11 to 16",orders[[#This Row],[Quantity]]&gt;16,"Above 16")</f>
        <v>1 to 5</v>
      </c>
    </row>
    <row r="966" spans="1:16"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c r="P966" t="str" cm="1">
        <f t="array" ref="P966">_xlfn.IFS(orders[[#This Row],[Quantity]]&lt;=5,"1 to 5",orders[[#This Row],[Quantity]]&lt;=10,"6 to 10",orders[[#This Row],[Quantity]]&lt;=16,"11 to 16",orders[[#This Row],[Quantity]]&gt;16,"Above 16")</f>
        <v>1 to 5</v>
      </c>
    </row>
    <row r="967" spans="1:16"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c r="P967" t="str" cm="1">
        <f t="array" ref="P967">_xlfn.IFS(orders[[#This Row],[Quantity]]&lt;=5,"1 to 5",orders[[#This Row],[Quantity]]&lt;=10,"6 to 10",orders[[#This Row],[Quantity]]&lt;=16,"11 to 16",orders[[#This Row],[Quantity]]&gt;16,"Above 16")</f>
        <v>1 to 5</v>
      </c>
    </row>
    <row r="968" spans="1:16"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c r="P968" t="str" cm="1">
        <f t="array" ref="P968">_xlfn.IFS(orders[[#This Row],[Quantity]]&lt;=5,"1 to 5",orders[[#This Row],[Quantity]]&lt;=10,"6 to 10",orders[[#This Row],[Quantity]]&lt;=16,"11 to 16",orders[[#This Row],[Quantity]]&gt;16,"Above 16")</f>
        <v>1 to 5</v>
      </c>
    </row>
    <row r="969" spans="1:16"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c r="P969" t="str" cm="1">
        <f t="array" ref="P969">_xlfn.IFS(orders[[#This Row],[Quantity]]&lt;=5,"1 to 5",orders[[#This Row],[Quantity]]&lt;=10,"6 to 10",orders[[#This Row],[Quantity]]&lt;=16,"11 to 16",orders[[#This Row],[Quantity]]&gt;16,"Above 16")</f>
        <v>1 to 5</v>
      </c>
    </row>
    <row r="970" spans="1:16"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c r="P970" t="str" cm="1">
        <f t="array" ref="P970">_xlfn.IFS(orders[[#This Row],[Quantity]]&lt;=5,"1 to 5",orders[[#This Row],[Quantity]]&lt;=10,"6 to 10",orders[[#This Row],[Quantity]]&lt;=16,"11 to 16",orders[[#This Row],[Quantity]]&gt;16,"Above 16")</f>
        <v>1 to 5</v>
      </c>
    </row>
    <row r="971" spans="1:16"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c r="P971" t="str" cm="1">
        <f t="array" ref="P971">_xlfn.IFS(orders[[#This Row],[Quantity]]&lt;=5,"1 to 5",orders[[#This Row],[Quantity]]&lt;=10,"6 to 10",orders[[#This Row],[Quantity]]&lt;=16,"11 to 16",orders[[#This Row],[Quantity]]&gt;16,"Above 16")</f>
        <v>1 to 5</v>
      </c>
    </row>
    <row r="972" spans="1:16"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c r="P972" t="str" cm="1">
        <f t="array" ref="P972">_xlfn.IFS(orders[[#This Row],[Quantity]]&lt;=5,"1 to 5",orders[[#This Row],[Quantity]]&lt;=10,"6 to 10",orders[[#This Row],[Quantity]]&lt;=16,"11 to 16",orders[[#This Row],[Quantity]]&gt;16,"Above 16")</f>
        <v>6 to 10</v>
      </c>
    </row>
    <row r="973" spans="1:16"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c r="P973" t="str" cm="1">
        <f t="array" ref="P973">_xlfn.IFS(orders[[#This Row],[Quantity]]&lt;=5,"1 to 5",orders[[#This Row],[Quantity]]&lt;=10,"6 to 10",orders[[#This Row],[Quantity]]&lt;=16,"11 to 16",orders[[#This Row],[Quantity]]&gt;16,"Above 16")</f>
        <v>1 to 5</v>
      </c>
    </row>
    <row r="974" spans="1:16"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c r="P974" t="str" cm="1">
        <f t="array" ref="P974">_xlfn.IFS(orders[[#This Row],[Quantity]]&lt;=5,"1 to 5",orders[[#This Row],[Quantity]]&lt;=10,"6 to 10",orders[[#This Row],[Quantity]]&lt;=16,"11 to 16",orders[[#This Row],[Quantity]]&gt;16,"Above 16")</f>
        <v>1 to 5</v>
      </c>
    </row>
    <row r="975" spans="1:16"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c r="P975" t="str" cm="1">
        <f t="array" ref="P975">_xlfn.IFS(orders[[#This Row],[Quantity]]&lt;=5,"1 to 5",orders[[#This Row],[Quantity]]&lt;=10,"6 to 10",orders[[#This Row],[Quantity]]&lt;=16,"11 to 16",orders[[#This Row],[Quantity]]&gt;16,"Above 16")</f>
        <v>1 to 5</v>
      </c>
    </row>
    <row r="976" spans="1:16"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c r="P976" t="str" cm="1">
        <f t="array" ref="P976">_xlfn.IFS(orders[[#This Row],[Quantity]]&lt;=5,"1 to 5",orders[[#This Row],[Quantity]]&lt;=10,"6 to 10",orders[[#This Row],[Quantity]]&lt;=16,"11 to 16",orders[[#This Row],[Quantity]]&gt;16,"Above 16")</f>
        <v>6 to 10</v>
      </c>
    </row>
    <row r="977" spans="1:16"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c r="P977" t="str" cm="1">
        <f t="array" ref="P977">_xlfn.IFS(orders[[#This Row],[Quantity]]&lt;=5,"1 to 5",orders[[#This Row],[Quantity]]&lt;=10,"6 to 10",orders[[#This Row],[Quantity]]&lt;=16,"11 to 16",orders[[#This Row],[Quantity]]&gt;16,"Above 16")</f>
        <v>6 to 10</v>
      </c>
    </row>
    <row r="978" spans="1:16"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c r="P978" t="str" cm="1">
        <f t="array" ref="P978">_xlfn.IFS(orders[[#This Row],[Quantity]]&lt;=5,"1 to 5",orders[[#This Row],[Quantity]]&lt;=10,"6 to 10",orders[[#This Row],[Quantity]]&lt;=16,"11 to 16",orders[[#This Row],[Quantity]]&gt;16,"Above 16")</f>
        <v>11 to 16</v>
      </c>
    </row>
    <row r="979" spans="1:16"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c r="P979" t="str" cm="1">
        <f t="array" ref="P979">_xlfn.IFS(orders[[#This Row],[Quantity]]&lt;=5,"1 to 5",orders[[#This Row],[Quantity]]&lt;=10,"6 to 10",orders[[#This Row],[Quantity]]&lt;=16,"11 to 16",orders[[#This Row],[Quantity]]&gt;16,"Above 16")</f>
        <v>1 to 5</v>
      </c>
    </row>
    <row r="980" spans="1:16"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c r="P980" t="str" cm="1">
        <f t="array" ref="P980">_xlfn.IFS(orders[[#This Row],[Quantity]]&lt;=5,"1 to 5",orders[[#This Row],[Quantity]]&lt;=10,"6 to 10",orders[[#This Row],[Quantity]]&lt;=16,"11 to 16",orders[[#This Row],[Quantity]]&gt;16,"Above 16")</f>
        <v>1 to 5</v>
      </c>
    </row>
    <row r="981" spans="1:16"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c r="P981" t="str" cm="1">
        <f t="array" ref="P981">_xlfn.IFS(orders[[#This Row],[Quantity]]&lt;=5,"1 to 5",orders[[#This Row],[Quantity]]&lt;=10,"6 to 10",orders[[#This Row],[Quantity]]&lt;=16,"11 to 16",orders[[#This Row],[Quantity]]&gt;16,"Above 16")</f>
        <v>6 to 10</v>
      </c>
    </row>
    <row r="982" spans="1:16"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c r="P982" t="str" cm="1">
        <f t="array" ref="P982">_xlfn.IFS(orders[[#This Row],[Quantity]]&lt;=5,"1 to 5",orders[[#This Row],[Quantity]]&lt;=10,"6 to 10",orders[[#This Row],[Quantity]]&lt;=16,"11 to 16",orders[[#This Row],[Quantity]]&gt;16,"Above 16")</f>
        <v>1 to 5</v>
      </c>
    </row>
    <row r="983" spans="1:16"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c r="P983" t="str" cm="1">
        <f t="array" ref="P983">_xlfn.IFS(orders[[#This Row],[Quantity]]&lt;=5,"1 to 5",orders[[#This Row],[Quantity]]&lt;=10,"6 to 10",orders[[#This Row],[Quantity]]&lt;=16,"11 to 16",orders[[#This Row],[Quantity]]&gt;16,"Above 16")</f>
        <v>1 to 5</v>
      </c>
    </row>
    <row r="984" spans="1:16"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c r="P984" t="str" cm="1">
        <f t="array" ref="P984">_xlfn.IFS(orders[[#This Row],[Quantity]]&lt;=5,"1 to 5",orders[[#This Row],[Quantity]]&lt;=10,"6 to 10",orders[[#This Row],[Quantity]]&lt;=16,"11 to 16",orders[[#This Row],[Quantity]]&gt;16,"Above 16")</f>
        <v>1 to 5</v>
      </c>
    </row>
    <row r="985" spans="1:16"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c r="P985" t="str" cm="1">
        <f t="array" ref="P985">_xlfn.IFS(orders[[#This Row],[Quantity]]&lt;=5,"1 to 5",orders[[#This Row],[Quantity]]&lt;=10,"6 to 10",orders[[#This Row],[Quantity]]&lt;=16,"11 to 16",orders[[#This Row],[Quantity]]&gt;16,"Above 16")</f>
        <v>6 to 10</v>
      </c>
    </row>
    <row r="986" spans="1:16"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c r="P986" t="str" cm="1">
        <f t="array" ref="P986">_xlfn.IFS(orders[[#This Row],[Quantity]]&lt;=5,"1 to 5",orders[[#This Row],[Quantity]]&lt;=10,"6 to 10",orders[[#This Row],[Quantity]]&lt;=16,"11 to 16",orders[[#This Row],[Quantity]]&gt;16,"Above 16")</f>
        <v>1 to 5</v>
      </c>
    </row>
    <row r="987" spans="1:16"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c r="P987" t="str" cm="1">
        <f t="array" ref="P987">_xlfn.IFS(orders[[#This Row],[Quantity]]&lt;=5,"1 to 5",orders[[#This Row],[Quantity]]&lt;=10,"6 to 10",orders[[#This Row],[Quantity]]&lt;=16,"11 to 16",orders[[#This Row],[Quantity]]&gt;16,"Above 16")</f>
        <v>1 to 5</v>
      </c>
    </row>
    <row r="988" spans="1:16"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c r="P988" t="str" cm="1">
        <f t="array" ref="P988">_xlfn.IFS(orders[[#This Row],[Quantity]]&lt;=5,"1 to 5",orders[[#This Row],[Quantity]]&lt;=10,"6 to 10",orders[[#This Row],[Quantity]]&lt;=16,"11 to 16",orders[[#This Row],[Quantity]]&gt;16,"Above 16")</f>
        <v>1 to 5</v>
      </c>
    </row>
    <row r="989" spans="1:16"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c r="P989" t="str" cm="1">
        <f t="array" ref="P989">_xlfn.IFS(orders[[#This Row],[Quantity]]&lt;=5,"1 to 5",orders[[#This Row],[Quantity]]&lt;=10,"6 to 10",orders[[#This Row],[Quantity]]&lt;=16,"11 to 16",orders[[#This Row],[Quantity]]&gt;16,"Above 16")</f>
        <v>1 to 5</v>
      </c>
    </row>
    <row r="990" spans="1:16"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c r="P990" t="str" cm="1">
        <f t="array" ref="P990">_xlfn.IFS(orders[[#This Row],[Quantity]]&lt;=5,"1 to 5",orders[[#This Row],[Quantity]]&lt;=10,"6 to 10",orders[[#This Row],[Quantity]]&lt;=16,"11 to 16",orders[[#This Row],[Quantity]]&gt;16,"Above 16")</f>
        <v>1 to 5</v>
      </c>
    </row>
    <row r="991" spans="1:16"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c r="P991" t="str" cm="1">
        <f t="array" ref="P991">_xlfn.IFS(orders[[#This Row],[Quantity]]&lt;=5,"1 to 5",orders[[#This Row],[Quantity]]&lt;=10,"6 to 10",orders[[#This Row],[Quantity]]&lt;=16,"11 to 16",orders[[#This Row],[Quantity]]&gt;16,"Above 16")</f>
        <v>1 to 5</v>
      </c>
    </row>
    <row r="992" spans="1:16"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c r="P992" t="str" cm="1">
        <f t="array" ref="P992">_xlfn.IFS(orders[[#This Row],[Quantity]]&lt;=5,"1 to 5",orders[[#This Row],[Quantity]]&lt;=10,"6 to 10",orders[[#This Row],[Quantity]]&lt;=16,"11 to 16",orders[[#This Row],[Quantity]]&gt;16,"Above 16")</f>
        <v>1 to 5</v>
      </c>
    </row>
    <row r="993" spans="1:16"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c r="P993" t="str" cm="1">
        <f t="array" ref="P993">_xlfn.IFS(orders[[#This Row],[Quantity]]&lt;=5,"1 to 5",orders[[#This Row],[Quantity]]&lt;=10,"6 to 10",orders[[#This Row],[Quantity]]&lt;=16,"11 to 16",orders[[#This Row],[Quantity]]&gt;16,"Above 16")</f>
        <v>1 to 5</v>
      </c>
    </row>
    <row r="994" spans="1:16"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c r="P994" t="str" cm="1">
        <f t="array" ref="P994">_xlfn.IFS(orders[[#This Row],[Quantity]]&lt;=5,"1 to 5",orders[[#This Row],[Quantity]]&lt;=10,"6 to 10",orders[[#This Row],[Quantity]]&lt;=16,"11 to 16",orders[[#This Row],[Quantity]]&gt;16,"Above 16")</f>
        <v>1 to 5</v>
      </c>
    </row>
    <row r="995" spans="1:16"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c r="P995" t="str" cm="1">
        <f t="array" ref="P995">_xlfn.IFS(orders[[#This Row],[Quantity]]&lt;=5,"1 to 5",orders[[#This Row],[Quantity]]&lt;=10,"6 to 10",orders[[#This Row],[Quantity]]&lt;=16,"11 to 16",orders[[#This Row],[Quantity]]&gt;16,"Above 16")</f>
        <v>Above 16</v>
      </c>
    </row>
    <row r="996" spans="1:16"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c r="P996" t="str" cm="1">
        <f t="array" ref="P996">_xlfn.IFS(orders[[#This Row],[Quantity]]&lt;=5,"1 to 5",orders[[#This Row],[Quantity]]&lt;=10,"6 to 10",orders[[#This Row],[Quantity]]&lt;=16,"11 to 16",orders[[#This Row],[Quantity]]&gt;16,"Above 16")</f>
        <v>1 to 5</v>
      </c>
    </row>
    <row r="997" spans="1:16"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c r="P997" t="str" cm="1">
        <f t="array" ref="P997">_xlfn.IFS(orders[[#This Row],[Quantity]]&lt;=5,"1 to 5",orders[[#This Row],[Quantity]]&lt;=10,"6 to 10",orders[[#This Row],[Quantity]]&lt;=16,"11 to 16",orders[[#This Row],[Quantity]]&gt;16,"Above 16")</f>
        <v>Above 16</v>
      </c>
    </row>
    <row r="998" spans="1:16"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c r="P998" t="str" cm="1">
        <f t="array" ref="P998">_xlfn.IFS(orders[[#This Row],[Quantity]]&lt;=5,"1 to 5",orders[[#This Row],[Quantity]]&lt;=10,"6 to 10",orders[[#This Row],[Quantity]]&lt;=16,"11 to 16",orders[[#This Row],[Quantity]]&gt;16,"Above 16")</f>
        <v>1 to 5</v>
      </c>
    </row>
    <row r="999" spans="1:16"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c r="P999" t="str" cm="1">
        <f t="array" ref="P999">_xlfn.IFS(orders[[#This Row],[Quantity]]&lt;=5,"1 to 5",orders[[#This Row],[Quantity]]&lt;=10,"6 to 10",orders[[#This Row],[Quantity]]&lt;=16,"11 to 16",orders[[#This Row],[Quantity]]&gt;16,"Above 16")</f>
        <v>1 to 5</v>
      </c>
    </row>
    <row r="1000" spans="1:16"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c r="P1000" t="str" cm="1">
        <f t="array" ref="P1000">_xlfn.IFS(orders[[#This Row],[Quantity]]&lt;=5,"1 to 5",orders[[#This Row],[Quantity]]&lt;=10,"6 to 10",orders[[#This Row],[Quantity]]&lt;=16,"11 to 16",orders[[#This Row],[Quantity]]&gt;16,"Above 16")</f>
        <v>1 to 5</v>
      </c>
    </row>
    <row r="1001" spans="1:16"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c r="P1001" t="str" cm="1">
        <f t="array" ref="P1001">_xlfn.IFS(orders[[#This Row],[Quantity]]&lt;=5,"1 to 5",orders[[#This Row],[Quantity]]&lt;=10,"6 to 10",orders[[#This Row],[Quantity]]&lt;=16,"11 to 16",orders[[#This Row],[Quantity]]&gt;16,"Above 16")</f>
        <v>1 to 5</v>
      </c>
    </row>
    <row r="1002" spans="1:16"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c r="P1002" t="str" cm="1">
        <f t="array" ref="P1002">_xlfn.IFS(orders[[#This Row],[Quantity]]&lt;=5,"1 to 5",orders[[#This Row],[Quantity]]&lt;=10,"6 to 10",orders[[#This Row],[Quantity]]&lt;=16,"11 to 16",orders[[#This Row],[Quantity]]&gt;16,"Above 16")</f>
        <v>1 to 5</v>
      </c>
    </row>
    <row r="1003" spans="1:16"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c r="P1003" t="str" cm="1">
        <f t="array" ref="P1003">_xlfn.IFS(orders[[#This Row],[Quantity]]&lt;=5,"1 to 5",orders[[#This Row],[Quantity]]&lt;=10,"6 to 10",orders[[#This Row],[Quantity]]&lt;=16,"11 to 16",orders[[#This Row],[Quantity]]&gt;16,"Above 16")</f>
        <v>1 to 5</v>
      </c>
    </row>
    <row r="1004" spans="1:16"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c r="P1004" t="str" cm="1">
        <f t="array" ref="P1004">_xlfn.IFS(orders[[#This Row],[Quantity]]&lt;=5,"1 to 5",orders[[#This Row],[Quantity]]&lt;=10,"6 to 10",orders[[#This Row],[Quantity]]&lt;=16,"11 to 16",orders[[#This Row],[Quantity]]&gt;16,"Above 16")</f>
        <v>6 to 10</v>
      </c>
    </row>
    <row r="1005" spans="1:16"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c r="P1005" t="str" cm="1">
        <f t="array" ref="P1005">_xlfn.IFS(orders[[#This Row],[Quantity]]&lt;=5,"1 to 5",orders[[#This Row],[Quantity]]&lt;=10,"6 to 10",orders[[#This Row],[Quantity]]&lt;=16,"11 to 16",orders[[#This Row],[Quantity]]&gt;16,"Above 16")</f>
        <v>6 to 10</v>
      </c>
    </row>
    <row r="1006" spans="1:16"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c r="P1006" t="str" cm="1">
        <f t="array" ref="P1006">_xlfn.IFS(orders[[#This Row],[Quantity]]&lt;=5,"1 to 5",orders[[#This Row],[Quantity]]&lt;=10,"6 to 10",orders[[#This Row],[Quantity]]&lt;=16,"11 to 16",orders[[#This Row],[Quantity]]&gt;16,"Above 16")</f>
        <v>6 to 10</v>
      </c>
    </row>
    <row r="1007" spans="1:16"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c r="P1007" t="str" cm="1">
        <f t="array" ref="P1007">_xlfn.IFS(orders[[#This Row],[Quantity]]&lt;=5,"1 to 5",orders[[#This Row],[Quantity]]&lt;=10,"6 to 10",orders[[#This Row],[Quantity]]&lt;=16,"11 to 16",orders[[#This Row],[Quantity]]&gt;16,"Above 16")</f>
        <v>1 to 5</v>
      </c>
    </row>
    <row r="1008" spans="1:16"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c r="P1008" t="str" cm="1">
        <f t="array" ref="P1008">_xlfn.IFS(orders[[#This Row],[Quantity]]&lt;=5,"1 to 5",orders[[#This Row],[Quantity]]&lt;=10,"6 to 10",orders[[#This Row],[Quantity]]&lt;=16,"11 to 16",orders[[#This Row],[Quantity]]&gt;16,"Above 16")</f>
        <v>1 to 5</v>
      </c>
    </row>
    <row r="1009" spans="1:16"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c r="P1009" t="str" cm="1">
        <f t="array" ref="P1009">_xlfn.IFS(orders[[#This Row],[Quantity]]&lt;=5,"1 to 5",orders[[#This Row],[Quantity]]&lt;=10,"6 to 10",orders[[#This Row],[Quantity]]&lt;=16,"11 to 16",orders[[#This Row],[Quantity]]&gt;16,"Above 16")</f>
        <v>11 to 16</v>
      </c>
    </row>
    <row r="1010" spans="1:16"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c r="P1010" t="str" cm="1">
        <f t="array" ref="P1010">_xlfn.IFS(orders[[#This Row],[Quantity]]&lt;=5,"1 to 5",orders[[#This Row],[Quantity]]&lt;=10,"6 to 10",orders[[#This Row],[Quantity]]&lt;=16,"11 to 16",orders[[#This Row],[Quantity]]&gt;16,"Above 16")</f>
        <v>1 to 5</v>
      </c>
    </row>
    <row r="1011" spans="1:16"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c r="P1011" t="str" cm="1">
        <f t="array" ref="P1011">_xlfn.IFS(orders[[#This Row],[Quantity]]&lt;=5,"1 to 5",orders[[#This Row],[Quantity]]&lt;=10,"6 to 10",orders[[#This Row],[Quantity]]&lt;=16,"11 to 16",orders[[#This Row],[Quantity]]&gt;16,"Above 16")</f>
        <v>1 to 5</v>
      </c>
    </row>
    <row r="1012" spans="1:16"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c r="P1012" t="str" cm="1">
        <f t="array" ref="P1012">_xlfn.IFS(orders[[#This Row],[Quantity]]&lt;=5,"1 to 5",orders[[#This Row],[Quantity]]&lt;=10,"6 to 10",orders[[#This Row],[Quantity]]&lt;=16,"11 to 16",orders[[#This Row],[Quantity]]&gt;16,"Above 16")</f>
        <v>11 to 16</v>
      </c>
    </row>
    <row r="1013" spans="1:16"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c r="P1013" t="str" cm="1">
        <f t="array" ref="P1013">_xlfn.IFS(orders[[#This Row],[Quantity]]&lt;=5,"1 to 5",orders[[#This Row],[Quantity]]&lt;=10,"6 to 10",orders[[#This Row],[Quantity]]&lt;=16,"11 to 16",orders[[#This Row],[Quantity]]&gt;16,"Above 16")</f>
        <v>6 to 10</v>
      </c>
    </row>
    <row r="1014" spans="1:16"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c r="P1014" t="str" cm="1">
        <f t="array" ref="P1014">_xlfn.IFS(orders[[#This Row],[Quantity]]&lt;=5,"1 to 5",orders[[#This Row],[Quantity]]&lt;=10,"6 to 10",orders[[#This Row],[Quantity]]&lt;=16,"11 to 16",orders[[#This Row],[Quantity]]&gt;16,"Above 16")</f>
        <v>1 to 5</v>
      </c>
    </row>
    <row r="1015" spans="1:16"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c r="P1015" t="str" cm="1">
        <f t="array" ref="P1015">_xlfn.IFS(orders[[#This Row],[Quantity]]&lt;=5,"1 to 5",orders[[#This Row],[Quantity]]&lt;=10,"6 to 10",orders[[#This Row],[Quantity]]&lt;=16,"11 to 16",orders[[#This Row],[Quantity]]&gt;16,"Above 16")</f>
        <v>1 to 5</v>
      </c>
    </row>
    <row r="1016" spans="1:16"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c r="P1016" t="str" cm="1">
        <f t="array" ref="P1016">_xlfn.IFS(orders[[#This Row],[Quantity]]&lt;=5,"1 to 5",orders[[#This Row],[Quantity]]&lt;=10,"6 to 10",orders[[#This Row],[Quantity]]&lt;=16,"11 to 16",orders[[#This Row],[Quantity]]&gt;16,"Above 16")</f>
        <v>1 to 5</v>
      </c>
    </row>
    <row r="1017" spans="1:16"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c r="P1017" t="str" cm="1">
        <f t="array" ref="P1017">_xlfn.IFS(orders[[#This Row],[Quantity]]&lt;=5,"1 to 5",orders[[#This Row],[Quantity]]&lt;=10,"6 to 10",orders[[#This Row],[Quantity]]&lt;=16,"11 to 16",orders[[#This Row],[Quantity]]&gt;16,"Above 16")</f>
        <v>1 to 5</v>
      </c>
    </row>
    <row r="1018" spans="1:16"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c r="P1018" t="str" cm="1">
        <f t="array" ref="P1018">_xlfn.IFS(orders[[#This Row],[Quantity]]&lt;=5,"1 to 5",orders[[#This Row],[Quantity]]&lt;=10,"6 to 10",orders[[#This Row],[Quantity]]&lt;=16,"11 to 16",orders[[#This Row],[Quantity]]&gt;16,"Above 16")</f>
        <v>6 to 10</v>
      </c>
    </row>
    <row r="1019" spans="1:16"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c r="P1019" t="str" cm="1">
        <f t="array" ref="P1019">_xlfn.IFS(orders[[#This Row],[Quantity]]&lt;=5,"1 to 5",orders[[#This Row],[Quantity]]&lt;=10,"6 to 10",orders[[#This Row],[Quantity]]&lt;=16,"11 to 16",orders[[#This Row],[Quantity]]&gt;16,"Above 16")</f>
        <v>11 to 16</v>
      </c>
    </row>
    <row r="1020" spans="1:16"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c r="P1020" t="str" cm="1">
        <f t="array" ref="P1020">_xlfn.IFS(orders[[#This Row],[Quantity]]&lt;=5,"1 to 5",orders[[#This Row],[Quantity]]&lt;=10,"6 to 10",orders[[#This Row],[Quantity]]&lt;=16,"11 to 16",orders[[#This Row],[Quantity]]&gt;16,"Above 16")</f>
        <v>11 to 16</v>
      </c>
    </row>
    <row r="1021" spans="1:16"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c r="P1021" t="str" cm="1">
        <f t="array" ref="P1021">_xlfn.IFS(orders[[#This Row],[Quantity]]&lt;=5,"1 to 5",orders[[#This Row],[Quantity]]&lt;=10,"6 to 10",orders[[#This Row],[Quantity]]&lt;=16,"11 to 16",orders[[#This Row],[Quantity]]&gt;16,"Above 16")</f>
        <v>6 to 10</v>
      </c>
    </row>
    <row r="1022" spans="1:16"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c r="P1022" t="str" cm="1">
        <f t="array" ref="P1022">_xlfn.IFS(orders[[#This Row],[Quantity]]&lt;=5,"1 to 5",orders[[#This Row],[Quantity]]&lt;=10,"6 to 10",orders[[#This Row],[Quantity]]&lt;=16,"11 to 16",orders[[#This Row],[Quantity]]&gt;16,"Above 16")</f>
        <v>1 to 5</v>
      </c>
    </row>
    <row r="1023" spans="1:16"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c r="P1023" t="str" cm="1">
        <f t="array" ref="P1023">_xlfn.IFS(orders[[#This Row],[Quantity]]&lt;=5,"1 to 5",orders[[#This Row],[Quantity]]&lt;=10,"6 to 10",orders[[#This Row],[Quantity]]&lt;=16,"11 to 16",orders[[#This Row],[Quantity]]&gt;16,"Above 16")</f>
        <v>1 to 5</v>
      </c>
    </row>
    <row r="1024" spans="1:16"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c r="P1024" t="str" cm="1">
        <f t="array" ref="P1024">_xlfn.IFS(orders[[#This Row],[Quantity]]&lt;=5,"1 to 5",orders[[#This Row],[Quantity]]&lt;=10,"6 to 10",orders[[#This Row],[Quantity]]&lt;=16,"11 to 16",orders[[#This Row],[Quantity]]&gt;16,"Above 16")</f>
        <v>6 to 10</v>
      </c>
    </row>
    <row r="1025" spans="1:16"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c r="P1025" t="str" cm="1">
        <f t="array" ref="P1025">_xlfn.IFS(orders[[#This Row],[Quantity]]&lt;=5,"1 to 5",orders[[#This Row],[Quantity]]&lt;=10,"6 to 10",orders[[#This Row],[Quantity]]&lt;=16,"11 to 16",orders[[#This Row],[Quantity]]&gt;16,"Above 16")</f>
        <v>1 to 5</v>
      </c>
    </row>
    <row r="1026" spans="1:16"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c r="P1026" t="str" cm="1">
        <f t="array" ref="P1026">_xlfn.IFS(orders[[#This Row],[Quantity]]&lt;=5,"1 to 5",orders[[#This Row],[Quantity]]&lt;=10,"6 to 10",orders[[#This Row],[Quantity]]&lt;=16,"11 to 16",orders[[#This Row],[Quantity]]&gt;16,"Above 16")</f>
        <v>1 to 5</v>
      </c>
    </row>
    <row r="1027" spans="1:16"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c r="P1027" t="str" cm="1">
        <f t="array" ref="P1027">_xlfn.IFS(orders[[#This Row],[Quantity]]&lt;=5,"1 to 5",orders[[#This Row],[Quantity]]&lt;=10,"6 to 10",orders[[#This Row],[Quantity]]&lt;=16,"11 to 16",orders[[#This Row],[Quantity]]&gt;16,"Above 16")</f>
        <v>1 to 5</v>
      </c>
    </row>
    <row r="1028" spans="1:16"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c r="P1028" t="str" cm="1">
        <f t="array" ref="P1028">_xlfn.IFS(orders[[#This Row],[Quantity]]&lt;=5,"1 to 5",orders[[#This Row],[Quantity]]&lt;=10,"6 to 10",orders[[#This Row],[Quantity]]&lt;=16,"11 to 16",orders[[#This Row],[Quantity]]&gt;16,"Above 16")</f>
        <v>1 to 5</v>
      </c>
    </row>
    <row r="1029" spans="1:16"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c r="P1029" t="str" cm="1">
        <f t="array" ref="P1029">_xlfn.IFS(orders[[#This Row],[Quantity]]&lt;=5,"1 to 5",orders[[#This Row],[Quantity]]&lt;=10,"6 to 10",orders[[#This Row],[Quantity]]&lt;=16,"11 to 16",orders[[#This Row],[Quantity]]&gt;16,"Above 16")</f>
        <v>1 to 5</v>
      </c>
    </row>
    <row r="1030" spans="1:16"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c r="P1030" t="str" cm="1">
        <f t="array" ref="P1030">_xlfn.IFS(orders[[#This Row],[Quantity]]&lt;=5,"1 to 5",orders[[#This Row],[Quantity]]&lt;=10,"6 to 10",orders[[#This Row],[Quantity]]&lt;=16,"11 to 16",orders[[#This Row],[Quantity]]&gt;16,"Above 16")</f>
        <v>1 to 5</v>
      </c>
    </row>
    <row r="1031" spans="1:16"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c r="P1031" t="str" cm="1">
        <f t="array" ref="P1031">_xlfn.IFS(orders[[#This Row],[Quantity]]&lt;=5,"1 to 5",orders[[#This Row],[Quantity]]&lt;=10,"6 to 10",orders[[#This Row],[Quantity]]&lt;=16,"11 to 16",orders[[#This Row],[Quantity]]&gt;16,"Above 16")</f>
        <v>1 to 5</v>
      </c>
    </row>
    <row r="1032" spans="1:16"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c r="P1032" t="str" cm="1">
        <f t="array" ref="P1032">_xlfn.IFS(orders[[#This Row],[Quantity]]&lt;=5,"1 to 5",orders[[#This Row],[Quantity]]&lt;=10,"6 to 10",orders[[#This Row],[Quantity]]&lt;=16,"11 to 16",orders[[#This Row],[Quantity]]&gt;16,"Above 16")</f>
        <v>1 to 5</v>
      </c>
    </row>
    <row r="1033" spans="1:16"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c r="P1033" t="str" cm="1">
        <f t="array" ref="P1033">_xlfn.IFS(orders[[#This Row],[Quantity]]&lt;=5,"1 to 5",orders[[#This Row],[Quantity]]&lt;=10,"6 to 10",orders[[#This Row],[Quantity]]&lt;=16,"11 to 16",orders[[#This Row],[Quantity]]&gt;16,"Above 16")</f>
        <v>1 to 5</v>
      </c>
    </row>
    <row r="1034" spans="1:16"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c r="P1034" t="str" cm="1">
        <f t="array" ref="P1034">_xlfn.IFS(orders[[#This Row],[Quantity]]&lt;=5,"1 to 5",orders[[#This Row],[Quantity]]&lt;=10,"6 to 10",orders[[#This Row],[Quantity]]&lt;=16,"11 to 16",orders[[#This Row],[Quantity]]&gt;16,"Above 16")</f>
        <v>1 to 5</v>
      </c>
    </row>
    <row r="1035" spans="1:16"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c r="P1035" t="str" cm="1">
        <f t="array" ref="P1035">_xlfn.IFS(orders[[#This Row],[Quantity]]&lt;=5,"1 to 5",orders[[#This Row],[Quantity]]&lt;=10,"6 to 10",orders[[#This Row],[Quantity]]&lt;=16,"11 to 16",orders[[#This Row],[Quantity]]&gt;16,"Above 16")</f>
        <v>1 to 5</v>
      </c>
    </row>
    <row r="1036" spans="1:16"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c r="P1036" t="str" cm="1">
        <f t="array" ref="P1036">_xlfn.IFS(orders[[#This Row],[Quantity]]&lt;=5,"1 to 5",orders[[#This Row],[Quantity]]&lt;=10,"6 to 10",orders[[#This Row],[Quantity]]&lt;=16,"11 to 16",orders[[#This Row],[Quantity]]&gt;16,"Above 16")</f>
        <v>1 to 5</v>
      </c>
    </row>
    <row r="1037" spans="1:16"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c r="P1037" t="str" cm="1">
        <f t="array" ref="P1037">_xlfn.IFS(orders[[#This Row],[Quantity]]&lt;=5,"1 to 5",orders[[#This Row],[Quantity]]&lt;=10,"6 to 10",orders[[#This Row],[Quantity]]&lt;=16,"11 to 16",orders[[#This Row],[Quantity]]&gt;16,"Above 16")</f>
        <v>1 to 5</v>
      </c>
    </row>
    <row r="1038" spans="1:16"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c r="P1038" t="str" cm="1">
        <f t="array" ref="P1038">_xlfn.IFS(orders[[#This Row],[Quantity]]&lt;=5,"1 to 5",orders[[#This Row],[Quantity]]&lt;=10,"6 to 10",orders[[#This Row],[Quantity]]&lt;=16,"11 to 16",orders[[#This Row],[Quantity]]&gt;16,"Above 16")</f>
        <v>1 to 5</v>
      </c>
    </row>
    <row r="1039" spans="1:16"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c r="P1039" t="str" cm="1">
        <f t="array" ref="P1039">_xlfn.IFS(orders[[#This Row],[Quantity]]&lt;=5,"1 to 5",orders[[#This Row],[Quantity]]&lt;=10,"6 to 10",orders[[#This Row],[Quantity]]&lt;=16,"11 to 16",orders[[#This Row],[Quantity]]&gt;16,"Above 16")</f>
        <v>6 to 10</v>
      </c>
    </row>
    <row r="1040" spans="1:16"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c r="P1040" t="str" cm="1">
        <f t="array" ref="P1040">_xlfn.IFS(orders[[#This Row],[Quantity]]&lt;=5,"1 to 5",orders[[#This Row],[Quantity]]&lt;=10,"6 to 10",orders[[#This Row],[Quantity]]&lt;=16,"11 to 16",orders[[#This Row],[Quantity]]&gt;16,"Above 16")</f>
        <v>6 to 10</v>
      </c>
    </row>
    <row r="1041" spans="1:16"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c r="P1041" t="str" cm="1">
        <f t="array" ref="P1041">_xlfn.IFS(orders[[#This Row],[Quantity]]&lt;=5,"1 to 5",orders[[#This Row],[Quantity]]&lt;=10,"6 to 10",orders[[#This Row],[Quantity]]&lt;=16,"11 to 16",orders[[#This Row],[Quantity]]&gt;16,"Above 16")</f>
        <v>6 to 10</v>
      </c>
    </row>
    <row r="1042" spans="1:16"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c r="P1042" t="str" cm="1">
        <f t="array" ref="P1042">_xlfn.IFS(orders[[#This Row],[Quantity]]&lt;=5,"1 to 5",orders[[#This Row],[Quantity]]&lt;=10,"6 to 10",orders[[#This Row],[Quantity]]&lt;=16,"11 to 16",orders[[#This Row],[Quantity]]&gt;16,"Above 16")</f>
        <v>1 to 5</v>
      </c>
    </row>
    <row r="1043" spans="1:16"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c r="P1043" t="str" cm="1">
        <f t="array" ref="P1043">_xlfn.IFS(orders[[#This Row],[Quantity]]&lt;=5,"1 to 5",orders[[#This Row],[Quantity]]&lt;=10,"6 to 10",orders[[#This Row],[Quantity]]&lt;=16,"11 to 16",orders[[#This Row],[Quantity]]&gt;16,"Above 16")</f>
        <v>1 to 5</v>
      </c>
    </row>
    <row r="1044" spans="1:16"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c r="P1044" t="str" cm="1">
        <f t="array" ref="P1044">_xlfn.IFS(orders[[#This Row],[Quantity]]&lt;=5,"1 to 5",orders[[#This Row],[Quantity]]&lt;=10,"6 to 10",orders[[#This Row],[Quantity]]&lt;=16,"11 to 16",orders[[#This Row],[Quantity]]&gt;16,"Above 16")</f>
        <v>1 to 5</v>
      </c>
    </row>
    <row r="1045" spans="1:16"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c r="P1045" t="str" cm="1">
        <f t="array" ref="P1045">_xlfn.IFS(orders[[#This Row],[Quantity]]&lt;=5,"1 to 5",orders[[#This Row],[Quantity]]&lt;=10,"6 to 10",orders[[#This Row],[Quantity]]&lt;=16,"11 to 16",orders[[#This Row],[Quantity]]&gt;16,"Above 16")</f>
        <v>1 to 5</v>
      </c>
    </row>
    <row r="1046" spans="1:16"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c r="P1046" t="str" cm="1">
        <f t="array" ref="P1046">_xlfn.IFS(orders[[#This Row],[Quantity]]&lt;=5,"1 to 5",orders[[#This Row],[Quantity]]&lt;=10,"6 to 10",orders[[#This Row],[Quantity]]&lt;=16,"11 to 16",orders[[#This Row],[Quantity]]&gt;16,"Above 16")</f>
        <v>1 to 5</v>
      </c>
    </row>
    <row r="1047" spans="1:16"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c r="P1047" t="str" cm="1">
        <f t="array" ref="P1047">_xlfn.IFS(orders[[#This Row],[Quantity]]&lt;=5,"1 to 5",orders[[#This Row],[Quantity]]&lt;=10,"6 to 10",orders[[#This Row],[Quantity]]&lt;=16,"11 to 16",orders[[#This Row],[Quantity]]&gt;16,"Above 16")</f>
        <v>11 to 16</v>
      </c>
    </row>
    <row r="1048" spans="1:16"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c r="P1048" t="str" cm="1">
        <f t="array" ref="P1048">_xlfn.IFS(orders[[#This Row],[Quantity]]&lt;=5,"1 to 5",orders[[#This Row],[Quantity]]&lt;=10,"6 to 10",orders[[#This Row],[Quantity]]&lt;=16,"11 to 16",orders[[#This Row],[Quantity]]&gt;16,"Above 16")</f>
        <v>1 to 5</v>
      </c>
    </row>
    <row r="1049" spans="1:16"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c r="P1049" t="str" cm="1">
        <f t="array" ref="P1049">_xlfn.IFS(orders[[#This Row],[Quantity]]&lt;=5,"1 to 5",orders[[#This Row],[Quantity]]&lt;=10,"6 to 10",orders[[#This Row],[Quantity]]&lt;=16,"11 to 16",orders[[#This Row],[Quantity]]&gt;16,"Above 16")</f>
        <v>1 to 5</v>
      </c>
    </row>
    <row r="1050" spans="1:16"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c r="P1050" t="str" cm="1">
        <f t="array" ref="P1050">_xlfn.IFS(orders[[#This Row],[Quantity]]&lt;=5,"1 to 5",orders[[#This Row],[Quantity]]&lt;=10,"6 to 10",orders[[#This Row],[Quantity]]&lt;=16,"11 to 16",orders[[#This Row],[Quantity]]&gt;16,"Above 16")</f>
        <v>1 to 5</v>
      </c>
    </row>
    <row r="1051" spans="1:16"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c r="P1051" t="str" cm="1">
        <f t="array" ref="P1051">_xlfn.IFS(orders[[#This Row],[Quantity]]&lt;=5,"1 to 5",orders[[#This Row],[Quantity]]&lt;=10,"6 to 10",orders[[#This Row],[Quantity]]&lt;=16,"11 to 16",orders[[#This Row],[Quantity]]&gt;16,"Above 16")</f>
        <v>1 to 5</v>
      </c>
    </row>
    <row r="1052" spans="1:16"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c r="P1052" t="str" cm="1">
        <f t="array" ref="P1052">_xlfn.IFS(orders[[#This Row],[Quantity]]&lt;=5,"1 to 5",orders[[#This Row],[Quantity]]&lt;=10,"6 to 10",orders[[#This Row],[Quantity]]&lt;=16,"11 to 16",orders[[#This Row],[Quantity]]&gt;16,"Above 16")</f>
        <v>1 to 5</v>
      </c>
    </row>
    <row r="1053" spans="1:16"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c r="P1053" t="str" cm="1">
        <f t="array" ref="P1053">_xlfn.IFS(orders[[#This Row],[Quantity]]&lt;=5,"1 to 5",orders[[#This Row],[Quantity]]&lt;=10,"6 to 10",orders[[#This Row],[Quantity]]&lt;=16,"11 to 16",orders[[#This Row],[Quantity]]&gt;16,"Above 16")</f>
        <v>1 to 5</v>
      </c>
    </row>
    <row r="1054" spans="1:16"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c r="P1054" t="str" cm="1">
        <f t="array" ref="P1054">_xlfn.IFS(orders[[#This Row],[Quantity]]&lt;=5,"1 to 5",orders[[#This Row],[Quantity]]&lt;=10,"6 to 10",orders[[#This Row],[Quantity]]&lt;=16,"11 to 16",orders[[#This Row],[Quantity]]&gt;16,"Above 16")</f>
        <v>1 to 5</v>
      </c>
    </row>
    <row r="1055" spans="1:16"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c r="P1055" t="str" cm="1">
        <f t="array" ref="P1055">_xlfn.IFS(orders[[#This Row],[Quantity]]&lt;=5,"1 to 5",orders[[#This Row],[Quantity]]&lt;=10,"6 to 10",orders[[#This Row],[Quantity]]&lt;=16,"11 to 16",orders[[#This Row],[Quantity]]&gt;16,"Above 16")</f>
        <v>6 to 10</v>
      </c>
    </row>
    <row r="1056" spans="1:16"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c r="P1056" t="str" cm="1">
        <f t="array" ref="P1056">_xlfn.IFS(orders[[#This Row],[Quantity]]&lt;=5,"1 to 5",orders[[#This Row],[Quantity]]&lt;=10,"6 to 10",orders[[#This Row],[Quantity]]&lt;=16,"11 to 16",orders[[#This Row],[Quantity]]&gt;16,"Above 16")</f>
        <v>1 to 5</v>
      </c>
    </row>
    <row r="1057" spans="1:16"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c r="P1057" t="str" cm="1">
        <f t="array" ref="P1057">_xlfn.IFS(orders[[#This Row],[Quantity]]&lt;=5,"1 to 5",orders[[#This Row],[Quantity]]&lt;=10,"6 to 10",orders[[#This Row],[Quantity]]&lt;=16,"11 to 16",orders[[#This Row],[Quantity]]&gt;16,"Above 16")</f>
        <v>1 to 5</v>
      </c>
    </row>
    <row r="1058" spans="1:16"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c r="P1058" t="str" cm="1">
        <f t="array" ref="P1058">_xlfn.IFS(orders[[#This Row],[Quantity]]&lt;=5,"1 to 5",orders[[#This Row],[Quantity]]&lt;=10,"6 to 10",orders[[#This Row],[Quantity]]&lt;=16,"11 to 16",orders[[#This Row],[Quantity]]&gt;16,"Above 16")</f>
        <v>1 to 5</v>
      </c>
    </row>
    <row r="1059" spans="1:16"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c r="P1059" t="str" cm="1">
        <f t="array" ref="P1059">_xlfn.IFS(orders[[#This Row],[Quantity]]&lt;=5,"1 to 5",orders[[#This Row],[Quantity]]&lt;=10,"6 to 10",orders[[#This Row],[Quantity]]&lt;=16,"11 to 16",orders[[#This Row],[Quantity]]&gt;16,"Above 16")</f>
        <v>6 to 10</v>
      </c>
    </row>
    <row r="1060" spans="1:16"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c r="P1060" t="str" cm="1">
        <f t="array" ref="P1060">_xlfn.IFS(orders[[#This Row],[Quantity]]&lt;=5,"1 to 5",orders[[#This Row],[Quantity]]&lt;=10,"6 to 10",orders[[#This Row],[Quantity]]&lt;=16,"11 to 16",orders[[#This Row],[Quantity]]&gt;16,"Above 16")</f>
        <v>11 to 16</v>
      </c>
    </row>
    <row r="1061" spans="1:16"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c r="P1061" t="str" cm="1">
        <f t="array" ref="P1061">_xlfn.IFS(orders[[#This Row],[Quantity]]&lt;=5,"1 to 5",orders[[#This Row],[Quantity]]&lt;=10,"6 to 10",orders[[#This Row],[Quantity]]&lt;=16,"11 to 16",orders[[#This Row],[Quantity]]&gt;16,"Above 16")</f>
        <v>Above 16</v>
      </c>
    </row>
    <row r="1062" spans="1:16"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c r="P1062" t="str" cm="1">
        <f t="array" ref="P1062">_xlfn.IFS(orders[[#This Row],[Quantity]]&lt;=5,"1 to 5",orders[[#This Row],[Quantity]]&lt;=10,"6 to 10",orders[[#This Row],[Quantity]]&lt;=16,"11 to 16",orders[[#This Row],[Quantity]]&gt;16,"Above 16")</f>
        <v>1 to 5</v>
      </c>
    </row>
    <row r="1063" spans="1:16"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c r="P1063" t="str" cm="1">
        <f t="array" ref="P1063">_xlfn.IFS(orders[[#This Row],[Quantity]]&lt;=5,"1 to 5",orders[[#This Row],[Quantity]]&lt;=10,"6 to 10",orders[[#This Row],[Quantity]]&lt;=16,"11 to 16",orders[[#This Row],[Quantity]]&gt;16,"Above 16")</f>
        <v>6 to 10</v>
      </c>
    </row>
    <row r="1064" spans="1:16"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c r="P1064" t="str" cm="1">
        <f t="array" ref="P1064">_xlfn.IFS(orders[[#This Row],[Quantity]]&lt;=5,"1 to 5",orders[[#This Row],[Quantity]]&lt;=10,"6 to 10",orders[[#This Row],[Quantity]]&lt;=16,"11 to 16",orders[[#This Row],[Quantity]]&gt;16,"Above 16")</f>
        <v>11 to 16</v>
      </c>
    </row>
    <row r="1065" spans="1:16"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c r="P1065" t="str" cm="1">
        <f t="array" ref="P1065">_xlfn.IFS(orders[[#This Row],[Quantity]]&lt;=5,"1 to 5",orders[[#This Row],[Quantity]]&lt;=10,"6 to 10",orders[[#This Row],[Quantity]]&lt;=16,"11 to 16",orders[[#This Row],[Quantity]]&gt;16,"Above 16")</f>
        <v>Above 16</v>
      </c>
    </row>
    <row r="1066" spans="1:16"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c r="P1066" t="str" cm="1">
        <f t="array" ref="P1066">_xlfn.IFS(orders[[#This Row],[Quantity]]&lt;=5,"1 to 5",orders[[#This Row],[Quantity]]&lt;=10,"6 to 10",orders[[#This Row],[Quantity]]&lt;=16,"11 to 16",orders[[#This Row],[Quantity]]&gt;16,"Above 16")</f>
        <v>Above 16</v>
      </c>
    </row>
    <row r="1067" spans="1:16"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c r="P1067" t="str" cm="1">
        <f t="array" ref="P1067">_xlfn.IFS(orders[[#This Row],[Quantity]]&lt;=5,"1 to 5",orders[[#This Row],[Quantity]]&lt;=10,"6 to 10",orders[[#This Row],[Quantity]]&lt;=16,"11 to 16",orders[[#This Row],[Quantity]]&gt;16,"Above 16")</f>
        <v>1 to 5</v>
      </c>
    </row>
    <row r="1068" spans="1:16"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c r="P1068" t="str" cm="1">
        <f t="array" ref="P1068">_xlfn.IFS(orders[[#This Row],[Quantity]]&lt;=5,"1 to 5",orders[[#This Row],[Quantity]]&lt;=10,"6 to 10",orders[[#This Row],[Quantity]]&lt;=16,"11 to 16",orders[[#This Row],[Quantity]]&gt;16,"Above 16")</f>
        <v>1 to 5</v>
      </c>
    </row>
    <row r="1069" spans="1:16"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c r="P1069" t="str" cm="1">
        <f t="array" ref="P1069">_xlfn.IFS(orders[[#This Row],[Quantity]]&lt;=5,"1 to 5",orders[[#This Row],[Quantity]]&lt;=10,"6 to 10",orders[[#This Row],[Quantity]]&lt;=16,"11 to 16",orders[[#This Row],[Quantity]]&gt;16,"Above 16")</f>
        <v>1 to 5</v>
      </c>
    </row>
    <row r="1070" spans="1:16"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c r="P1070" t="str" cm="1">
        <f t="array" ref="P1070">_xlfn.IFS(orders[[#This Row],[Quantity]]&lt;=5,"1 to 5",orders[[#This Row],[Quantity]]&lt;=10,"6 to 10",orders[[#This Row],[Quantity]]&lt;=16,"11 to 16",orders[[#This Row],[Quantity]]&gt;16,"Above 16")</f>
        <v>1 to 5</v>
      </c>
    </row>
    <row r="1071" spans="1:16"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c r="P1071" t="str" cm="1">
        <f t="array" ref="P1071">_xlfn.IFS(orders[[#This Row],[Quantity]]&lt;=5,"1 to 5",orders[[#This Row],[Quantity]]&lt;=10,"6 to 10",orders[[#This Row],[Quantity]]&lt;=16,"11 to 16",orders[[#This Row],[Quantity]]&gt;16,"Above 16")</f>
        <v>1 to 5</v>
      </c>
    </row>
    <row r="1072" spans="1:16"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c r="P1072" t="str" cm="1">
        <f t="array" ref="P1072">_xlfn.IFS(orders[[#This Row],[Quantity]]&lt;=5,"1 to 5",orders[[#This Row],[Quantity]]&lt;=10,"6 to 10",orders[[#This Row],[Quantity]]&lt;=16,"11 to 16",orders[[#This Row],[Quantity]]&gt;16,"Above 16")</f>
        <v>1 to 5</v>
      </c>
    </row>
    <row r="1073" spans="1:16"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c r="P1073" t="str" cm="1">
        <f t="array" ref="P1073">_xlfn.IFS(orders[[#This Row],[Quantity]]&lt;=5,"1 to 5",orders[[#This Row],[Quantity]]&lt;=10,"6 to 10",orders[[#This Row],[Quantity]]&lt;=16,"11 to 16",orders[[#This Row],[Quantity]]&gt;16,"Above 16")</f>
        <v>6 to 10</v>
      </c>
    </row>
    <row r="1074" spans="1:16"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c r="P1074" t="str" cm="1">
        <f t="array" ref="P1074">_xlfn.IFS(orders[[#This Row],[Quantity]]&lt;=5,"1 to 5",orders[[#This Row],[Quantity]]&lt;=10,"6 to 10",orders[[#This Row],[Quantity]]&lt;=16,"11 to 16",orders[[#This Row],[Quantity]]&gt;16,"Above 16")</f>
        <v>1 to 5</v>
      </c>
    </row>
    <row r="1075" spans="1:16"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c r="P1075" t="str" cm="1">
        <f t="array" ref="P1075">_xlfn.IFS(orders[[#This Row],[Quantity]]&lt;=5,"1 to 5",orders[[#This Row],[Quantity]]&lt;=10,"6 to 10",orders[[#This Row],[Quantity]]&lt;=16,"11 to 16",orders[[#This Row],[Quantity]]&gt;16,"Above 16")</f>
        <v>Above 16</v>
      </c>
    </row>
    <row r="1076" spans="1:16"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c r="P1076" t="str" cm="1">
        <f t="array" ref="P1076">_xlfn.IFS(orders[[#This Row],[Quantity]]&lt;=5,"1 to 5",orders[[#This Row],[Quantity]]&lt;=10,"6 to 10",orders[[#This Row],[Quantity]]&lt;=16,"11 to 16",orders[[#This Row],[Quantity]]&gt;16,"Above 16")</f>
        <v>1 to 5</v>
      </c>
    </row>
    <row r="1077" spans="1:16"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c r="P1077" t="str" cm="1">
        <f t="array" ref="P1077">_xlfn.IFS(orders[[#This Row],[Quantity]]&lt;=5,"1 to 5",orders[[#This Row],[Quantity]]&lt;=10,"6 to 10",orders[[#This Row],[Quantity]]&lt;=16,"11 to 16",orders[[#This Row],[Quantity]]&gt;16,"Above 16")</f>
        <v>6 to 10</v>
      </c>
    </row>
    <row r="1078" spans="1:16"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c r="P1078" t="str" cm="1">
        <f t="array" ref="P1078">_xlfn.IFS(orders[[#This Row],[Quantity]]&lt;=5,"1 to 5",orders[[#This Row],[Quantity]]&lt;=10,"6 to 10",orders[[#This Row],[Quantity]]&lt;=16,"11 to 16",orders[[#This Row],[Quantity]]&gt;16,"Above 16")</f>
        <v>1 to 5</v>
      </c>
    </row>
    <row r="1079" spans="1:16"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c r="P1079" t="str" cm="1">
        <f t="array" ref="P1079">_xlfn.IFS(orders[[#This Row],[Quantity]]&lt;=5,"1 to 5",orders[[#This Row],[Quantity]]&lt;=10,"6 to 10",orders[[#This Row],[Quantity]]&lt;=16,"11 to 16",orders[[#This Row],[Quantity]]&gt;16,"Above 16")</f>
        <v>1 to 5</v>
      </c>
    </row>
    <row r="1080" spans="1:16"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c r="P1080" t="str" cm="1">
        <f t="array" ref="P1080">_xlfn.IFS(orders[[#This Row],[Quantity]]&lt;=5,"1 to 5",orders[[#This Row],[Quantity]]&lt;=10,"6 to 10",orders[[#This Row],[Quantity]]&lt;=16,"11 to 16",orders[[#This Row],[Quantity]]&gt;16,"Above 16")</f>
        <v>1 to 5</v>
      </c>
    </row>
    <row r="1081" spans="1:16"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c r="P1081" t="str" cm="1">
        <f t="array" ref="P1081">_xlfn.IFS(orders[[#This Row],[Quantity]]&lt;=5,"1 to 5",orders[[#This Row],[Quantity]]&lt;=10,"6 to 10",orders[[#This Row],[Quantity]]&lt;=16,"11 to 16",orders[[#This Row],[Quantity]]&gt;16,"Above 16")</f>
        <v>1 to 5</v>
      </c>
    </row>
    <row r="1082" spans="1:16"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c r="P1082" t="str" cm="1">
        <f t="array" ref="P1082">_xlfn.IFS(orders[[#This Row],[Quantity]]&lt;=5,"1 to 5",orders[[#This Row],[Quantity]]&lt;=10,"6 to 10",orders[[#This Row],[Quantity]]&lt;=16,"11 to 16",orders[[#This Row],[Quantity]]&gt;16,"Above 16")</f>
        <v>1 to 5</v>
      </c>
    </row>
    <row r="1083" spans="1:16"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c r="P1083" t="str" cm="1">
        <f t="array" ref="P1083">_xlfn.IFS(orders[[#This Row],[Quantity]]&lt;=5,"1 to 5",orders[[#This Row],[Quantity]]&lt;=10,"6 to 10",orders[[#This Row],[Quantity]]&lt;=16,"11 to 16",orders[[#This Row],[Quantity]]&gt;16,"Above 16")</f>
        <v>1 to 5</v>
      </c>
    </row>
    <row r="1084" spans="1:16"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c r="P1084" t="str" cm="1">
        <f t="array" ref="P1084">_xlfn.IFS(orders[[#This Row],[Quantity]]&lt;=5,"1 to 5",orders[[#This Row],[Quantity]]&lt;=10,"6 to 10",orders[[#This Row],[Quantity]]&lt;=16,"11 to 16",orders[[#This Row],[Quantity]]&gt;16,"Above 16")</f>
        <v>1 to 5</v>
      </c>
    </row>
    <row r="1085" spans="1:16"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c r="P1085" t="str" cm="1">
        <f t="array" ref="P1085">_xlfn.IFS(orders[[#This Row],[Quantity]]&lt;=5,"1 to 5",orders[[#This Row],[Quantity]]&lt;=10,"6 to 10",orders[[#This Row],[Quantity]]&lt;=16,"11 to 16",orders[[#This Row],[Quantity]]&gt;16,"Above 16")</f>
        <v>1 to 5</v>
      </c>
    </row>
    <row r="1086" spans="1:16"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c r="P1086" t="str" cm="1">
        <f t="array" ref="P1086">_xlfn.IFS(orders[[#This Row],[Quantity]]&lt;=5,"1 to 5",orders[[#This Row],[Quantity]]&lt;=10,"6 to 10",orders[[#This Row],[Quantity]]&lt;=16,"11 to 16",orders[[#This Row],[Quantity]]&gt;16,"Above 16")</f>
        <v>11 to 16</v>
      </c>
    </row>
    <row r="1087" spans="1:16"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c r="P1087" t="str" cm="1">
        <f t="array" ref="P1087">_xlfn.IFS(orders[[#This Row],[Quantity]]&lt;=5,"1 to 5",orders[[#This Row],[Quantity]]&lt;=10,"6 to 10",orders[[#This Row],[Quantity]]&lt;=16,"11 to 16",orders[[#This Row],[Quantity]]&gt;16,"Above 16")</f>
        <v>6 to 10</v>
      </c>
    </row>
    <row r="1088" spans="1:16"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c r="P1088" t="str" cm="1">
        <f t="array" ref="P1088">_xlfn.IFS(orders[[#This Row],[Quantity]]&lt;=5,"1 to 5",orders[[#This Row],[Quantity]]&lt;=10,"6 to 10",orders[[#This Row],[Quantity]]&lt;=16,"11 to 16",orders[[#This Row],[Quantity]]&gt;16,"Above 16")</f>
        <v>1 to 5</v>
      </c>
    </row>
    <row r="1089" spans="1:16"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c r="P1089" t="str" cm="1">
        <f t="array" ref="P1089">_xlfn.IFS(orders[[#This Row],[Quantity]]&lt;=5,"1 to 5",orders[[#This Row],[Quantity]]&lt;=10,"6 to 10",orders[[#This Row],[Quantity]]&lt;=16,"11 to 16",orders[[#This Row],[Quantity]]&gt;16,"Above 16")</f>
        <v>1 to 5</v>
      </c>
    </row>
    <row r="1090" spans="1:16"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c r="P1090" t="str" cm="1">
        <f t="array" ref="P1090">_xlfn.IFS(orders[[#This Row],[Quantity]]&lt;=5,"1 to 5",orders[[#This Row],[Quantity]]&lt;=10,"6 to 10",orders[[#This Row],[Quantity]]&lt;=16,"11 to 16",orders[[#This Row],[Quantity]]&gt;16,"Above 16")</f>
        <v>1 to 5</v>
      </c>
    </row>
    <row r="1091" spans="1:16"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c r="P1091" t="str" cm="1">
        <f t="array" ref="P1091">_xlfn.IFS(orders[[#This Row],[Quantity]]&lt;=5,"1 to 5",orders[[#This Row],[Quantity]]&lt;=10,"6 to 10",orders[[#This Row],[Quantity]]&lt;=16,"11 to 16",orders[[#This Row],[Quantity]]&gt;16,"Above 16")</f>
        <v>1 to 5</v>
      </c>
    </row>
    <row r="1092" spans="1:16"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c r="P1092" t="str" cm="1">
        <f t="array" ref="P1092">_xlfn.IFS(orders[[#This Row],[Quantity]]&lt;=5,"1 to 5",orders[[#This Row],[Quantity]]&lt;=10,"6 to 10",orders[[#This Row],[Quantity]]&lt;=16,"11 to 16",orders[[#This Row],[Quantity]]&gt;16,"Above 16")</f>
        <v>Above 16</v>
      </c>
    </row>
    <row r="1093" spans="1:16"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c r="P1093" t="str" cm="1">
        <f t="array" ref="P1093">_xlfn.IFS(orders[[#This Row],[Quantity]]&lt;=5,"1 to 5",orders[[#This Row],[Quantity]]&lt;=10,"6 to 10",orders[[#This Row],[Quantity]]&lt;=16,"11 to 16",orders[[#This Row],[Quantity]]&gt;16,"Above 16")</f>
        <v>1 to 5</v>
      </c>
    </row>
    <row r="1094" spans="1:16"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c r="P1094" t="str" cm="1">
        <f t="array" ref="P1094">_xlfn.IFS(orders[[#This Row],[Quantity]]&lt;=5,"1 to 5",orders[[#This Row],[Quantity]]&lt;=10,"6 to 10",orders[[#This Row],[Quantity]]&lt;=16,"11 to 16",orders[[#This Row],[Quantity]]&gt;16,"Above 16")</f>
        <v>1 to 5</v>
      </c>
    </row>
    <row r="1095" spans="1:16"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c r="P1095" t="str" cm="1">
        <f t="array" ref="P1095">_xlfn.IFS(orders[[#This Row],[Quantity]]&lt;=5,"1 to 5",orders[[#This Row],[Quantity]]&lt;=10,"6 to 10",orders[[#This Row],[Quantity]]&lt;=16,"11 to 16",orders[[#This Row],[Quantity]]&gt;16,"Above 16")</f>
        <v>1 to 5</v>
      </c>
    </row>
    <row r="1096" spans="1:16"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c r="P1096" t="str" cm="1">
        <f t="array" ref="P1096">_xlfn.IFS(orders[[#This Row],[Quantity]]&lt;=5,"1 to 5",orders[[#This Row],[Quantity]]&lt;=10,"6 to 10",orders[[#This Row],[Quantity]]&lt;=16,"11 to 16",orders[[#This Row],[Quantity]]&gt;16,"Above 16")</f>
        <v>1 to 5</v>
      </c>
    </row>
    <row r="1097" spans="1:16"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c r="P1097" t="str" cm="1">
        <f t="array" ref="P1097">_xlfn.IFS(orders[[#This Row],[Quantity]]&lt;=5,"1 to 5",orders[[#This Row],[Quantity]]&lt;=10,"6 to 10",orders[[#This Row],[Quantity]]&lt;=16,"11 to 16",orders[[#This Row],[Quantity]]&gt;16,"Above 16")</f>
        <v>1 to 5</v>
      </c>
    </row>
    <row r="1098" spans="1:16"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c r="P1098" t="str" cm="1">
        <f t="array" ref="P1098">_xlfn.IFS(orders[[#This Row],[Quantity]]&lt;=5,"1 to 5",orders[[#This Row],[Quantity]]&lt;=10,"6 to 10",orders[[#This Row],[Quantity]]&lt;=16,"11 to 16",orders[[#This Row],[Quantity]]&gt;16,"Above 16")</f>
        <v>6 to 10</v>
      </c>
    </row>
    <row r="1099" spans="1:16"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c r="P1099" t="str" cm="1">
        <f t="array" ref="P1099">_xlfn.IFS(orders[[#This Row],[Quantity]]&lt;=5,"1 to 5",orders[[#This Row],[Quantity]]&lt;=10,"6 to 10",orders[[#This Row],[Quantity]]&lt;=16,"11 to 16",orders[[#This Row],[Quantity]]&gt;16,"Above 16")</f>
        <v>1 to 5</v>
      </c>
    </row>
    <row r="1100" spans="1:16"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c r="P1100" t="str" cm="1">
        <f t="array" ref="P1100">_xlfn.IFS(orders[[#This Row],[Quantity]]&lt;=5,"1 to 5",orders[[#This Row],[Quantity]]&lt;=10,"6 to 10",orders[[#This Row],[Quantity]]&lt;=16,"11 to 16",orders[[#This Row],[Quantity]]&gt;16,"Above 16")</f>
        <v>1 to 5</v>
      </c>
    </row>
    <row r="1101" spans="1:16"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c r="P1101" t="str" cm="1">
        <f t="array" ref="P1101">_xlfn.IFS(orders[[#This Row],[Quantity]]&lt;=5,"1 to 5",orders[[#This Row],[Quantity]]&lt;=10,"6 to 10",orders[[#This Row],[Quantity]]&lt;=16,"11 to 16",orders[[#This Row],[Quantity]]&gt;16,"Above 16")</f>
        <v>1 to 5</v>
      </c>
    </row>
    <row r="1102" spans="1:16"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c r="P1102" t="str" cm="1">
        <f t="array" ref="P1102">_xlfn.IFS(orders[[#This Row],[Quantity]]&lt;=5,"1 to 5",orders[[#This Row],[Quantity]]&lt;=10,"6 to 10",orders[[#This Row],[Quantity]]&lt;=16,"11 to 16",orders[[#This Row],[Quantity]]&gt;16,"Above 16")</f>
        <v>1 to 5</v>
      </c>
    </row>
    <row r="1103" spans="1:16"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c r="P1103" t="str" cm="1">
        <f t="array" ref="P1103">_xlfn.IFS(orders[[#This Row],[Quantity]]&lt;=5,"1 to 5",orders[[#This Row],[Quantity]]&lt;=10,"6 to 10",orders[[#This Row],[Quantity]]&lt;=16,"11 to 16",orders[[#This Row],[Quantity]]&gt;16,"Above 16")</f>
        <v>6 to 10</v>
      </c>
    </row>
    <row r="1104" spans="1:16"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c r="P1104" t="str" cm="1">
        <f t="array" ref="P1104">_xlfn.IFS(orders[[#This Row],[Quantity]]&lt;=5,"1 to 5",orders[[#This Row],[Quantity]]&lt;=10,"6 to 10",orders[[#This Row],[Quantity]]&lt;=16,"11 to 16",orders[[#This Row],[Quantity]]&gt;16,"Above 16")</f>
        <v>6 to 10</v>
      </c>
    </row>
    <row r="1105" spans="1:16"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c r="P1105" t="str" cm="1">
        <f t="array" ref="P1105">_xlfn.IFS(orders[[#This Row],[Quantity]]&lt;=5,"1 to 5",orders[[#This Row],[Quantity]]&lt;=10,"6 to 10",orders[[#This Row],[Quantity]]&lt;=16,"11 to 16",orders[[#This Row],[Quantity]]&gt;16,"Above 16")</f>
        <v>1 to 5</v>
      </c>
    </row>
    <row r="1106" spans="1:16"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c r="P1106" t="str" cm="1">
        <f t="array" ref="P1106">_xlfn.IFS(orders[[#This Row],[Quantity]]&lt;=5,"1 to 5",orders[[#This Row],[Quantity]]&lt;=10,"6 to 10",orders[[#This Row],[Quantity]]&lt;=16,"11 to 16",orders[[#This Row],[Quantity]]&gt;16,"Above 16")</f>
        <v>1 to 5</v>
      </c>
    </row>
    <row r="1107" spans="1:16"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c r="P1107" t="str" cm="1">
        <f t="array" ref="P1107">_xlfn.IFS(orders[[#This Row],[Quantity]]&lt;=5,"1 to 5",orders[[#This Row],[Quantity]]&lt;=10,"6 to 10",orders[[#This Row],[Quantity]]&lt;=16,"11 to 16",orders[[#This Row],[Quantity]]&gt;16,"Above 16")</f>
        <v>1 to 5</v>
      </c>
    </row>
    <row r="1108" spans="1:16"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c r="P1108" t="str" cm="1">
        <f t="array" ref="P1108">_xlfn.IFS(orders[[#This Row],[Quantity]]&lt;=5,"1 to 5",orders[[#This Row],[Quantity]]&lt;=10,"6 to 10",orders[[#This Row],[Quantity]]&lt;=16,"11 to 16",orders[[#This Row],[Quantity]]&gt;16,"Above 16")</f>
        <v>1 to 5</v>
      </c>
    </row>
    <row r="1109" spans="1:16"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c r="P1109" t="str" cm="1">
        <f t="array" ref="P1109">_xlfn.IFS(orders[[#This Row],[Quantity]]&lt;=5,"1 to 5",orders[[#This Row],[Quantity]]&lt;=10,"6 to 10",orders[[#This Row],[Quantity]]&lt;=16,"11 to 16",orders[[#This Row],[Quantity]]&gt;16,"Above 16")</f>
        <v>1 to 5</v>
      </c>
    </row>
    <row r="1110" spans="1:16"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c r="P1110" t="str" cm="1">
        <f t="array" ref="P1110">_xlfn.IFS(orders[[#This Row],[Quantity]]&lt;=5,"1 to 5",orders[[#This Row],[Quantity]]&lt;=10,"6 to 10",orders[[#This Row],[Quantity]]&lt;=16,"11 to 16",orders[[#This Row],[Quantity]]&gt;16,"Above 16")</f>
        <v>6 to 10</v>
      </c>
    </row>
    <row r="1111" spans="1:16"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c r="P1111" t="str" cm="1">
        <f t="array" ref="P1111">_xlfn.IFS(orders[[#This Row],[Quantity]]&lt;=5,"1 to 5",orders[[#This Row],[Quantity]]&lt;=10,"6 to 10",orders[[#This Row],[Quantity]]&lt;=16,"11 to 16",orders[[#This Row],[Quantity]]&gt;16,"Above 16")</f>
        <v>1 to 5</v>
      </c>
    </row>
    <row r="1112" spans="1:16"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c r="P1112" t="str" cm="1">
        <f t="array" ref="P1112">_xlfn.IFS(orders[[#This Row],[Quantity]]&lt;=5,"1 to 5",orders[[#This Row],[Quantity]]&lt;=10,"6 to 10",orders[[#This Row],[Quantity]]&lt;=16,"11 to 16",orders[[#This Row],[Quantity]]&gt;16,"Above 16")</f>
        <v>6 to 10</v>
      </c>
    </row>
    <row r="1113" spans="1:16"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c r="P1113" t="str" cm="1">
        <f t="array" ref="P1113">_xlfn.IFS(orders[[#This Row],[Quantity]]&lt;=5,"1 to 5",orders[[#This Row],[Quantity]]&lt;=10,"6 to 10",orders[[#This Row],[Quantity]]&lt;=16,"11 to 16",orders[[#This Row],[Quantity]]&gt;16,"Above 16")</f>
        <v>1 to 5</v>
      </c>
    </row>
    <row r="1114" spans="1:16"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c r="P1114" t="str" cm="1">
        <f t="array" ref="P1114">_xlfn.IFS(orders[[#This Row],[Quantity]]&lt;=5,"1 to 5",orders[[#This Row],[Quantity]]&lt;=10,"6 to 10",orders[[#This Row],[Quantity]]&lt;=16,"11 to 16",orders[[#This Row],[Quantity]]&gt;16,"Above 16")</f>
        <v>6 to 10</v>
      </c>
    </row>
    <row r="1115" spans="1:16"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c r="P1115" t="str" cm="1">
        <f t="array" ref="P1115">_xlfn.IFS(orders[[#This Row],[Quantity]]&lt;=5,"1 to 5",orders[[#This Row],[Quantity]]&lt;=10,"6 to 10",orders[[#This Row],[Quantity]]&lt;=16,"11 to 16",orders[[#This Row],[Quantity]]&gt;16,"Above 16")</f>
        <v>6 to 10</v>
      </c>
    </row>
    <row r="1116" spans="1:16"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c r="P1116" t="str" cm="1">
        <f t="array" ref="P1116">_xlfn.IFS(orders[[#This Row],[Quantity]]&lt;=5,"1 to 5",orders[[#This Row],[Quantity]]&lt;=10,"6 to 10",orders[[#This Row],[Quantity]]&lt;=16,"11 to 16",orders[[#This Row],[Quantity]]&gt;16,"Above 16")</f>
        <v>1 to 5</v>
      </c>
    </row>
    <row r="1117" spans="1:16"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c r="P1117" t="str" cm="1">
        <f t="array" ref="P1117">_xlfn.IFS(orders[[#This Row],[Quantity]]&lt;=5,"1 to 5",orders[[#This Row],[Quantity]]&lt;=10,"6 to 10",orders[[#This Row],[Quantity]]&lt;=16,"11 to 16",orders[[#This Row],[Quantity]]&gt;16,"Above 16")</f>
        <v>6 to 10</v>
      </c>
    </row>
    <row r="1118" spans="1:16"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c r="P1118" t="str" cm="1">
        <f t="array" ref="P1118">_xlfn.IFS(orders[[#This Row],[Quantity]]&lt;=5,"1 to 5",orders[[#This Row],[Quantity]]&lt;=10,"6 to 10",orders[[#This Row],[Quantity]]&lt;=16,"11 to 16",orders[[#This Row],[Quantity]]&gt;16,"Above 16")</f>
        <v>1 to 5</v>
      </c>
    </row>
    <row r="1119" spans="1:16"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c r="P1119" t="str" cm="1">
        <f t="array" ref="P1119">_xlfn.IFS(orders[[#This Row],[Quantity]]&lt;=5,"1 to 5",orders[[#This Row],[Quantity]]&lt;=10,"6 to 10",orders[[#This Row],[Quantity]]&lt;=16,"11 to 16",orders[[#This Row],[Quantity]]&gt;16,"Above 16")</f>
        <v>1 to 5</v>
      </c>
    </row>
    <row r="1120" spans="1:16"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c r="P1120" t="str" cm="1">
        <f t="array" ref="P1120">_xlfn.IFS(orders[[#This Row],[Quantity]]&lt;=5,"1 to 5",orders[[#This Row],[Quantity]]&lt;=10,"6 to 10",orders[[#This Row],[Quantity]]&lt;=16,"11 to 16",orders[[#This Row],[Quantity]]&gt;16,"Above 16")</f>
        <v>1 to 5</v>
      </c>
    </row>
    <row r="1121" spans="1:16"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c r="P1121" t="str" cm="1">
        <f t="array" ref="P1121">_xlfn.IFS(orders[[#This Row],[Quantity]]&lt;=5,"1 to 5",orders[[#This Row],[Quantity]]&lt;=10,"6 to 10",orders[[#This Row],[Quantity]]&lt;=16,"11 to 16",orders[[#This Row],[Quantity]]&gt;16,"Above 16")</f>
        <v>1 to 5</v>
      </c>
    </row>
    <row r="1122" spans="1:16"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c r="P1122" t="str" cm="1">
        <f t="array" ref="P1122">_xlfn.IFS(orders[[#This Row],[Quantity]]&lt;=5,"1 to 5",orders[[#This Row],[Quantity]]&lt;=10,"6 to 10",orders[[#This Row],[Quantity]]&lt;=16,"11 to 16",orders[[#This Row],[Quantity]]&gt;16,"Above 16")</f>
        <v>1 to 5</v>
      </c>
    </row>
    <row r="1123" spans="1:16"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c r="P1123" t="str" cm="1">
        <f t="array" ref="P1123">_xlfn.IFS(orders[[#This Row],[Quantity]]&lt;=5,"1 to 5",orders[[#This Row],[Quantity]]&lt;=10,"6 to 10",orders[[#This Row],[Quantity]]&lt;=16,"11 to 16",orders[[#This Row],[Quantity]]&gt;16,"Above 16")</f>
        <v>1 to 5</v>
      </c>
    </row>
    <row r="1124" spans="1:16"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c r="P1124" t="str" cm="1">
        <f t="array" ref="P1124">_xlfn.IFS(orders[[#This Row],[Quantity]]&lt;=5,"1 to 5",orders[[#This Row],[Quantity]]&lt;=10,"6 to 10",orders[[#This Row],[Quantity]]&lt;=16,"11 to 16",orders[[#This Row],[Quantity]]&gt;16,"Above 16")</f>
        <v>1 to 5</v>
      </c>
    </row>
    <row r="1125" spans="1:16"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c r="P1125" t="str" cm="1">
        <f t="array" ref="P1125">_xlfn.IFS(orders[[#This Row],[Quantity]]&lt;=5,"1 to 5",orders[[#This Row],[Quantity]]&lt;=10,"6 to 10",orders[[#This Row],[Quantity]]&lt;=16,"11 to 16",orders[[#This Row],[Quantity]]&gt;16,"Above 16")</f>
        <v>1 to 5</v>
      </c>
    </row>
    <row r="1126" spans="1:16"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c r="P1126" t="str" cm="1">
        <f t="array" ref="P1126">_xlfn.IFS(orders[[#This Row],[Quantity]]&lt;=5,"1 to 5",orders[[#This Row],[Quantity]]&lt;=10,"6 to 10",orders[[#This Row],[Quantity]]&lt;=16,"11 to 16",orders[[#This Row],[Quantity]]&gt;16,"Above 16")</f>
        <v>1 to 5</v>
      </c>
    </row>
    <row r="1127" spans="1:16"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c r="P1127" t="str" cm="1">
        <f t="array" ref="P1127">_xlfn.IFS(orders[[#This Row],[Quantity]]&lt;=5,"1 to 5",orders[[#This Row],[Quantity]]&lt;=10,"6 to 10",orders[[#This Row],[Quantity]]&lt;=16,"11 to 16",orders[[#This Row],[Quantity]]&gt;16,"Above 16")</f>
        <v>1 to 5</v>
      </c>
    </row>
    <row r="1128" spans="1:16"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c r="P1128" t="str" cm="1">
        <f t="array" ref="P1128">_xlfn.IFS(orders[[#This Row],[Quantity]]&lt;=5,"1 to 5",orders[[#This Row],[Quantity]]&lt;=10,"6 to 10",orders[[#This Row],[Quantity]]&lt;=16,"11 to 16",orders[[#This Row],[Quantity]]&gt;16,"Above 16")</f>
        <v>6 to 10</v>
      </c>
    </row>
    <row r="1129" spans="1:16"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c r="P1129" t="str" cm="1">
        <f t="array" ref="P1129">_xlfn.IFS(orders[[#This Row],[Quantity]]&lt;=5,"1 to 5",orders[[#This Row],[Quantity]]&lt;=10,"6 to 10",orders[[#This Row],[Quantity]]&lt;=16,"11 to 16",orders[[#This Row],[Quantity]]&gt;16,"Above 16")</f>
        <v>1 to 5</v>
      </c>
    </row>
    <row r="1130" spans="1:16"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c r="P1130" t="str" cm="1">
        <f t="array" ref="P1130">_xlfn.IFS(orders[[#This Row],[Quantity]]&lt;=5,"1 to 5",orders[[#This Row],[Quantity]]&lt;=10,"6 to 10",orders[[#This Row],[Quantity]]&lt;=16,"11 to 16",orders[[#This Row],[Quantity]]&gt;16,"Above 16")</f>
        <v>1 to 5</v>
      </c>
    </row>
    <row r="1131" spans="1:16"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c r="P1131" t="str" cm="1">
        <f t="array" ref="P1131">_xlfn.IFS(orders[[#This Row],[Quantity]]&lt;=5,"1 to 5",orders[[#This Row],[Quantity]]&lt;=10,"6 to 10",orders[[#This Row],[Quantity]]&lt;=16,"11 to 16",orders[[#This Row],[Quantity]]&gt;16,"Above 16")</f>
        <v>6 to 10</v>
      </c>
    </row>
    <row r="1132" spans="1:16"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c r="P1132" t="str" cm="1">
        <f t="array" ref="P1132">_xlfn.IFS(orders[[#This Row],[Quantity]]&lt;=5,"1 to 5",orders[[#This Row],[Quantity]]&lt;=10,"6 to 10",orders[[#This Row],[Quantity]]&lt;=16,"11 to 16",orders[[#This Row],[Quantity]]&gt;16,"Above 16")</f>
        <v>1 to 5</v>
      </c>
    </row>
    <row r="1133" spans="1:16"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c r="P1133" t="str" cm="1">
        <f t="array" ref="P1133">_xlfn.IFS(orders[[#This Row],[Quantity]]&lt;=5,"1 to 5",orders[[#This Row],[Quantity]]&lt;=10,"6 to 10",orders[[#This Row],[Quantity]]&lt;=16,"11 to 16",orders[[#This Row],[Quantity]]&gt;16,"Above 16")</f>
        <v>1 to 5</v>
      </c>
    </row>
    <row r="1134" spans="1:16"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c r="P1134" t="str" cm="1">
        <f t="array" ref="P1134">_xlfn.IFS(orders[[#This Row],[Quantity]]&lt;=5,"1 to 5",orders[[#This Row],[Quantity]]&lt;=10,"6 to 10",orders[[#This Row],[Quantity]]&lt;=16,"11 to 16",orders[[#This Row],[Quantity]]&gt;16,"Above 16")</f>
        <v>1 to 5</v>
      </c>
    </row>
    <row r="1135" spans="1:16"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c r="P1135" t="str" cm="1">
        <f t="array" ref="P1135">_xlfn.IFS(orders[[#This Row],[Quantity]]&lt;=5,"1 to 5",orders[[#This Row],[Quantity]]&lt;=10,"6 to 10",orders[[#This Row],[Quantity]]&lt;=16,"11 to 16",orders[[#This Row],[Quantity]]&gt;16,"Above 16")</f>
        <v>1 to 5</v>
      </c>
    </row>
    <row r="1136" spans="1:16"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c r="P1136" t="str" cm="1">
        <f t="array" ref="P1136">_xlfn.IFS(orders[[#This Row],[Quantity]]&lt;=5,"1 to 5",orders[[#This Row],[Quantity]]&lt;=10,"6 to 10",orders[[#This Row],[Quantity]]&lt;=16,"11 to 16",orders[[#This Row],[Quantity]]&gt;16,"Above 16")</f>
        <v>1 to 5</v>
      </c>
    </row>
    <row r="1137" spans="1:16"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c r="P1137" t="str" cm="1">
        <f t="array" ref="P1137">_xlfn.IFS(orders[[#This Row],[Quantity]]&lt;=5,"1 to 5",orders[[#This Row],[Quantity]]&lt;=10,"6 to 10",orders[[#This Row],[Quantity]]&lt;=16,"11 to 16",orders[[#This Row],[Quantity]]&gt;16,"Above 16")</f>
        <v>1 to 5</v>
      </c>
    </row>
    <row r="1138" spans="1:16"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c r="P1138" t="str" cm="1">
        <f t="array" ref="P1138">_xlfn.IFS(orders[[#This Row],[Quantity]]&lt;=5,"1 to 5",orders[[#This Row],[Quantity]]&lt;=10,"6 to 10",orders[[#This Row],[Quantity]]&lt;=16,"11 to 16",orders[[#This Row],[Quantity]]&gt;16,"Above 16")</f>
        <v>1 to 5</v>
      </c>
    </row>
    <row r="1139" spans="1:16"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c r="P1139" t="str" cm="1">
        <f t="array" ref="P1139">_xlfn.IFS(orders[[#This Row],[Quantity]]&lt;=5,"1 to 5",orders[[#This Row],[Quantity]]&lt;=10,"6 to 10",orders[[#This Row],[Quantity]]&lt;=16,"11 to 16",orders[[#This Row],[Quantity]]&gt;16,"Above 16")</f>
        <v>1 to 5</v>
      </c>
    </row>
    <row r="1140" spans="1:16"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c r="P1140" t="str" cm="1">
        <f t="array" ref="P1140">_xlfn.IFS(orders[[#This Row],[Quantity]]&lt;=5,"1 to 5",orders[[#This Row],[Quantity]]&lt;=10,"6 to 10",orders[[#This Row],[Quantity]]&lt;=16,"11 to 16",orders[[#This Row],[Quantity]]&gt;16,"Above 16")</f>
        <v>1 to 5</v>
      </c>
    </row>
    <row r="1141" spans="1:16"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c r="P1141" t="str" cm="1">
        <f t="array" ref="P1141">_xlfn.IFS(orders[[#This Row],[Quantity]]&lt;=5,"1 to 5",orders[[#This Row],[Quantity]]&lt;=10,"6 to 10",orders[[#This Row],[Quantity]]&lt;=16,"11 to 16",orders[[#This Row],[Quantity]]&gt;16,"Above 16")</f>
        <v>1 to 5</v>
      </c>
    </row>
    <row r="1142" spans="1:16"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c r="P1142" t="str" cm="1">
        <f t="array" ref="P1142">_xlfn.IFS(orders[[#This Row],[Quantity]]&lt;=5,"1 to 5",orders[[#This Row],[Quantity]]&lt;=10,"6 to 10",orders[[#This Row],[Quantity]]&lt;=16,"11 to 16",orders[[#This Row],[Quantity]]&gt;16,"Above 16")</f>
        <v>11 to 16</v>
      </c>
    </row>
    <row r="1143" spans="1:16"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c r="P1143" t="str" cm="1">
        <f t="array" ref="P1143">_xlfn.IFS(orders[[#This Row],[Quantity]]&lt;=5,"1 to 5",orders[[#This Row],[Quantity]]&lt;=10,"6 to 10",orders[[#This Row],[Quantity]]&lt;=16,"11 to 16",orders[[#This Row],[Quantity]]&gt;16,"Above 16")</f>
        <v>1 to 5</v>
      </c>
    </row>
    <row r="1144" spans="1:16"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c r="P1144" t="str" cm="1">
        <f t="array" ref="P1144">_xlfn.IFS(orders[[#This Row],[Quantity]]&lt;=5,"1 to 5",orders[[#This Row],[Quantity]]&lt;=10,"6 to 10",orders[[#This Row],[Quantity]]&lt;=16,"11 to 16",orders[[#This Row],[Quantity]]&gt;16,"Above 16")</f>
        <v>1 to 5</v>
      </c>
    </row>
    <row r="1145" spans="1:16"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c r="P1145" t="str" cm="1">
        <f t="array" ref="P1145">_xlfn.IFS(orders[[#This Row],[Quantity]]&lt;=5,"1 to 5",orders[[#This Row],[Quantity]]&lt;=10,"6 to 10",orders[[#This Row],[Quantity]]&lt;=16,"11 to 16",orders[[#This Row],[Quantity]]&gt;16,"Above 16")</f>
        <v>1 to 5</v>
      </c>
    </row>
    <row r="1146" spans="1:16"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c r="P1146" t="str" cm="1">
        <f t="array" ref="P1146">_xlfn.IFS(orders[[#This Row],[Quantity]]&lt;=5,"1 to 5",orders[[#This Row],[Quantity]]&lt;=10,"6 to 10",orders[[#This Row],[Quantity]]&lt;=16,"11 to 16",orders[[#This Row],[Quantity]]&gt;16,"Above 16")</f>
        <v>1 to 5</v>
      </c>
    </row>
    <row r="1147" spans="1:16"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c r="P1147" t="str" cm="1">
        <f t="array" ref="P1147">_xlfn.IFS(orders[[#This Row],[Quantity]]&lt;=5,"1 to 5",orders[[#This Row],[Quantity]]&lt;=10,"6 to 10",orders[[#This Row],[Quantity]]&lt;=16,"11 to 16",orders[[#This Row],[Quantity]]&gt;16,"Above 16")</f>
        <v>1 to 5</v>
      </c>
    </row>
    <row r="1148" spans="1:16"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c r="P1148" t="str" cm="1">
        <f t="array" ref="P1148">_xlfn.IFS(orders[[#This Row],[Quantity]]&lt;=5,"1 to 5",orders[[#This Row],[Quantity]]&lt;=10,"6 to 10",orders[[#This Row],[Quantity]]&lt;=16,"11 to 16",orders[[#This Row],[Quantity]]&gt;16,"Above 16")</f>
        <v>1 to 5</v>
      </c>
    </row>
    <row r="1149" spans="1:16"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c r="P1149" t="str" cm="1">
        <f t="array" ref="P1149">_xlfn.IFS(orders[[#This Row],[Quantity]]&lt;=5,"1 to 5",orders[[#This Row],[Quantity]]&lt;=10,"6 to 10",orders[[#This Row],[Quantity]]&lt;=16,"11 to 16",orders[[#This Row],[Quantity]]&gt;16,"Above 16")</f>
        <v>6 to 10</v>
      </c>
    </row>
    <row r="1150" spans="1:16"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c r="P1150" t="str" cm="1">
        <f t="array" ref="P1150">_xlfn.IFS(orders[[#This Row],[Quantity]]&lt;=5,"1 to 5",orders[[#This Row],[Quantity]]&lt;=10,"6 to 10",orders[[#This Row],[Quantity]]&lt;=16,"11 to 16",orders[[#This Row],[Quantity]]&gt;16,"Above 16")</f>
        <v>1 to 5</v>
      </c>
    </row>
    <row r="1151" spans="1:16"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c r="P1151" t="str" cm="1">
        <f t="array" ref="P1151">_xlfn.IFS(orders[[#This Row],[Quantity]]&lt;=5,"1 to 5",orders[[#This Row],[Quantity]]&lt;=10,"6 to 10",orders[[#This Row],[Quantity]]&lt;=16,"11 to 16",orders[[#This Row],[Quantity]]&gt;16,"Above 16")</f>
        <v>1 to 5</v>
      </c>
    </row>
    <row r="1152" spans="1:16"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c r="P1152" t="str" cm="1">
        <f t="array" ref="P1152">_xlfn.IFS(orders[[#This Row],[Quantity]]&lt;=5,"1 to 5",orders[[#This Row],[Quantity]]&lt;=10,"6 to 10",orders[[#This Row],[Quantity]]&lt;=16,"11 to 16",orders[[#This Row],[Quantity]]&gt;16,"Above 16")</f>
        <v>6 to 10</v>
      </c>
    </row>
    <row r="1153" spans="1:16"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c r="P1153" t="str" cm="1">
        <f t="array" ref="P1153">_xlfn.IFS(orders[[#This Row],[Quantity]]&lt;=5,"1 to 5",orders[[#This Row],[Quantity]]&lt;=10,"6 to 10",orders[[#This Row],[Quantity]]&lt;=16,"11 to 16",orders[[#This Row],[Quantity]]&gt;16,"Above 16")</f>
        <v>1 to 5</v>
      </c>
    </row>
    <row r="1154" spans="1:16"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c r="P1154" t="str" cm="1">
        <f t="array" ref="P1154">_xlfn.IFS(orders[[#This Row],[Quantity]]&lt;=5,"1 to 5",orders[[#This Row],[Quantity]]&lt;=10,"6 to 10",orders[[#This Row],[Quantity]]&lt;=16,"11 to 16",orders[[#This Row],[Quantity]]&gt;16,"Above 16")</f>
        <v>1 to 5</v>
      </c>
    </row>
    <row r="1155" spans="1:16"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c r="P1155" t="str" cm="1">
        <f t="array" ref="P1155">_xlfn.IFS(orders[[#This Row],[Quantity]]&lt;=5,"1 to 5",orders[[#This Row],[Quantity]]&lt;=10,"6 to 10",orders[[#This Row],[Quantity]]&lt;=16,"11 to 16",orders[[#This Row],[Quantity]]&gt;16,"Above 16")</f>
        <v>1 to 5</v>
      </c>
    </row>
    <row r="1156" spans="1:16"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c r="P1156" t="str" cm="1">
        <f t="array" ref="P1156">_xlfn.IFS(orders[[#This Row],[Quantity]]&lt;=5,"1 to 5",orders[[#This Row],[Quantity]]&lt;=10,"6 to 10",orders[[#This Row],[Quantity]]&lt;=16,"11 to 16",orders[[#This Row],[Quantity]]&gt;16,"Above 16")</f>
        <v>11 to 16</v>
      </c>
    </row>
    <row r="1157" spans="1:16"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c r="P1157" t="str" cm="1">
        <f t="array" ref="P1157">_xlfn.IFS(orders[[#This Row],[Quantity]]&lt;=5,"1 to 5",orders[[#This Row],[Quantity]]&lt;=10,"6 to 10",orders[[#This Row],[Quantity]]&lt;=16,"11 to 16",orders[[#This Row],[Quantity]]&gt;16,"Above 16")</f>
        <v>6 to 10</v>
      </c>
    </row>
    <row r="1158" spans="1:16"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c r="P1158" t="str" cm="1">
        <f t="array" ref="P1158">_xlfn.IFS(orders[[#This Row],[Quantity]]&lt;=5,"1 to 5",orders[[#This Row],[Quantity]]&lt;=10,"6 to 10",orders[[#This Row],[Quantity]]&lt;=16,"11 to 16",orders[[#This Row],[Quantity]]&gt;16,"Above 16")</f>
        <v>1 to 5</v>
      </c>
    </row>
    <row r="1159" spans="1:16"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c r="P1159" t="str" cm="1">
        <f t="array" ref="P1159">_xlfn.IFS(orders[[#This Row],[Quantity]]&lt;=5,"1 to 5",orders[[#This Row],[Quantity]]&lt;=10,"6 to 10",orders[[#This Row],[Quantity]]&lt;=16,"11 to 16",orders[[#This Row],[Quantity]]&gt;16,"Above 16")</f>
        <v>1 to 5</v>
      </c>
    </row>
    <row r="1160" spans="1:16"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c r="P1160" t="str" cm="1">
        <f t="array" ref="P1160">_xlfn.IFS(orders[[#This Row],[Quantity]]&lt;=5,"1 to 5",orders[[#This Row],[Quantity]]&lt;=10,"6 to 10",orders[[#This Row],[Quantity]]&lt;=16,"11 to 16",orders[[#This Row],[Quantity]]&gt;16,"Above 16")</f>
        <v>1 to 5</v>
      </c>
    </row>
    <row r="1161" spans="1:16"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c r="P1161" t="str" cm="1">
        <f t="array" ref="P1161">_xlfn.IFS(orders[[#This Row],[Quantity]]&lt;=5,"1 to 5",orders[[#This Row],[Quantity]]&lt;=10,"6 to 10",orders[[#This Row],[Quantity]]&lt;=16,"11 to 16",orders[[#This Row],[Quantity]]&gt;16,"Above 16")</f>
        <v>1 to 5</v>
      </c>
    </row>
    <row r="1162" spans="1:16"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c r="P1162" t="str" cm="1">
        <f t="array" ref="P1162">_xlfn.IFS(orders[[#This Row],[Quantity]]&lt;=5,"1 to 5",orders[[#This Row],[Quantity]]&lt;=10,"6 to 10",orders[[#This Row],[Quantity]]&lt;=16,"11 to 16",orders[[#This Row],[Quantity]]&gt;16,"Above 16")</f>
        <v>1 to 5</v>
      </c>
    </row>
    <row r="1163" spans="1:16"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c r="P1163" t="str" cm="1">
        <f t="array" ref="P1163">_xlfn.IFS(orders[[#This Row],[Quantity]]&lt;=5,"1 to 5",orders[[#This Row],[Quantity]]&lt;=10,"6 to 10",orders[[#This Row],[Quantity]]&lt;=16,"11 to 16",orders[[#This Row],[Quantity]]&gt;16,"Above 16")</f>
        <v>1 to 5</v>
      </c>
    </row>
    <row r="1164" spans="1:16"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c r="P1164" t="str" cm="1">
        <f t="array" ref="P1164">_xlfn.IFS(orders[[#This Row],[Quantity]]&lt;=5,"1 to 5",orders[[#This Row],[Quantity]]&lt;=10,"6 to 10",orders[[#This Row],[Quantity]]&lt;=16,"11 to 16",orders[[#This Row],[Quantity]]&gt;16,"Above 16")</f>
        <v>1 to 5</v>
      </c>
    </row>
    <row r="1165" spans="1:16"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c r="P1165" t="str" cm="1">
        <f t="array" ref="P1165">_xlfn.IFS(orders[[#This Row],[Quantity]]&lt;=5,"1 to 5",orders[[#This Row],[Quantity]]&lt;=10,"6 to 10",orders[[#This Row],[Quantity]]&lt;=16,"11 to 16",orders[[#This Row],[Quantity]]&gt;16,"Above 16")</f>
        <v>6 to 10</v>
      </c>
    </row>
    <row r="1166" spans="1:16"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c r="P1166" t="str" cm="1">
        <f t="array" ref="P1166">_xlfn.IFS(orders[[#This Row],[Quantity]]&lt;=5,"1 to 5",orders[[#This Row],[Quantity]]&lt;=10,"6 to 10",orders[[#This Row],[Quantity]]&lt;=16,"11 to 16",orders[[#This Row],[Quantity]]&gt;16,"Above 16")</f>
        <v>1 to 5</v>
      </c>
    </row>
    <row r="1167" spans="1:16"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c r="P1167" t="str" cm="1">
        <f t="array" ref="P1167">_xlfn.IFS(orders[[#This Row],[Quantity]]&lt;=5,"1 to 5",orders[[#This Row],[Quantity]]&lt;=10,"6 to 10",orders[[#This Row],[Quantity]]&lt;=16,"11 to 16",orders[[#This Row],[Quantity]]&gt;16,"Above 16")</f>
        <v>1 to 5</v>
      </c>
    </row>
    <row r="1168" spans="1:16"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c r="P1168" t="str" cm="1">
        <f t="array" ref="P1168">_xlfn.IFS(orders[[#This Row],[Quantity]]&lt;=5,"1 to 5",orders[[#This Row],[Quantity]]&lt;=10,"6 to 10",orders[[#This Row],[Quantity]]&lt;=16,"11 to 16",orders[[#This Row],[Quantity]]&gt;16,"Above 16")</f>
        <v>6 to 10</v>
      </c>
    </row>
    <row r="1169" spans="1:16"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c r="P1169" t="str" cm="1">
        <f t="array" ref="P1169">_xlfn.IFS(orders[[#This Row],[Quantity]]&lt;=5,"1 to 5",orders[[#This Row],[Quantity]]&lt;=10,"6 to 10",orders[[#This Row],[Quantity]]&lt;=16,"11 to 16",orders[[#This Row],[Quantity]]&gt;16,"Above 16")</f>
        <v>1 to 5</v>
      </c>
    </row>
    <row r="1170" spans="1:16"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c r="P1170" t="str" cm="1">
        <f t="array" ref="P1170">_xlfn.IFS(orders[[#This Row],[Quantity]]&lt;=5,"1 to 5",orders[[#This Row],[Quantity]]&lt;=10,"6 to 10",orders[[#This Row],[Quantity]]&lt;=16,"11 to 16",orders[[#This Row],[Quantity]]&gt;16,"Above 16")</f>
        <v>1 to 5</v>
      </c>
    </row>
    <row r="1171" spans="1:16"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c r="P1171" t="str" cm="1">
        <f t="array" ref="P1171">_xlfn.IFS(orders[[#This Row],[Quantity]]&lt;=5,"1 to 5",orders[[#This Row],[Quantity]]&lt;=10,"6 to 10",orders[[#This Row],[Quantity]]&lt;=16,"11 to 16",orders[[#This Row],[Quantity]]&gt;16,"Above 16")</f>
        <v>6 to 10</v>
      </c>
    </row>
    <row r="1172" spans="1:16"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c r="P1172" t="str" cm="1">
        <f t="array" ref="P1172">_xlfn.IFS(orders[[#This Row],[Quantity]]&lt;=5,"1 to 5",orders[[#This Row],[Quantity]]&lt;=10,"6 to 10",orders[[#This Row],[Quantity]]&lt;=16,"11 to 16",orders[[#This Row],[Quantity]]&gt;16,"Above 16")</f>
        <v>6 to 10</v>
      </c>
    </row>
    <row r="1173" spans="1:16"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c r="P1173" t="str" cm="1">
        <f t="array" ref="P1173">_xlfn.IFS(orders[[#This Row],[Quantity]]&lt;=5,"1 to 5",orders[[#This Row],[Quantity]]&lt;=10,"6 to 10",orders[[#This Row],[Quantity]]&lt;=16,"11 to 16",orders[[#This Row],[Quantity]]&gt;16,"Above 16")</f>
        <v>6 to 10</v>
      </c>
    </row>
    <row r="1174" spans="1:16"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c r="P1174" t="str" cm="1">
        <f t="array" ref="P1174">_xlfn.IFS(orders[[#This Row],[Quantity]]&lt;=5,"1 to 5",orders[[#This Row],[Quantity]]&lt;=10,"6 to 10",orders[[#This Row],[Quantity]]&lt;=16,"11 to 16",orders[[#This Row],[Quantity]]&gt;16,"Above 16")</f>
        <v>1 to 5</v>
      </c>
    </row>
    <row r="1175" spans="1:16"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c r="P1175" t="str" cm="1">
        <f t="array" ref="P1175">_xlfn.IFS(orders[[#This Row],[Quantity]]&lt;=5,"1 to 5",orders[[#This Row],[Quantity]]&lt;=10,"6 to 10",orders[[#This Row],[Quantity]]&lt;=16,"11 to 16",orders[[#This Row],[Quantity]]&gt;16,"Above 16")</f>
        <v>6 to 10</v>
      </c>
    </row>
    <row r="1176" spans="1:16"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c r="P1176" t="str" cm="1">
        <f t="array" ref="P1176">_xlfn.IFS(orders[[#This Row],[Quantity]]&lt;=5,"1 to 5",orders[[#This Row],[Quantity]]&lt;=10,"6 to 10",orders[[#This Row],[Quantity]]&lt;=16,"11 to 16",orders[[#This Row],[Quantity]]&gt;16,"Above 16")</f>
        <v>1 to 5</v>
      </c>
    </row>
    <row r="1177" spans="1:16"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c r="P1177" t="str" cm="1">
        <f t="array" ref="P1177">_xlfn.IFS(orders[[#This Row],[Quantity]]&lt;=5,"1 to 5",orders[[#This Row],[Quantity]]&lt;=10,"6 to 10",orders[[#This Row],[Quantity]]&lt;=16,"11 to 16",orders[[#This Row],[Quantity]]&gt;16,"Above 16")</f>
        <v>1 to 5</v>
      </c>
    </row>
    <row r="1178" spans="1:16"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c r="P1178" t="str" cm="1">
        <f t="array" ref="P1178">_xlfn.IFS(orders[[#This Row],[Quantity]]&lt;=5,"1 to 5",orders[[#This Row],[Quantity]]&lt;=10,"6 to 10",orders[[#This Row],[Quantity]]&lt;=16,"11 to 16",orders[[#This Row],[Quantity]]&gt;16,"Above 16")</f>
        <v>1 to 5</v>
      </c>
    </row>
    <row r="1179" spans="1:16"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c r="P1179" t="str" cm="1">
        <f t="array" ref="P1179">_xlfn.IFS(orders[[#This Row],[Quantity]]&lt;=5,"1 to 5",orders[[#This Row],[Quantity]]&lt;=10,"6 to 10",orders[[#This Row],[Quantity]]&lt;=16,"11 to 16",orders[[#This Row],[Quantity]]&gt;16,"Above 16")</f>
        <v>6 to 10</v>
      </c>
    </row>
    <row r="1180" spans="1:16"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c r="P1180" t="str" cm="1">
        <f t="array" ref="P1180">_xlfn.IFS(orders[[#This Row],[Quantity]]&lt;=5,"1 to 5",orders[[#This Row],[Quantity]]&lt;=10,"6 to 10",orders[[#This Row],[Quantity]]&lt;=16,"11 to 16",orders[[#This Row],[Quantity]]&gt;16,"Above 16")</f>
        <v>1 to 5</v>
      </c>
    </row>
    <row r="1181" spans="1:16"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c r="P1181" t="str" cm="1">
        <f t="array" ref="P1181">_xlfn.IFS(orders[[#This Row],[Quantity]]&lt;=5,"1 to 5",orders[[#This Row],[Quantity]]&lt;=10,"6 to 10",orders[[#This Row],[Quantity]]&lt;=16,"11 to 16",orders[[#This Row],[Quantity]]&gt;16,"Above 16")</f>
        <v>6 to 10</v>
      </c>
    </row>
    <row r="1182" spans="1:16"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c r="P1182" t="str" cm="1">
        <f t="array" ref="P1182">_xlfn.IFS(orders[[#This Row],[Quantity]]&lt;=5,"1 to 5",orders[[#This Row],[Quantity]]&lt;=10,"6 to 10",orders[[#This Row],[Quantity]]&lt;=16,"11 to 16",orders[[#This Row],[Quantity]]&gt;16,"Above 16")</f>
        <v>6 to 10</v>
      </c>
    </row>
    <row r="1183" spans="1:16"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c r="P1183" t="str" cm="1">
        <f t="array" ref="P1183">_xlfn.IFS(orders[[#This Row],[Quantity]]&lt;=5,"1 to 5",orders[[#This Row],[Quantity]]&lt;=10,"6 to 10",orders[[#This Row],[Quantity]]&lt;=16,"11 to 16",orders[[#This Row],[Quantity]]&gt;16,"Above 16")</f>
        <v>1 to 5</v>
      </c>
    </row>
    <row r="1184" spans="1:16"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c r="P1184" t="str" cm="1">
        <f t="array" ref="P1184">_xlfn.IFS(orders[[#This Row],[Quantity]]&lt;=5,"1 to 5",orders[[#This Row],[Quantity]]&lt;=10,"6 to 10",orders[[#This Row],[Quantity]]&lt;=16,"11 to 16",orders[[#This Row],[Quantity]]&gt;16,"Above 16")</f>
        <v>1 to 5</v>
      </c>
    </row>
    <row r="1185" spans="1:16"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c r="P1185" t="str" cm="1">
        <f t="array" ref="P1185">_xlfn.IFS(orders[[#This Row],[Quantity]]&lt;=5,"1 to 5",orders[[#This Row],[Quantity]]&lt;=10,"6 to 10",orders[[#This Row],[Quantity]]&lt;=16,"11 to 16",orders[[#This Row],[Quantity]]&gt;16,"Above 16")</f>
        <v>1 to 5</v>
      </c>
    </row>
    <row r="1186" spans="1:16"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c r="P1186" t="str" cm="1">
        <f t="array" ref="P1186">_xlfn.IFS(orders[[#This Row],[Quantity]]&lt;=5,"1 to 5",orders[[#This Row],[Quantity]]&lt;=10,"6 to 10",orders[[#This Row],[Quantity]]&lt;=16,"11 to 16",orders[[#This Row],[Quantity]]&gt;16,"Above 16")</f>
        <v>6 to 10</v>
      </c>
    </row>
    <row r="1187" spans="1:16"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c r="P1187" t="str" cm="1">
        <f t="array" ref="P1187">_xlfn.IFS(orders[[#This Row],[Quantity]]&lt;=5,"1 to 5",orders[[#This Row],[Quantity]]&lt;=10,"6 to 10",orders[[#This Row],[Quantity]]&lt;=16,"11 to 16",orders[[#This Row],[Quantity]]&gt;16,"Above 16")</f>
        <v>1 to 5</v>
      </c>
    </row>
    <row r="1188" spans="1:16"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c r="P1188" t="str" cm="1">
        <f t="array" ref="P1188">_xlfn.IFS(orders[[#This Row],[Quantity]]&lt;=5,"1 to 5",orders[[#This Row],[Quantity]]&lt;=10,"6 to 10",orders[[#This Row],[Quantity]]&lt;=16,"11 to 16",orders[[#This Row],[Quantity]]&gt;16,"Above 16")</f>
        <v>1 to 5</v>
      </c>
    </row>
    <row r="1189" spans="1:16"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c r="P1189" t="str" cm="1">
        <f t="array" ref="P1189">_xlfn.IFS(orders[[#This Row],[Quantity]]&lt;=5,"1 to 5",orders[[#This Row],[Quantity]]&lt;=10,"6 to 10",orders[[#This Row],[Quantity]]&lt;=16,"11 to 16",orders[[#This Row],[Quantity]]&gt;16,"Above 16")</f>
        <v>1 to 5</v>
      </c>
    </row>
    <row r="1190" spans="1:16"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c r="P1190" t="str" cm="1">
        <f t="array" ref="P1190">_xlfn.IFS(orders[[#This Row],[Quantity]]&lt;=5,"1 to 5",orders[[#This Row],[Quantity]]&lt;=10,"6 to 10",orders[[#This Row],[Quantity]]&lt;=16,"11 to 16",orders[[#This Row],[Quantity]]&gt;16,"Above 16")</f>
        <v>1 to 5</v>
      </c>
    </row>
    <row r="1191" spans="1:16"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c r="P1191" t="str" cm="1">
        <f t="array" ref="P1191">_xlfn.IFS(orders[[#This Row],[Quantity]]&lt;=5,"1 to 5",orders[[#This Row],[Quantity]]&lt;=10,"6 to 10",orders[[#This Row],[Quantity]]&lt;=16,"11 to 16",orders[[#This Row],[Quantity]]&gt;16,"Above 16")</f>
        <v>1 to 5</v>
      </c>
    </row>
    <row r="1192" spans="1:16"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c r="P1192" t="str" cm="1">
        <f t="array" ref="P1192">_xlfn.IFS(orders[[#This Row],[Quantity]]&lt;=5,"1 to 5",orders[[#This Row],[Quantity]]&lt;=10,"6 to 10",orders[[#This Row],[Quantity]]&lt;=16,"11 to 16",orders[[#This Row],[Quantity]]&gt;16,"Above 16")</f>
        <v>6 to 10</v>
      </c>
    </row>
    <row r="1193" spans="1:16"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c r="P1193" t="str" cm="1">
        <f t="array" ref="P1193">_xlfn.IFS(orders[[#This Row],[Quantity]]&lt;=5,"1 to 5",orders[[#This Row],[Quantity]]&lt;=10,"6 to 10",orders[[#This Row],[Quantity]]&lt;=16,"11 to 16",orders[[#This Row],[Quantity]]&gt;16,"Above 16")</f>
        <v>6 to 10</v>
      </c>
    </row>
    <row r="1194" spans="1:16"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c r="P1194" t="str" cm="1">
        <f t="array" ref="P1194">_xlfn.IFS(orders[[#This Row],[Quantity]]&lt;=5,"1 to 5",orders[[#This Row],[Quantity]]&lt;=10,"6 to 10",orders[[#This Row],[Quantity]]&lt;=16,"11 to 16",orders[[#This Row],[Quantity]]&gt;16,"Above 16")</f>
        <v>Above 16</v>
      </c>
    </row>
    <row r="1195" spans="1:16"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c r="P1195" t="str" cm="1">
        <f t="array" ref="P1195">_xlfn.IFS(orders[[#This Row],[Quantity]]&lt;=5,"1 to 5",orders[[#This Row],[Quantity]]&lt;=10,"6 to 10",orders[[#This Row],[Quantity]]&lt;=16,"11 to 16",orders[[#This Row],[Quantity]]&gt;16,"Above 16")</f>
        <v>1 to 5</v>
      </c>
    </row>
    <row r="1196" spans="1:16"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c r="P1196" t="str" cm="1">
        <f t="array" ref="P1196">_xlfn.IFS(orders[[#This Row],[Quantity]]&lt;=5,"1 to 5",orders[[#This Row],[Quantity]]&lt;=10,"6 to 10",orders[[#This Row],[Quantity]]&lt;=16,"11 to 16",orders[[#This Row],[Quantity]]&gt;16,"Above 16")</f>
        <v>1 to 5</v>
      </c>
    </row>
    <row r="1197" spans="1:16"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c r="P1197" t="str" cm="1">
        <f t="array" ref="P1197">_xlfn.IFS(orders[[#This Row],[Quantity]]&lt;=5,"1 to 5",orders[[#This Row],[Quantity]]&lt;=10,"6 to 10",orders[[#This Row],[Quantity]]&lt;=16,"11 to 16",orders[[#This Row],[Quantity]]&gt;16,"Above 16")</f>
        <v>1 to 5</v>
      </c>
    </row>
    <row r="1198" spans="1:16"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c r="P1198" t="str" cm="1">
        <f t="array" ref="P1198">_xlfn.IFS(orders[[#This Row],[Quantity]]&lt;=5,"1 to 5",orders[[#This Row],[Quantity]]&lt;=10,"6 to 10",orders[[#This Row],[Quantity]]&lt;=16,"11 to 16",orders[[#This Row],[Quantity]]&gt;16,"Above 16")</f>
        <v>1 to 5</v>
      </c>
    </row>
    <row r="1199" spans="1:16"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c r="P1199" t="str" cm="1">
        <f t="array" ref="P1199">_xlfn.IFS(orders[[#This Row],[Quantity]]&lt;=5,"1 to 5",orders[[#This Row],[Quantity]]&lt;=10,"6 to 10",orders[[#This Row],[Quantity]]&lt;=16,"11 to 16",orders[[#This Row],[Quantity]]&gt;16,"Above 16")</f>
        <v>1 to 5</v>
      </c>
    </row>
    <row r="1200" spans="1:16"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c r="P1200" t="str" cm="1">
        <f t="array" ref="P1200">_xlfn.IFS(orders[[#This Row],[Quantity]]&lt;=5,"1 to 5",orders[[#This Row],[Quantity]]&lt;=10,"6 to 10",orders[[#This Row],[Quantity]]&lt;=16,"11 to 16",orders[[#This Row],[Quantity]]&gt;16,"Above 16")</f>
        <v>1 to 5</v>
      </c>
    </row>
    <row r="1201" spans="1:16"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c r="P1201" t="str" cm="1">
        <f t="array" ref="P1201">_xlfn.IFS(orders[[#This Row],[Quantity]]&lt;=5,"1 to 5",orders[[#This Row],[Quantity]]&lt;=10,"6 to 10",orders[[#This Row],[Quantity]]&lt;=16,"11 to 16",orders[[#This Row],[Quantity]]&gt;16,"Above 16")</f>
        <v>6 to 10</v>
      </c>
    </row>
    <row r="1202" spans="1:16"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c r="P1202" t="str" cm="1">
        <f t="array" ref="P1202">_xlfn.IFS(orders[[#This Row],[Quantity]]&lt;=5,"1 to 5",orders[[#This Row],[Quantity]]&lt;=10,"6 to 10",orders[[#This Row],[Quantity]]&lt;=16,"11 to 16",orders[[#This Row],[Quantity]]&gt;16,"Above 16")</f>
        <v>1 to 5</v>
      </c>
    </row>
    <row r="1203" spans="1:16"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c r="P1203" t="str" cm="1">
        <f t="array" ref="P1203">_xlfn.IFS(orders[[#This Row],[Quantity]]&lt;=5,"1 to 5",orders[[#This Row],[Quantity]]&lt;=10,"6 to 10",orders[[#This Row],[Quantity]]&lt;=16,"11 to 16",orders[[#This Row],[Quantity]]&gt;16,"Above 16")</f>
        <v>1 to 5</v>
      </c>
    </row>
    <row r="1204" spans="1:16"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c r="P1204" t="str" cm="1">
        <f t="array" ref="P1204">_xlfn.IFS(orders[[#This Row],[Quantity]]&lt;=5,"1 to 5",orders[[#This Row],[Quantity]]&lt;=10,"6 to 10",orders[[#This Row],[Quantity]]&lt;=16,"11 to 16",orders[[#This Row],[Quantity]]&gt;16,"Above 16")</f>
        <v>1 to 5</v>
      </c>
    </row>
    <row r="1205" spans="1:16"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c r="P1205" t="str" cm="1">
        <f t="array" ref="P1205">_xlfn.IFS(orders[[#This Row],[Quantity]]&lt;=5,"1 to 5",orders[[#This Row],[Quantity]]&lt;=10,"6 to 10",orders[[#This Row],[Quantity]]&lt;=16,"11 to 16",orders[[#This Row],[Quantity]]&gt;16,"Above 16")</f>
        <v>1 to 5</v>
      </c>
    </row>
    <row r="1206" spans="1:16"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c r="P1206" t="str" cm="1">
        <f t="array" ref="P1206">_xlfn.IFS(orders[[#This Row],[Quantity]]&lt;=5,"1 to 5",orders[[#This Row],[Quantity]]&lt;=10,"6 to 10",orders[[#This Row],[Quantity]]&lt;=16,"11 to 16",orders[[#This Row],[Quantity]]&gt;16,"Above 16")</f>
        <v>1 to 5</v>
      </c>
    </row>
    <row r="1207" spans="1:16"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c r="P1207" t="str" cm="1">
        <f t="array" ref="P1207">_xlfn.IFS(orders[[#This Row],[Quantity]]&lt;=5,"1 to 5",orders[[#This Row],[Quantity]]&lt;=10,"6 to 10",orders[[#This Row],[Quantity]]&lt;=16,"11 to 16",orders[[#This Row],[Quantity]]&gt;16,"Above 16")</f>
        <v>1 to 5</v>
      </c>
    </row>
    <row r="1208" spans="1:16"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c r="P1208" t="str" cm="1">
        <f t="array" ref="P1208">_xlfn.IFS(orders[[#This Row],[Quantity]]&lt;=5,"1 to 5",orders[[#This Row],[Quantity]]&lt;=10,"6 to 10",orders[[#This Row],[Quantity]]&lt;=16,"11 to 16",orders[[#This Row],[Quantity]]&gt;16,"Above 16")</f>
        <v>6 to 10</v>
      </c>
    </row>
    <row r="1209" spans="1:16"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c r="P1209" t="str" cm="1">
        <f t="array" ref="P1209">_xlfn.IFS(orders[[#This Row],[Quantity]]&lt;=5,"1 to 5",orders[[#This Row],[Quantity]]&lt;=10,"6 to 10",orders[[#This Row],[Quantity]]&lt;=16,"11 to 16",orders[[#This Row],[Quantity]]&gt;16,"Above 16")</f>
        <v>6 to 10</v>
      </c>
    </row>
    <row r="1210" spans="1:16"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c r="P1210" t="str" cm="1">
        <f t="array" ref="P1210">_xlfn.IFS(orders[[#This Row],[Quantity]]&lt;=5,"1 to 5",orders[[#This Row],[Quantity]]&lt;=10,"6 to 10",orders[[#This Row],[Quantity]]&lt;=16,"11 to 16",orders[[#This Row],[Quantity]]&gt;16,"Above 16")</f>
        <v>11 to 16</v>
      </c>
    </row>
    <row r="1211" spans="1:16"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c r="P1211" t="str" cm="1">
        <f t="array" ref="P1211">_xlfn.IFS(orders[[#This Row],[Quantity]]&lt;=5,"1 to 5",orders[[#This Row],[Quantity]]&lt;=10,"6 to 10",orders[[#This Row],[Quantity]]&lt;=16,"11 to 16",orders[[#This Row],[Quantity]]&gt;16,"Above 16")</f>
        <v>6 to 10</v>
      </c>
    </row>
    <row r="1212" spans="1:16"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c r="P1212" t="str" cm="1">
        <f t="array" ref="P1212">_xlfn.IFS(orders[[#This Row],[Quantity]]&lt;=5,"1 to 5",orders[[#This Row],[Quantity]]&lt;=10,"6 to 10",orders[[#This Row],[Quantity]]&lt;=16,"11 to 16",orders[[#This Row],[Quantity]]&gt;16,"Above 16")</f>
        <v>1 to 5</v>
      </c>
    </row>
    <row r="1213" spans="1:16"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c r="P1213" t="str" cm="1">
        <f t="array" ref="P1213">_xlfn.IFS(orders[[#This Row],[Quantity]]&lt;=5,"1 to 5",orders[[#This Row],[Quantity]]&lt;=10,"6 to 10",orders[[#This Row],[Quantity]]&lt;=16,"11 to 16",orders[[#This Row],[Quantity]]&gt;16,"Above 16")</f>
        <v>1 to 5</v>
      </c>
    </row>
    <row r="1214" spans="1:16"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c r="P1214" t="str" cm="1">
        <f t="array" ref="P1214">_xlfn.IFS(orders[[#This Row],[Quantity]]&lt;=5,"1 to 5",orders[[#This Row],[Quantity]]&lt;=10,"6 to 10",orders[[#This Row],[Quantity]]&lt;=16,"11 to 16",orders[[#This Row],[Quantity]]&gt;16,"Above 16")</f>
        <v>1 to 5</v>
      </c>
    </row>
    <row r="1215" spans="1:16"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c r="P1215" t="str" cm="1">
        <f t="array" ref="P1215">_xlfn.IFS(orders[[#This Row],[Quantity]]&lt;=5,"1 to 5",orders[[#This Row],[Quantity]]&lt;=10,"6 to 10",orders[[#This Row],[Quantity]]&lt;=16,"11 to 16",orders[[#This Row],[Quantity]]&gt;16,"Above 16")</f>
        <v>1 to 5</v>
      </c>
    </row>
    <row r="1216" spans="1:16"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c r="P1216" t="str" cm="1">
        <f t="array" ref="P1216">_xlfn.IFS(orders[[#This Row],[Quantity]]&lt;=5,"1 to 5",orders[[#This Row],[Quantity]]&lt;=10,"6 to 10",orders[[#This Row],[Quantity]]&lt;=16,"11 to 16",orders[[#This Row],[Quantity]]&gt;16,"Above 16")</f>
        <v>1 to 5</v>
      </c>
    </row>
    <row r="1217" spans="1:16"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c r="P1217" t="str" cm="1">
        <f t="array" ref="P1217">_xlfn.IFS(orders[[#This Row],[Quantity]]&lt;=5,"1 to 5",orders[[#This Row],[Quantity]]&lt;=10,"6 to 10",orders[[#This Row],[Quantity]]&lt;=16,"11 to 16",orders[[#This Row],[Quantity]]&gt;16,"Above 16")</f>
        <v>11 to 16</v>
      </c>
    </row>
    <row r="1218" spans="1:16"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c r="P1218" t="str" cm="1">
        <f t="array" ref="P1218">_xlfn.IFS(orders[[#This Row],[Quantity]]&lt;=5,"1 to 5",orders[[#This Row],[Quantity]]&lt;=10,"6 to 10",orders[[#This Row],[Quantity]]&lt;=16,"11 to 16",orders[[#This Row],[Quantity]]&gt;16,"Above 16")</f>
        <v>1 to 5</v>
      </c>
    </row>
    <row r="1219" spans="1:16"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c r="P1219" t="str" cm="1">
        <f t="array" ref="P1219">_xlfn.IFS(orders[[#This Row],[Quantity]]&lt;=5,"1 to 5",orders[[#This Row],[Quantity]]&lt;=10,"6 to 10",orders[[#This Row],[Quantity]]&lt;=16,"11 to 16",orders[[#This Row],[Quantity]]&gt;16,"Above 16")</f>
        <v>1 to 5</v>
      </c>
    </row>
    <row r="1220" spans="1:16"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c r="P1220" t="str" cm="1">
        <f t="array" ref="P1220">_xlfn.IFS(orders[[#This Row],[Quantity]]&lt;=5,"1 to 5",orders[[#This Row],[Quantity]]&lt;=10,"6 to 10",orders[[#This Row],[Quantity]]&lt;=16,"11 to 16",orders[[#This Row],[Quantity]]&gt;16,"Above 16")</f>
        <v>6 to 10</v>
      </c>
    </row>
    <row r="1221" spans="1:16"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c r="P1221" t="str" cm="1">
        <f t="array" ref="P1221">_xlfn.IFS(orders[[#This Row],[Quantity]]&lt;=5,"1 to 5",orders[[#This Row],[Quantity]]&lt;=10,"6 to 10",orders[[#This Row],[Quantity]]&lt;=16,"11 to 16",orders[[#This Row],[Quantity]]&gt;16,"Above 16")</f>
        <v>Above 16</v>
      </c>
    </row>
    <row r="1222" spans="1:16"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c r="P1222" t="str" cm="1">
        <f t="array" ref="P1222">_xlfn.IFS(orders[[#This Row],[Quantity]]&lt;=5,"1 to 5",orders[[#This Row],[Quantity]]&lt;=10,"6 to 10",orders[[#This Row],[Quantity]]&lt;=16,"11 to 16",orders[[#This Row],[Quantity]]&gt;16,"Above 16")</f>
        <v>1 to 5</v>
      </c>
    </row>
    <row r="1223" spans="1:16"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c r="P1223" t="str" cm="1">
        <f t="array" ref="P1223">_xlfn.IFS(orders[[#This Row],[Quantity]]&lt;=5,"1 to 5",orders[[#This Row],[Quantity]]&lt;=10,"6 to 10",orders[[#This Row],[Quantity]]&lt;=16,"11 to 16",orders[[#This Row],[Quantity]]&gt;16,"Above 16")</f>
        <v>11 to 16</v>
      </c>
    </row>
    <row r="1224" spans="1:16"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c r="P1224" t="str" cm="1">
        <f t="array" ref="P1224">_xlfn.IFS(orders[[#This Row],[Quantity]]&lt;=5,"1 to 5",orders[[#This Row],[Quantity]]&lt;=10,"6 to 10",orders[[#This Row],[Quantity]]&lt;=16,"11 to 16",orders[[#This Row],[Quantity]]&gt;16,"Above 16")</f>
        <v>1 to 5</v>
      </c>
    </row>
    <row r="1225" spans="1:16"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c r="P1225" t="str" cm="1">
        <f t="array" ref="P1225">_xlfn.IFS(orders[[#This Row],[Quantity]]&lt;=5,"1 to 5",orders[[#This Row],[Quantity]]&lt;=10,"6 to 10",orders[[#This Row],[Quantity]]&lt;=16,"11 to 16",orders[[#This Row],[Quantity]]&gt;16,"Above 16")</f>
        <v>6 to 10</v>
      </c>
    </row>
    <row r="1226" spans="1:16"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c r="P1226" t="str" cm="1">
        <f t="array" ref="P1226">_xlfn.IFS(orders[[#This Row],[Quantity]]&lt;=5,"1 to 5",orders[[#This Row],[Quantity]]&lt;=10,"6 to 10",orders[[#This Row],[Quantity]]&lt;=16,"11 to 16",orders[[#This Row],[Quantity]]&gt;16,"Above 16")</f>
        <v>1 to 5</v>
      </c>
    </row>
    <row r="1227" spans="1:16"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c r="P1227" t="str" cm="1">
        <f t="array" ref="P1227">_xlfn.IFS(orders[[#This Row],[Quantity]]&lt;=5,"1 to 5",orders[[#This Row],[Quantity]]&lt;=10,"6 to 10",orders[[#This Row],[Quantity]]&lt;=16,"11 to 16",orders[[#This Row],[Quantity]]&gt;16,"Above 16")</f>
        <v>1 to 5</v>
      </c>
    </row>
    <row r="1228" spans="1:16"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c r="P1228" t="str" cm="1">
        <f t="array" ref="P1228">_xlfn.IFS(orders[[#This Row],[Quantity]]&lt;=5,"1 to 5",orders[[#This Row],[Quantity]]&lt;=10,"6 to 10",orders[[#This Row],[Quantity]]&lt;=16,"11 to 16",orders[[#This Row],[Quantity]]&gt;16,"Above 16")</f>
        <v>1 to 5</v>
      </c>
    </row>
    <row r="1229" spans="1:16"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c r="P1229" t="str" cm="1">
        <f t="array" ref="P1229">_xlfn.IFS(orders[[#This Row],[Quantity]]&lt;=5,"1 to 5",orders[[#This Row],[Quantity]]&lt;=10,"6 to 10",orders[[#This Row],[Quantity]]&lt;=16,"11 to 16",orders[[#This Row],[Quantity]]&gt;16,"Above 16")</f>
        <v>1 to 5</v>
      </c>
    </row>
    <row r="1230" spans="1:16"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c r="P1230" t="str" cm="1">
        <f t="array" ref="P1230">_xlfn.IFS(orders[[#This Row],[Quantity]]&lt;=5,"1 to 5",orders[[#This Row],[Quantity]]&lt;=10,"6 to 10",orders[[#This Row],[Quantity]]&lt;=16,"11 to 16",orders[[#This Row],[Quantity]]&gt;16,"Above 16")</f>
        <v>1 to 5</v>
      </c>
    </row>
    <row r="1231" spans="1:16"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c r="P1231" t="str" cm="1">
        <f t="array" ref="P1231">_xlfn.IFS(orders[[#This Row],[Quantity]]&lt;=5,"1 to 5",orders[[#This Row],[Quantity]]&lt;=10,"6 to 10",orders[[#This Row],[Quantity]]&lt;=16,"11 to 16",orders[[#This Row],[Quantity]]&gt;16,"Above 16")</f>
        <v>1 to 5</v>
      </c>
    </row>
    <row r="1232" spans="1:16"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c r="P1232" t="str" cm="1">
        <f t="array" ref="P1232">_xlfn.IFS(orders[[#This Row],[Quantity]]&lt;=5,"1 to 5",orders[[#This Row],[Quantity]]&lt;=10,"6 to 10",orders[[#This Row],[Quantity]]&lt;=16,"11 to 16",orders[[#This Row],[Quantity]]&gt;16,"Above 16")</f>
        <v>1 to 5</v>
      </c>
    </row>
    <row r="1233" spans="1:16"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c r="P1233" t="str" cm="1">
        <f t="array" ref="P1233">_xlfn.IFS(orders[[#This Row],[Quantity]]&lt;=5,"1 to 5",orders[[#This Row],[Quantity]]&lt;=10,"6 to 10",orders[[#This Row],[Quantity]]&lt;=16,"11 to 16",orders[[#This Row],[Quantity]]&gt;16,"Above 16")</f>
        <v>6 to 10</v>
      </c>
    </row>
    <row r="1234" spans="1:16"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c r="P1234" t="str" cm="1">
        <f t="array" ref="P1234">_xlfn.IFS(orders[[#This Row],[Quantity]]&lt;=5,"1 to 5",orders[[#This Row],[Quantity]]&lt;=10,"6 to 10",orders[[#This Row],[Quantity]]&lt;=16,"11 to 16",orders[[#This Row],[Quantity]]&gt;16,"Above 16")</f>
        <v>11 to 16</v>
      </c>
    </row>
    <row r="1235" spans="1:16"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c r="P1235" t="str" cm="1">
        <f t="array" ref="P1235">_xlfn.IFS(orders[[#This Row],[Quantity]]&lt;=5,"1 to 5",orders[[#This Row],[Quantity]]&lt;=10,"6 to 10",orders[[#This Row],[Quantity]]&lt;=16,"11 to 16",orders[[#This Row],[Quantity]]&gt;16,"Above 16")</f>
        <v>1 to 5</v>
      </c>
    </row>
    <row r="1236" spans="1:16"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c r="P1236" t="str" cm="1">
        <f t="array" ref="P1236">_xlfn.IFS(orders[[#This Row],[Quantity]]&lt;=5,"1 to 5",orders[[#This Row],[Quantity]]&lt;=10,"6 to 10",orders[[#This Row],[Quantity]]&lt;=16,"11 to 16",orders[[#This Row],[Quantity]]&gt;16,"Above 16")</f>
        <v>1 to 5</v>
      </c>
    </row>
    <row r="1237" spans="1:16"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c r="P1237" t="str" cm="1">
        <f t="array" ref="P1237">_xlfn.IFS(orders[[#This Row],[Quantity]]&lt;=5,"1 to 5",orders[[#This Row],[Quantity]]&lt;=10,"6 to 10",orders[[#This Row],[Quantity]]&lt;=16,"11 to 16",orders[[#This Row],[Quantity]]&gt;16,"Above 16")</f>
        <v>1 to 5</v>
      </c>
    </row>
    <row r="1238" spans="1:16"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c r="P1238" t="str" cm="1">
        <f t="array" ref="P1238">_xlfn.IFS(orders[[#This Row],[Quantity]]&lt;=5,"1 to 5",orders[[#This Row],[Quantity]]&lt;=10,"6 to 10",orders[[#This Row],[Quantity]]&lt;=16,"11 to 16",orders[[#This Row],[Quantity]]&gt;16,"Above 16")</f>
        <v>1 to 5</v>
      </c>
    </row>
    <row r="1239" spans="1:16"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c r="P1239" t="str" cm="1">
        <f t="array" ref="P1239">_xlfn.IFS(orders[[#This Row],[Quantity]]&lt;=5,"1 to 5",orders[[#This Row],[Quantity]]&lt;=10,"6 to 10",orders[[#This Row],[Quantity]]&lt;=16,"11 to 16",orders[[#This Row],[Quantity]]&gt;16,"Above 16")</f>
        <v>6 to 10</v>
      </c>
    </row>
    <row r="1240" spans="1:16"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c r="P1240" t="str" cm="1">
        <f t="array" ref="P1240">_xlfn.IFS(orders[[#This Row],[Quantity]]&lt;=5,"1 to 5",orders[[#This Row],[Quantity]]&lt;=10,"6 to 10",orders[[#This Row],[Quantity]]&lt;=16,"11 to 16",orders[[#This Row],[Quantity]]&gt;16,"Above 16")</f>
        <v>1 to 5</v>
      </c>
    </row>
    <row r="1241" spans="1:16"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c r="P1241" t="str" cm="1">
        <f t="array" ref="P1241">_xlfn.IFS(orders[[#This Row],[Quantity]]&lt;=5,"1 to 5",orders[[#This Row],[Quantity]]&lt;=10,"6 to 10",orders[[#This Row],[Quantity]]&lt;=16,"11 to 16",orders[[#This Row],[Quantity]]&gt;16,"Above 16")</f>
        <v>1 to 5</v>
      </c>
    </row>
    <row r="1242" spans="1:16"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c r="P1242" t="str" cm="1">
        <f t="array" ref="P1242">_xlfn.IFS(orders[[#This Row],[Quantity]]&lt;=5,"1 to 5",orders[[#This Row],[Quantity]]&lt;=10,"6 to 10",orders[[#This Row],[Quantity]]&lt;=16,"11 to 16",orders[[#This Row],[Quantity]]&gt;16,"Above 16")</f>
        <v>1 to 5</v>
      </c>
    </row>
    <row r="1243" spans="1:16"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c r="P1243" t="str" cm="1">
        <f t="array" ref="P1243">_xlfn.IFS(orders[[#This Row],[Quantity]]&lt;=5,"1 to 5",orders[[#This Row],[Quantity]]&lt;=10,"6 to 10",orders[[#This Row],[Quantity]]&lt;=16,"11 to 16",orders[[#This Row],[Quantity]]&gt;16,"Above 16")</f>
        <v>1 to 5</v>
      </c>
    </row>
    <row r="1244" spans="1:16"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c r="P1244" t="str" cm="1">
        <f t="array" ref="P1244">_xlfn.IFS(orders[[#This Row],[Quantity]]&lt;=5,"1 to 5",orders[[#This Row],[Quantity]]&lt;=10,"6 to 10",orders[[#This Row],[Quantity]]&lt;=16,"11 to 16",orders[[#This Row],[Quantity]]&gt;16,"Above 16")</f>
        <v>6 to 10</v>
      </c>
    </row>
    <row r="1245" spans="1:16"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c r="P1245" t="str" cm="1">
        <f t="array" ref="P1245">_xlfn.IFS(orders[[#This Row],[Quantity]]&lt;=5,"1 to 5",orders[[#This Row],[Quantity]]&lt;=10,"6 to 10",orders[[#This Row],[Quantity]]&lt;=16,"11 to 16",orders[[#This Row],[Quantity]]&gt;16,"Above 16")</f>
        <v>11 to 16</v>
      </c>
    </row>
    <row r="1246" spans="1:16"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c r="P1246" t="str" cm="1">
        <f t="array" ref="P1246">_xlfn.IFS(orders[[#This Row],[Quantity]]&lt;=5,"1 to 5",orders[[#This Row],[Quantity]]&lt;=10,"6 to 10",orders[[#This Row],[Quantity]]&lt;=16,"11 to 16",orders[[#This Row],[Quantity]]&gt;16,"Above 16")</f>
        <v>1 to 5</v>
      </c>
    </row>
    <row r="1247" spans="1:16"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c r="P1247" t="str" cm="1">
        <f t="array" ref="P1247">_xlfn.IFS(orders[[#This Row],[Quantity]]&lt;=5,"1 to 5",orders[[#This Row],[Quantity]]&lt;=10,"6 to 10",orders[[#This Row],[Quantity]]&lt;=16,"11 to 16",orders[[#This Row],[Quantity]]&gt;16,"Above 16")</f>
        <v>1 to 5</v>
      </c>
    </row>
    <row r="1248" spans="1:16"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c r="P1248" t="str" cm="1">
        <f t="array" ref="P1248">_xlfn.IFS(orders[[#This Row],[Quantity]]&lt;=5,"1 to 5",orders[[#This Row],[Quantity]]&lt;=10,"6 to 10",orders[[#This Row],[Quantity]]&lt;=16,"11 to 16",orders[[#This Row],[Quantity]]&gt;16,"Above 16")</f>
        <v>1 to 5</v>
      </c>
    </row>
    <row r="1249" spans="1:16"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c r="P1249" t="str" cm="1">
        <f t="array" ref="P1249">_xlfn.IFS(orders[[#This Row],[Quantity]]&lt;=5,"1 to 5",orders[[#This Row],[Quantity]]&lt;=10,"6 to 10",orders[[#This Row],[Quantity]]&lt;=16,"11 to 16",orders[[#This Row],[Quantity]]&gt;16,"Above 16")</f>
        <v>1 to 5</v>
      </c>
    </row>
    <row r="1250" spans="1:16"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c r="P1250" t="str" cm="1">
        <f t="array" ref="P1250">_xlfn.IFS(orders[[#This Row],[Quantity]]&lt;=5,"1 to 5",orders[[#This Row],[Quantity]]&lt;=10,"6 to 10",orders[[#This Row],[Quantity]]&lt;=16,"11 to 16",orders[[#This Row],[Quantity]]&gt;16,"Above 16")</f>
        <v>1 to 5</v>
      </c>
    </row>
    <row r="1251" spans="1:16"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c r="P1251" t="str" cm="1">
        <f t="array" ref="P1251">_xlfn.IFS(orders[[#This Row],[Quantity]]&lt;=5,"1 to 5",orders[[#This Row],[Quantity]]&lt;=10,"6 to 10",orders[[#This Row],[Quantity]]&lt;=16,"11 to 16",orders[[#This Row],[Quantity]]&gt;16,"Above 16")</f>
        <v>1 to 5</v>
      </c>
    </row>
    <row r="1252" spans="1:16"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c r="P1252" t="str" cm="1">
        <f t="array" ref="P1252">_xlfn.IFS(orders[[#This Row],[Quantity]]&lt;=5,"1 to 5",orders[[#This Row],[Quantity]]&lt;=10,"6 to 10",orders[[#This Row],[Quantity]]&lt;=16,"11 to 16",orders[[#This Row],[Quantity]]&gt;16,"Above 16")</f>
        <v>1 to 5</v>
      </c>
    </row>
    <row r="1253" spans="1:16"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c r="P1253" t="str" cm="1">
        <f t="array" ref="P1253">_xlfn.IFS(orders[[#This Row],[Quantity]]&lt;=5,"1 to 5",orders[[#This Row],[Quantity]]&lt;=10,"6 to 10",orders[[#This Row],[Quantity]]&lt;=16,"11 to 16",orders[[#This Row],[Quantity]]&gt;16,"Above 16")</f>
        <v>1 to 5</v>
      </c>
    </row>
    <row r="1254" spans="1:16"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c r="P1254" t="str" cm="1">
        <f t="array" ref="P1254">_xlfn.IFS(orders[[#This Row],[Quantity]]&lt;=5,"1 to 5",orders[[#This Row],[Quantity]]&lt;=10,"6 to 10",orders[[#This Row],[Quantity]]&lt;=16,"11 to 16",orders[[#This Row],[Quantity]]&gt;16,"Above 16")</f>
        <v>6 to 10</v>
      </c>
    </row>
    <row r="1255" spans="1:16"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c r="P1255" t="str" cm="1">
        <f t="array" ref="P1255">_xlfn.IFS(orders[[#This Row],[Quantity]]&lt;=5,"1 to 5",orders[[#This Row],[Quantity]]&lt;=10,"6 to 10",orders[[#This Row],[Quantity]]&lt;=16,"11 to 16",orders[[#This Row],[Quantity]]&gt;16,"Above 16")</f>
        <v>1 to 5</v>
      </c>
    </row>
    <row r="1256" spans="1:16"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c r="P1256" t="str" cm="1">
        <f t="array" ref="P1256">_xlfn.IFS(orders[[#This Row],[Quantity]]&lt;=5,"1 to 5",orders[[#This Row],[Quantity]]&lt;=10,"6 to 10",orders[[#This Row],[Quantity]]&lt;=16,"11 to 16",orders[[#This Row],[Quantity]]&gt;16,"Above 16")</f>
        <v>1 to 5</v>
      </c>
    </row>
    <row r="1257" spans="1:16"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c r="P1257" t="str" cm="1">
        <f t="array" ref="P1257">_xlfn.IFS(orders[[#This Row],[Quantity]]&lt;=5,"1 to 5",orders[[#This Row],[Quantity]]&lt;=10,"6 to 10",orders[[#This Row],[Quantity]]&lt;=16,"11 to 16",orders[[#This Row],[Quantity]]&gt;16,"Above 16")</f>
        <v>6 to 10</v>
      </c>
    </row>
    <row r="1258" spans="1:16"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c r="P1258" t="str" cm="1">
        <f t="array" ref="P1258">_xlfn.IFS(orders[[#This Row],[Quantity]]&lt;=5,"1 to 5",orders[[#This Row],[Quantity]]&lt;=10,"6 to 10",orders[[#This Row],[Quantity]]&lt;=16,"11 to 16",orders[[#This Row],[Quantity]]&gt;16,"Above 16")</f>
        <v>1 to 5</v>
      </c>
    </row>
    <row r="1259" spans="1:16"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c r="P1259" t="str" cm="1">
        <f t="array" ref="P1259">_xlfn.IFS(orders[[#This Row],[Quantity]]&lt;=5,"1 to 5",orders[[#This Row],[Quantity]]&lt;=10,"6 to 10",orders[[#This Row],[Quantity]]&lt;=16,"11 to 16",orders[[#This Row],[Quantity]]&gt;16,"Above 16")</f>
        <v>1 to 5</v>
      </c>
    </row>
    <row r="1260" spans="1:16"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c r="P1260" t="str" cm="1">
        <f t="array" ref="P1260">_xlfn.IFS(orders[[#This Row],[Quantity]]&lt;=5,"1 to 5",orders[[#This Row],[Quantity]]&lt;=10,"6 to 10",orders[[#This Row],[Quantity]]&lt;=16,"11 to 16",orders[[#This Row],[Quantity]]&gt;16,"Above 16")</f>
        <v>1 to 5</v>
      </c>
    </row>
    <row r="1261" spans="1:16"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c r="P1261" t="str" cm="1">
        <f t="array" ref="P1261">_xlfn.IFS(orders[[#This Row],[Quantity]]&lt;=5,"1 to 5",orders[[#This Row],[Quantity]]&lt;=10,"6 to 10",orders[[#This Row],[Quantity]]&lt;=16,"11 to 16",orders[[#This Row],[Quantity]]&gt;16,"Above 16")</f>
        <v>1 to 5</v>
      </c>
    </row>
    <row r="1262" spans="1:16"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c r="P1262" t="str" cm="1">
        <f t="array" ref="P1262">_xlfn.IFS(orders[[#This Row],[Quantity]]&lt;=5,"1 to 5",orders[[#This Row],[Quantity]]&lt;=10,"6 to 10",orders[[#This Row],[Quantity]]&lt;=16,"11 to 16",orders[[#This Row],[Quantity]]&gt;16,"Above 16")</f>
        <v>1 to 5</v>
      </c>
    </row>
    <row r="1263" spans="1:16"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c r="P1263" t="str" cm="1">
        <f t="array" ref="P1263">_xlfn.IFS(orders[[#This Row],[Quantity]]&lt;=5,"1 to 5",orders[[#This Row],[Quantity]]&lt;=10,"6 to 10",orders[[#This Row],[Quantity]]&lt;=16,"11 to 16",orders[[#This Row],[Quantity]]&gt;16,"Above 16")</f>
        <v>1 to 5</v>
      </c>
    </row>
    <row r="1264" spans="1:16"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c r="P1264" t="str" cm="1">
        <f t="array" ref="P1264">_xlfn.IFS(orders[[#This Row],[Quantity]]&lt;=5,"1 to 5",orders[[#This Row],[Quantity]]&lt;=10,"6 to 10",orders[[#This Row],[Quantity]]&lt;=16,"11 to 16",orders[[#This Row],[Quantity]]&gt;16,"Above 16")</f>
        <v>1 to 5</v>
      </c>
    </row>
    <row r="1265" spans="1:16"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c r="P1265" t="str" cm="1">
        <f t="array" ref="P1265">_xlfn.IFS(orders[[#This Row],[Quantity]]&lt;=5,"1 to 5",orders[[#This Row],[Quantity]]&lt;=10,"6 to 10",orders[[#This Row],[Quantity]]&lt;=16,"11 to 16",orders[[#This Row],[Quantity]]&gt;16,"Above 16")</f>
        <v>1 to 5</v>
      </c>
    </row>
    <row r="1266" spans="1:16"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c r="P1266" t="str" cm="1">
        <f t="array" ref="P1266">_xlfn.IFS(orders[[#This Row],[Quantity]]&lt;=5,"1 to 5",orders[[#This Row],[Quantity]]&lt;=10,"6 to 10",orders[[#This Row],[Quantity]]&lt;=16,"11 to 16",orders[[#This Row],[Quantity]]&gt;16,"Above 16")</f>
        <v>11 to 16</v>
      </c>
    </row>
    <row r="1267" spans="1:16"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c r="P1267" t="str" cm="1">
        <f t="array" ref="P1267">_xlfn.IFS(orders[[#This Row],[Quantity]]&lt;=5,"1 to 5",orders[[#This Row],[Quantity]]&lt;=10,"6 to 10",orders[[#This Row],[Quantity]]&lt;=16,"11 to 16",orders[[#This Row],[Quantity]]&gt;16,"Above 16")</f>
        <v>1 to 5</v>
      </c>
    </row>
    <row r="1268" spans="1:16"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c r="P1268" t="str" cm="1">
        <f t="array" ref="P1268">_xlfn.IFS(orders[[#This Row],[Quantity]]&lt;=5,"1 to 5",orders[[#This Row],[Quantity]]&lt;=10,"6 to 10",orders[[#This Row],[Quantity]]&lt;=16,"11 to 16",orders[[#This Row],[Quantity]]&gt;16,"Above 16")</f>
        <v>1 to 5</v>
      </c>
    </row>
    <row r="1269" spans="1:16"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c r="P1269" t="str" cm="1">
        <f t="array" ref="P1269">_xlfn.IFS(orders[[#This Row],[Quantity]]&lt;=5,"1 to 5",orders[[#This Row],[Quantity]]&lt;=10,"6 to 10",orders[[#This Row],[Quantity]]&lt;=16,"11 to 16",orders[[#This Row],[Quantity]]&gt;16,"Above 16")</f>
        <v>6 to 10</v>
      </c>
    </row>
    <row r="1270" spans="1:16"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c r="P1270" t="str" cm="1">
        <f t="array" ref="P1270">_xlfn.IFS(orders[[#This Row],[Quantity]]&lt;=5,"1 to 5",orders[[#This Row],[Quantity]]&lt;=10,"6 to 10",orders[[#This Row],[Quantity]]&lt;=16,"11 to 16",orders[[#This Row],[Quantity]]&gt;16,"Above 16")</f>
        <v>1 to 5</v>
      </c>
    </row>
    <row r="1271" spans="1:16"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c r="P1271" t="str" cm="1">
        <f t="array" ref="P1271">_xlfn.IFS(orders[[#This Row],[Quantity]]&lt;=5,"1 to 5",orders[[#This Row],[Quantity]]&lt;=10,"6 to 10",orders[[#This Row],[Quantity]]&lt;=16,"11 to 16",orders[[#This Row],[Quantity]]&gt;16,"Above 16")</f>
        <v>1 to 5</v>
      </c>
    </row>
    <row r="1272" spans="1:16"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c r="P1272" t="str" cm="1">
        <f t="array" ref="P1272">_xlfn.IFS(orders[[#This Row],[Quantity]]&lt;=5,"1 to 5",orders[[#This Row],[Quantity]]&lt;=10,"6 to 10",orders[[#This Row],[Quantity]]&lt;=16,"11 to 16",orders[[#This Row],[Quantity]]&gt;16,"Above 16")</f>
        <v>1 to 5</v>
      </c>
    </row>
    <row r="1273" spans="1:16"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c r="P1273" t="str" cm="1">
        <f t="array" ref="P1273">_xlfn.IFS(orders[[#This Row],[Quantity]]&lt;=5,"1 to 5",orders[[#This Row],[Quantity]]&lt;=10,"6 to 10",orders[[#This Row],[Quantity]]&lt;=16,"11 to 16",orders[[#This Row],[Quantity]]&gt;16,"Above 16")</f>
        <v>1 to 5</v>
      </c>
    </row>
    <row r="1274" spans="1:16"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c r="P1274" t="str" cm="1">
        <f t="array" ref="P1274">_xlfn.IFS(orders[[#This Row],[Quantity]]&lt;=5,"1 to 5",orders[[#This Row],[Quantity]]&lt;=10,"6 to 10",orders[[#This Row],[Quantity]]&lt;=16,"11 to 16",orders[[#This Row],[Quantity]]&gt;16,"Above 16")</f>
        <v>1 to 5</v>
      </c>
    </row>
    <row r="1275" spans="1:16"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c r="P1275" t="str" cm="1">
        <f t="array" ref="P1275">_xlfn.IFS(orders[[#This Row],[Quantity]]&lt;=5,"1 to 5",orders[[#This Row],[Quantity]]&lt;=10,"6 to 10",orders[[#This Row],[Quantity]]&lt;=16,"11 to 16",orders[[#This Row],[Quantity]]&gt;16,"Above 16")</f>
        <v>6 to 10</v>
      </c>
    </row>
    <row r="1276" spans="1:16"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c r="P1276" t="str" cm="1">
        <f t="array" ref="P1276">_xlfn.IFS(orders[[#This Row],[Quantity]]&lt;=5,"1 to 5",orders[[#This Row],[Quantity]]&lt;=10,"6 to 10",orders[[#This Row],[Quantity]]&lt;=16,"11 to 16",orders[[#This Row],[Quantity]]&gt;16,"Above 16")</f>
        <v>6 to 10</v>
      </c>
    </row>
    <row r="1277" spans="1:16"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c r="P1277" t="str" cm="1">
        <f t="array" ref="P1277">_xlfn.IFS(orders[[#This Row],[Quantity]]&lt;=5,"1 to 5",orders[[#This Row],[Quantity]]&lt;=10,"6 to 10",orders[[#This Row],[Quantity]]&lt;=16,"11 to 16",orders[[#This Row],[Quantity]]&gt;16,"Above 16")</f>
        <v>1 to 5</v>
      </c>
    </row>
    <row r="1278" spans="1:16"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c r="P1278" t="str" cm="1">
        <f t="array" ref="P1278">_xlfn.IFS(orders[[#This Row],[Quantity]]&lt;=5,"1 to 5",orders[[#This Row],[Quantity]]&lt;=10,"6 to 10",orders[[#This Row],[Quantity]]&lt;=16,"11 to 16",orders[[#This Row],[Quantity]]&gt;16,"Above 16")</f>
        <v>1 to 5</v>
      </c>
    </row>
    <row r="1279" spans="1:16"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c r="P1279" t="str" cm="1">
        <f t="array" ref="P1279">_xlfn.IFS(orders[[#This Row],[Quantity]]&lt;=5,"1 to 5",orders[[#This Row],[Quantity]]&lt;=10,"6 to 10",orders[[#This Row],[Quantity]]&lt;=16,"11 to 16",orders[[#This Row],[Quantity]]&gt;16,"Above 16")</f>
        <v>6 to 10</v>
      </c>
    </row>
    <row r="1280" spans="1:16"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c r="P1280" t="str" cm="1">
        <f t="array" ref="P1280">_xlfn.IFS(orders[[#This Row],[Quantity]]&lt;=5,"1 to 5",orders[[#This Row],[Quantity]]&lt;=10,"6 to 10",orders[[#This Row],[Quantity]]&lt;=16,"11 to 16",orders[[#This Row],[Quantity]]&gt;16,"Above 16")</f>
        <v>1 to 5</v>
      </c>
    </row>
    <row r="1281" spans="1:16"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c r="P1281" t="str" cm="1">
        <f t="array" ref="P1281">_xlfn.IFS(orders[[#This Row],[Quantity]]&lt;=5,"1 to 5",orders[[#This Row],[Quantity]]&lt;=10,"6 to 10",orders[[#This Row],[Quantity]]&lt;=16,"11 to 16",orders[[#This Row],[Quantity]]&gt;16,"Above 16")</f>
        <v>1 to 5</v>
      </c>
    </row>
    <row r="1282" spans="1:16"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c r="P1282" t="str" cm="1">
        <f t="array" ref="P1282">_xlfn.IFS(orders[[#This Row],[Quantity]]&lt;=5,"1 to 5",orders[[#This Row],[Quantity]]&lt;=10,"6 to 10",orders[[#This Row],[Quantity]]&lt;=16,"11 to 16",orders[[#This Row],[Quantity]]&gt;16,"Above 16")</f>
        <v>1 to 5</v>
      </c>
    </row>
    <row r="1283" spans="1:16"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c r="P1283" t="str" cm="1">
        <f t="array" ref="P1283">_xlfn.IFS(orders[[#This Row],[Quantity]]&lt;=5,"1 to 5",orders[[#This Row],[Quantity]]&lt;=10,"6 to 10",orders[[#This Row],[Quantity]]&lt;=16,"11 to 16",orders[[#This Row],[Quantity]]&gt;16,"Above 16")</f>
        <v>1 to 5</v>
      </c>
    </row>
    <row r="1284" spans="1:16"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c r="P1284" t="str" cm="1">
        <f t="array" ref="P1284">_xlfn.IFS(orders[[#This Row],[Quantity]]&lt;=5,"1 to 5",orders[[#This Row],[Quantity]]&lt;=10,"6 to 10",orders[[#This Row],[Quantity]]&lt;=16,"11 to 16",orders[[#This Row],[Quantity]]&gt;16,"Above 16")</f>
        <v>6 to 10</v>
      </c>
    </row>
    <row r="1285" spans="1:16"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c r="P1285" t="str" cm="1">
        <f t="array" ref="P1285">_xlfn.IFS(orders[[#This Row],[Quantity]]&lt;=5,"1 to 5",orders[[#This Row],[Quantity]]&lt;=10,"6 to 10",orders[[#This Row],[Quantity]]&lt;=16,"11 to 16",orders[[#This Row],[Quantity]]&gt;16,"Above 16")</f>
        <v>1 to 5</v>
      </c>
    </row>
    <row r="1286" spans="1:16"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c r="P1286" t="str" cm="1">
        <f t="array" ref="P1286">_xlfn.IFS(orders[[#This Row],[Quantity]]&lt;=5,"1 to 5",orders[[#This Row],[Quantity]]&lt;=10,"6 to 10",orders[[#This Row],[Quantity]]&lt;=16,"11 to 16",orders[[#This Row],[Quantity]]&gt;16,"Above 16")</f>
        <v>6 to 10</v>
      </c>
    </row>
    <row r="1287" spans="1:16"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c r="P1287" t="str" cm="1">
        <f t="array" ref="P1287">_xlfn.IFS(orders[[#This Row],[Quantity]]&lt;=5,"1 to 5",orders[[#This Row],[Quantity]]&lt;=10,"6 to 10",orders[[#This Row],[Quantity]]&lt;=16,"11 to 16",orders[[#This Row],[Quantity]]&gt;16,"Above 16")</f>
        <v>6 to 10</v>
      </c>
    </row>
    <row r="1288" spans="1:16"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c r="P1288" t="str" cm="1">
        <f t="array" ref="P1288">_xlfn.IFS(orders[[#This Row],[Quantity]]&lt;=5,"1 to 5",orders[[#This Row],[Quantity]]&lt;=10,"6 to 10",orders[[#This Row],[Quantity]]&lt;=16,"11 to 16",orders[[#This Row],[Quantity]]&gt;16,"Above 16")</f>
        <v>1 to 5</v>
      </c>
    </row>
    <row r="1289" spans="1:16"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c r="P1289" t="str" cm="1">
        <f t="array" ref="P1289">_xlfn.IFS(orders[[#This Row],[Quantity]]&lt;=5,"1 to 5",orders[[#This Row],[Quantity]]&lt;=10,"6 to 10",orders[[#This Row],[Quantity]]&lt;=16,"11 to 16",orders[[#This Row],[Quantity]]&gt;16,"Above 16")</f>
        <v>1 to 5</v>
      </c>
    </row>
    <row r="1290" spans="1:16"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c r="P1290" t="str" cm="1">
        <f t="array" ref="P1290">_xlfn.IFS(orders[[#This Row],[Quantity]]&lt;=5,"1 to 5",orders[[#This Row],[Quantity]]&lt;=10,"6 to 10",orders[[#This Row],[Quantity]]&lt;=16,"11 to 16",orders[[#This Row],[Quantity]]&gt;16,"Above 16")</f>
        <v>1 to 5</v>
      </c>
    </row>
    <row r="1291" spans="1:16"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c r="P1291" t="str" cm="1">
        <f t="array" ref="P1291">_xlfn.IFS(orders[[#This Row],[Quantity]]&lt;=5,"1 to 5",orders[[#This Row],[Quantity]]&lt;=10,"6 to 10",orders[[#This Row],[Quantity]]&lt;=16,"11 to 16",orders[[#This Row],[Quantity]]&gt;16,"Above 16")</f>
        <v>1 to 5</v>
      </c>
    </row>
    <row r="1292" spans="1:16"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c r="P1292" t="str" cm="1">
        <f t="array" ref="P1292">_xlfn.IFS(orders[[#This Row],[Quantity]]&lt;=5,"1 to 5",orders[[#This Row],[Quantity]]&lt;=10,"6 to 10",orders[[#This Row],[Quantity]]&lt;=16,"11 to 16",orders[[#This Row],[Quantity]]&gt;16,"Above 16")</f>
        <v>6 to 10</v>
      </c>
    </row>
    <row r="1293" spans="1:16"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c r="P1293" t="str" cm="1">
        <f t="array" ref="P1293">_xlfn.IFS(orders[[#This Row],[Quantity]]&lt;=5,"1 to 5",orders[[#This Row],[Quantity]]&lt;=10,"6 to 10",orders[[#This Row],[Quantity]]&lt;=16,"11 to 16",orders[[#This Row],[Quantity]]&gt;16,"Above 16")</f>
        <v>Above 16</v>
      </c>
    </row>
    <row r="1294" spans="1:16"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c r="P1294" t="str" cm="1">
        <f t="array" ref="P1294">_xlfn.IFS(orders[[#This Row],[Quantity]]&lt;=5,"1 to 5",orders[[#This Row],[Quantity]]&lt;=10,"6 to 10",orders[[#This Row],[Quantity]]&lt;=16,"11 to 16",orders[[#This Row],[Quantity]]&gt;16,"Above 16")</f>
        <v>6 to 10</v>
      </c>
    </row>
    <row r="1295" spans="1:16"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c r="P1295" t="str" cm="1">
        <f t="array" ref="P1295">_xlfn.IFS(orders[[#This Row],[Quantity]]&lt;=5,"1 to 5",orders[[#This Row],[Quantity]]&lt;=10,"6 to 10",orders[[#This Row],[Quantity]]&lt;=16,"11 to 16",orders[[#This Row],[Quantity]]&gt;16,"Above 16")</f>
        <v>1 to 5</v>
      </c>
    </row>
    <row r="1296" spans="1:16"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c r="P1296" t="str" cm="1">
        <f t="array" ref="P1296">_xlfn.IFS(orders[[#This Row],[Quantity]]&lt;=5,"1 to 5",orders[[#This Row],[Quantity]]&lt;=10,"6 to 10",orders[[#This Row],[Quantity]]&lt;=16,"11 to 16",orders[[#This Row],[Quantity]]&gt;16,"Above 16")</f>
        <v>1 to 5</v>
      </c>
    </row>
    <row r="1297" spans="1:16"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c r="P1297" t="str" cm="1">
        <f t="array" ref="P1297">_xlfn.IFS(orders[[#This Row],[Quantity]]&lt;=5,"1 to 5",orders[[#This Row],[Quantity]]&lt;=10,"6 to 10",orders[[#This Row],[Quantity]]&lt;=16,"11 to 16",orders[[#This Row],[Quantity]]&gt;16,"Above 16")</f>
        <v>11 to 16</v>
      </c>
    </row>
    <row r="1298" spans="1:16"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c r="P1298" t="str" cm="1">
        <f t="array" ref="P1298">_xlfn.IFS(orders[[#This Row],[Quantity]]&lt;=5,"1 to 5",orders[[#This Row],[Quantity]]&lt;=10,"6 to 10",orders[[#This Row],[Quantity]]&lt;=16,"11 to 16",orders[[#This Row],[Quantity]]&gt;16,"Above 16")</f>
        <v>Above 16</v>
      </c>
    </row>
    <row r="1299" spans="1:16"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c r="P1299" t="str" cm="1">
        <f t="array" ref="P1299">_xlfn.IFS(orders[[#This Row],[Quantity]]&lt;=5,"1 to 5",orders[[#This Row],[Quantity]]&lt;=10,"6 to 10",orders[[#This Row],[Quantity]]&lt;=16,"11 to 16",orders[[#This Row],[Quantity]]&gt;16,"Above 16")</f>
        <v>6 to 10</v>
      </c>
    </row>
    <row r="1300" spans="1:16"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c r="P1300" t="str" cm="1">
        <f t="array" ref="P1300">_xlfn.IFS(orders[[#This Row],[Quantity]]&lt;=5,"1 to 5",orders[[#This Row],[Quantity]]&lt;=10,"6 to 10",orders[[#This Row],[Quantity]]&lt;=16,"11 to 16",orders[[#This Row],[Quantity]]&gt;16,"Above 16")</f>
        <v>11 to 16</v>
      </c>
    </row>
    <row r="1301" spans="1:16"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c r="P1301" t="str" cm="1">
        <f t="array" ref="P1301">_xlfn.IFS(orders[[#This Row],[Quantity]]&lt;=5,"1 to 5",orders[[#This Row],[Quantity]]&lt;=10,"6 to 10",orders[[#This Row],[Quantity]]&lt;=16,"11 to 16",orders[[#This Row],[Quantity]]&gt;16,"Above 16")</f>
        <v>1 to 5</v>
      </c>
    </row>
    <row r="1302" spans="1:16"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c r="P1302" t="str" cm="1">
        <f t="array" ref="P1302">_xlfn.IFS(orders[[#This Row],[Quantity]]&lt;=5,"1 to 5",orders[[#This Row],[Quantity]]&lt;=10,"6 to 10",orders[[#This Row],[Quantity]]&lt;=16,"11 to 16",orders[[#This Row],[Quantity]]&gt;16,"Above 16")</f>
        <v>1 to 5</v>
      </c>
    </row>
    <row r="1303" spans="1:16"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c r="P1303" t="str" cm="1">
        <f t="array" ref="P1303">_xlfn.IFS(orders[[#This Row],[Quantity]]&lt;=5,"1 to 5",orders[[#This Row],[Quantity]]&lt;=10,"6 to 10",orders[[#This Row],[Quantity]]&lt;=16,"11 to 16",orders[[#This Row],[Quantity]]&gt;16,"Above 16")</f>
        <v>1 to 5</v>
      </c>
    </row>
    <row r="1304" spans="1:16"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c r="P1304" t="str" cm="1">
        <f t="array" ref="P1304">_xlfn.IFS(orders[[#This Row],[Quantity]]&lt;=5,"1 to 5",orders[[#This Row],[Quantity]]&lt;=10,"6 to 10",orders[[#This Row],[Quantity]]&lt;=16,"11 to 16",orders[[#This Row],[Quantity]]&gt;16,"Above 16")</f>
        <v>1 to 5</v>
      </c>
    </row>
    <row r="1305" spans="1:16"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c r="P1305" t="str" cm="1">
        <f t="array" ref="P1305">_xlfn.IFS(orders[[#This Row],[Quantity]]&lt;=5,"1 to 5",orders[[#This Row],[Quantity]]&lt;=10,"6 to 10",orders[[#This Row],[Quantity]]&lt;=16,"11 to 16",orders[[#This Row],[Quantity]]&gt;16,"Above 16")</f>
        <v>1 to 5</v>
      </c>
    </row>
    <row r="1306" spans="1:16"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c r="P1306" t="str" cm="1">
        <f t="array" ref="P1306">_xlfn.IFS(orders[[#This Row],[Quantity]]&lt;=5,"1 to 5",orders[[#This Row],[Quantity]]&lt;=10,"6 to 10",orders[[#This Row],[Quantity]]&lt;=16,"11 to 16",orders[[#This Row],[Quantity]]&gt;16,"Above 16")</f>
        <v>6 to 10</v>
      </c>
    </row>
    <row r="1307" spans="1:16"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c r="P1307" t="str" cm="1">
        <f t="array" ref="P1307">_xlfn.IFS(orders[[#This Row],[Quantity]]&lt;=5,"1 to 5",orders[[#This Row],[Quantity]]&lt;=10,"6 to 10",orders[[#This Row],[Quantity]]&lt;=16,"11 to 16",orders[[#This Row],[Quantity]]&gt;16,"Above 16")</f>
        <v>1 to 5</v>
      </c>
    </row>
    <row r="1308" spans="1:16"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c r="P1308" t="str" cm="1">
        <f t="array" ref="P1308">_xlfn.IFS(orders[[#This Row],[Quantity]]&lt;=5,"1 to 5",orders[[#This Row],[Quantity]]&lt;=10,"6 to 10",orders[[#This Row],[Quantity]]&lt;=16,"11 to 16",orders[[#This Row],[Quantity]]&gt;16,"Above 16")</f>
        <v>1 to 5</v>
      </c>
    </row>
    <row r="1309" spans="1:16"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c r="P1309" t="str" cm="1">
        <f t="array" ref="P1309">_xlfn.IFS(orders[[#This Row],[Quantity]]&lt;=5,"1 to 5",orders[[#This Row],[Quantity]]&lt;=10,"6 to 10",orders[[#This Row],[Quantity]]&lt;=16,"11 to 16",orders[[#This Row],[Quantity]]&gt;16,"Above 16")</f>
        <v>11 to 16</v>
      </c>
    </row>
    <row r="1310" spans="1:16"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c r="P1310" t="str" cm="1">
        <f t="array" ref="P1310">_xlfn.IFS(orders[[#This Row],[Quantity]]&lt;=5,"1 to 5",orders[[#This Row],[Quantity]]&lt;=10,"6 to 10",orders[[#This Row],[Quantity]]&lt;=16,"11 to 16",orders[[#This Row],[Quantity]]&gt;16,"Above 16")</f>
        <v>1 to 5</v>
      </c>
    </row>
    <row r="1311" spans="1:16"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c r="P1311" t="str" cm="1">
        <f t="array" ref="P1311">_xlfn.IFS(orders[[#This Row],[Quantity]]&lt;=5,"1 to 5",orders[[#This Row],[Quantity]]&lt;=10,"6 to 10",orders[[#This Row],[Quantity]]&lt;=16,"11 to 16",orders[[#This Row],[Quantity]]&gt;16,"Above 16")</f>
        <v>6 to 10</v>
      </c>
    </row>
    <row r="1312" spans="1:16"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c r="P1312" t="str" cm="1">
        <f t="array" ref="P1312">_xlfn.IFS(orders[[#This Row],[Quantity]]&lt;=5,"1 to 5",orders[[#This Row],[Quantity]]&lt;=10,"6 to 10",orders[[#This Row],[Quantity]]&lt;=16,"11 to 16",orders[[#This Row],[Quantity]]&gt;16,"Above 16")</f>
        <v>6 to 10</v>
      </c>
    </row>
    <row r="1313" spans="1:16"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c r="P1313" t="str" cm="1">
        <f t="array" ref="P1313">_xlfn.IFS(orders[[#This Row],[Quantity]]&lt;=5,"1 to 5",orders[[#This Row],[Quantity]]&lt;=10,"6 to 10",orders[[#This Row],[Quantity]]&lt;=16,"11 to 16",orders[[#This Row],[Quantity]]&gt;16,"Above 16")</f>
        <v>1 to 5</v>
      </c>
    </row>
    <row r="1314" spans="1:16"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c r="P1314" t="str" cm="1">
        <f t="array" ref="P1314">_xlfn.IFS(orders[[#This Row],[Quantity]]&lt;=5,"1 to 5",orders[[#This Row],[Quantity]]&lt;=10,"6 to 10",orders[[#This Row],[Quantity]]&lt;=16,"11 to 16",orders[[#This Row],[Quantity]]&gt;16,"Above 16")</f>
        <v>1 to 5</v>
      </c>
    </row>
    <row r="1315" spans="1:16"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c r="P1315" t="str" cm="1">
        <f t="array" ref="P1315">_xlfn.IFS(orders[[#This Row],[Quantity]]&lt;=5,"1 to 5",orders[[#This Row],[Quantity]]&lt;=10,"6 to 10",orders[[#This Row],[Quantity]]&lt;=16,"11 to 16",orders[[#This Row],[Quantity]]&gt;16,"Above 16")</f>
        <v>1 to 5</v>
      </c>
    </row>
    <row r="1316" spans="1:16"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c r="P1316" t="str" cm="1">
        <f t="array" ref="P1316">_xlfn.IFS(orders[[#This Row],[Quantity]]&lt;=5,"1 to 5",orders[[#This Row],[Quantity]]&lt;=10,"6 to 10",orders[[#This Row],[Quantity]]&lt;=16,"11 to 16",orders[[#This Row],[Quantity]]&gt;16,"Above 16")</f>
        <v>1 to 5</v>
      </c>
    </row>
    <row r="1317" spans="1:16"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c r="P1317" t="str" cm="1">
        <f t="array" ref="P1317">_xlfn.IFS(orders[[#This Row],[Quantity]]&lt;=5,"1 to 5",orders[[#This Row],[Quantity]]&lt;=10,"6 to 10",orders[[#This Row],[Quantity]]&lt;=16,"11 to 16",orders[[#This Row],[Quantity]]&gt;16,"Above 16")</f>
        <v>6 to 10</v>
      </c>
    </row>
    <row r="1318" spans="1:16"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c r="P1318" t="str" cm="1">
        <f t="array" ref="P1318">_xlfn.IFS(orders[[#This Row],[Quantity]]&lt;=5,"1 to 5",orders[[#This Row],[Quantity]]&lt;=10,"6 to 10",orders[[#This Row],[Quantity]]&lt;=16,"11 to 16",orders[[#This Row],[Quantity]]&gt;16,"Above 16")</f>
        <v>1 to 5</v>
      </c>
    </row>
    <row r="1319" spans="1:16"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c r="P1319" t="str" cm="1">
        <f t="array" ref="P1319">_xlfn.IFS(orders[[#This Row],[Quantity]]&lt;=5,"1 to 5",orders[[#This Row],[Quantity]]&lt;=10,"6 to 10",orders[[#This Row],[Quantity]]&lt;=16,"11 to 16",orders[[#This Row],[Quantity]]&gt;16,"Above 16")</f>
        <v>1 to 5</v>
      </c>
    </row>
    <row r="1320" spans="1:16"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c r="P1320" t="str" cm="1">
        <f t="array" ref="P1320">_xlfn.IFS(orders[[#This Row],[Quantity]]&lt;=5,"1 to 5",orders[[#This Row],[Quantity]]&lt;=10,"6 to 10",orders[[#This Row],[Quantity]]&lt;=16,"11 to 16",orders[[#This Row],[Quantity]]&gt;16,"Above 16")</f>
        <v>1 to 5</v>
      </c>
    </row>
    <row r="1321" spans="1:16"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c r="P1321" t="str" cm="1">
        <f t="array" ref="P1321">_xlfn.IFS(orders[[#This Row],[Quantity]]&lt;=5,"1 to 5",orders[[#This Row],[Quantity]]&lt;=10,"6 to 10",orders[[#This Row],[Quantity]]&lt;=16,"11 to 16",orders[[#This Row],[Quantity]]&gt;16,"Above 16")</f>
        <v>1 to 5</v>
      </c>
    </row>
    <row r="1322" spans="1:16"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c r="P1322" t="str" cm="1">
        <f t="array" ref="P1322">_xlfn.IFS(orders[[#This Row],[Quantity]]&lt;=5,"1 to 5",orders[[#This Row],[Quantity]]&lt;=10,"6 to 10",orders[[#This Row],[Quantity]]&lt;=16,"11 to 16",orders[[#This Row],[Quantity]]&gt;16,"Above 16")</f>
        <v>1 to 5</v>
      </c>
    </row>
    <row r="1323" spans="1:16"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c r="P1323" t="str" cm="1">
        <f t="array" ref="P1323">_xlfn.IFS(orders[[#This Row],[Quantity]]&lt;=5,"1 to 5",orders[[#This Row],[Quantity]]&lt;=10,"6 to 10",orders[[#This Row],[Quantity]]&lt;=16,"11 to 16",orders[[#This Row],[Quantity]]&gt;16,"Above 16")</f>
        <v>1 to 5</v>
      </c>
    </row>
    <row r="1324" spans="1:16"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c r="P1324" t="str" cm="1">
        <f t="array" ref="P1324">_xlfn.IFS(orders[[#This Row],[Quantity]]&lt;=5,"1 to 5",orders[[#This Row],[Quantity]]&lt;=10,"6 to 10",orders[[#This Row],[Quantity]]&lt;=16,"11 to 16",orders[[#This Row],[Quantity]]&gt;16,"Above 16")</f>
        <v>1 to 5</v>
      </c>
    </row>
    <row r="1325" spans="1:16"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c r="P1325" t="str" cm="1">
        <f t="array" ref="P1325">_xlfn.IFS(orders[[#This Row],[Quantity]]&lt;=5,"1 to 5",orders[[#This Row],[Quantity]]&lt;=10,"6 to 10",orders[[#This Row],[Quantity]]&lt;=16,"11 to 16",orders[[#This Row],[Quantity]]&gt;16,"Above 16")</f>
        <v>1 to 5</v>
      </c>
    </row>
    <row r="1326" spans="1:16"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c r="P1326" t="str" cm="1">
        <f t="array" ref="P1326">_xlfn.IFS(orders[[#This Row],[Quantity]]&lt;=5,"1 to 5",orders[[#This Row],[Quantity]]&lt;=10,"6 to 10",orders[[#This Row],[Quantity]]&lt;=16,"11 to 16",orders[[#This Row],[Quantity]]&gt;16,"Above 16")</f>
        <v>1 to 5</v>
      </c>
    </row>
    <row r="1327" spans="1:16"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c r="P1327" t="str" cm="1">
        <f t="array" ref="P1327">_xlfn.IFS(orders[[#This Row],[Quantity]]&lt;=5,"1 to 5",orders[[#This Row],[Quantity]]&lt;=10,"6 to 10",orders[[#This Row],[Quantity]]&lt;=16,"11 to 16",orders[[#This Row],[Quantity]]&gt;16,"Above 16")</f>
        <v>1 to 5</v>
      </c>
    </row>
    <row r="1328" spans="1:16"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c r="P1328" t="str" cm="1">
        <f t="array" ref="P1328">_xlfn.IFS(orders[[#This Row],[Quantity]]&lt;=5,"1 to 5",orders[[#This Row],[Quantity]]&lt;=10,"6 to 10",orders[[#This Row],[Quantity]]&lt;=16,"11 to 16",orders[[#This Row],[Quantity]]&gt;16,"Above 16")</f>
        <v>Above 16</v>
      </c>
    </row>
    <row r="1329" spans="1:16"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c r="P1329" t="str" cm="1">
        <f t="array" ref="P1329">_xlfn.IFS(orders[[#This Row],[Quantity]]&lt;=5,"1 to 5",orders[[#This Row],[Quantity]]&lt;=10,"6 to 10",orders[[#This Row],[Quantity]]&lt;=16,"11 to 16",orders[[#This Row],[Quantity]]&gt;16,"Above 16")</f>
        <v>1 to 5</v>
      </c>
    </row>
    <row r="1330" spans="1:16"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c r="P1330" t="str" cm="1">
        <f t="array" ref="P1330">_xlfn.IFS(orders[[#This Row],[Quantity]]&lt;=5,"1 to 5",orders[[#This Row],[Quantity]]&lt;=10,"6 to 10",orders[[#This Row],[Quantity]]&lt;=16,"11 to 16",orders[[#This Row],[Quantity]]&gt;16,"Above 16")</f>
        <v>11 to 16</v>
      </c>
    </row>
    <row r="1331" spans="1:16"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c r="P1331" t="str" cm="1">
        <f t="array" ref="P1331">_xlfn.IFS(orders[[#This Row],[Quantity]]&lt;=5,"1 to 5",orders[[#This Row],[Quantity]]&lt;=10,"6 to 10",orders[[#This Row],[Quantity]]&lt;=16,"11 to 16",orders[[#This Row],[Quantity]]&gt;16,"Above 16")</f>
        <v>1 to 5</v>
      </c>
    </row>
    <row r="1332" spans="1:16"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c r="P1332" t="str" cm="1">
        <f t="array" ref="P1332">_xlfn.IFS(orders[[#This Row],[Quantity]]&lt;=5,"1 to 5",orders[[#This Row],[Quantity]]&lt;=10,"6 to 10",orders[[#This Row],[Quantity]]&lt;=16,"11 to 16",orders[[#This Row],[Quantity]]&gt;16,"Above 16")</f>
        <v>1 to 5</v>
      </c>
    </row>
    <row r="1333" spans="1:16"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c r="P1333" t="str" cm="1">
        <f t="array" ref="P1333">_xlfn.IFS(orders[[#This Row],[Quantity]]&lt;=5,"1 to 5",orders[[#This Row],[Quantity]]&lt;=10,"6 to 10",orders[[#This Row],[Quantity]]&lt;=16,"11 to 16",orders[[#This Row],[Quantity]]&gt;16,"Above 16")</f>
        <v>6 to 10</v>
      </c>
    </row>
    <row r="1334" spans="1:16"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c r="P1334" t="str" cm="1">
        <f t="array" ref="P1334">_xlfn.IFS(orders[[#This Row],[Quantity]]&lt;=5,"1 to 5",orders[[#This Row],[Quantity]]&lt;=10,"6 to 10",orders[[#This Row],[Quantity]]&lt;=16,"11 to 16",orders[[#This Row],[Quantity]]&gt;16,"Above 16")</f>
        <v>Above 16</v>
      </c>
    </row>
    <row r="1335" spans="1:16"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c r="P1335" t="str" cm="1">
        <f t="array" ref="P1335">_xlfn.IFS(orders[[#This Row],[Quantity]]&lt;=5,"1 to 5",orders[[#This Row],[Quantity]]&lt;=10,"6 to 10",orders[[#This Row],[Quantity]]&lt;=16,"11 to 16",orders[[#This Row],[Quantity]]&gt;16,"Above 16")</f>
        <v>1 to 5</v>
      </c>
    </row>
    <row r="1336" spans="1:16"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c r="P1336" t="str" cm="1">
        <f t="array" ref="P1336">_xlfn.IFS(orders[[#This Row],[Quantity]]&lt;=5,"1 to 5",orders[[#This Row],[Quantity]]&lt;=10,"6 to 10",orders[[#This Row],[Quantity]]&lt;=16,"11 to 16",orders[[#This Row],[Quantity]]&gt;16,"Above 16")</f>
        <v>1 to 5</v>
      </c>
    </row>
    <row r="1337" spans="1:16"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c r="P1337" t="str" cm="1">
        <f t="array" ref="P1337">_xlfn.IFS(orders[[#This Row],[Quantity]]&lt;=5,"1 to 5",orders[[#This Row],[Quantity]]&lt;=10,"6 to 10",orders[[#This Row],[Quantity]]&lt;=16,"11 to 16",orders[[#This Row],[Quantity]]&gt;16,"Above 16")</f>
        <v>1 to 5</v>
      </c>
    </row>
    <row r="1338" spans="1:16"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c r="P1338" t="str" cm="1">
        <f t="array" ref="P1338">_xlfn.IFS(orders[[#This Row],[Quantity]]&lt;=5,"1 to 5",orders[[#This Row],[Quantity]]&lt;=10,"6 to 10",orders[[#This Row],[Quantity]]&lt;=16,"11 to 16",orders[[#This Row],[Quantity]]&gt;16,"Above 16")</f>
        <v>1 to 5</v>
      </c>
    </row>
    <row r="1339" spans="1:16"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c r="P1339" t="str" cm="1">
        <f t="array" ref="P1339">_xlfn.IFS(orders[[#This Row],[Quantity]]&lt;=5,"1 to 5",orders[[#This Row],[Quantity]]&lt;=10,"6 to 10",orders[[#This Row],[Quantity]]&lt;=16,"11 to 16",orders[[#This Row],[Quantity]]&gt;16,"Above 16")</f>
        <v>1 to 5</v>
      </c>
    </row>
    <row r="1340" spans="1:16"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c r="P1340" t="str" cm="1">
        <f t="array" ref="P1340">_xlfn.IFS(orders[[#This Row],[Quantity]]&lt;=5,"1 to 5",orders[[#This Row],[Quantity]]&lt;=10,"6 to 10",orders[[#This Row],[Quantity]]&lt;=16,"11 to 16",orders[[#This Row],[Quantity]]&gt;16,"Above 16")</f>
        <v>6 to 10</v>
      </c>
    </row>
    <row r="1341" spans="1:16"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c r="P1341" t="str" cm="1">
        <f t="array" ref="P1341">_xlfn.IFS(orders[[#This Row],[Quantity]]&lt;=5,"1 to 5",orders[[#This Row],[Quantity]]&lt;=10,"6 to 10",orders[[#This Row],[Quantity]]&lt;=16,"11 to 16",orders[[#This Row],[Quantity]]&gt;16,"Above 16")</f>
        <v>1 to 5</v>
      </c>
    </row>
    <row r="1342" spans="1:16"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c r="P1342" t="str" cm="1">
        <f t="array" ref="P1342">_xlfn.IFS(orders[[#This Row],[Quantity]]&lt;=5,"1 to 5",orders[[#This Row],[Quantity]]&lt;=10,"6 to 10",orders[[#This Row],[Quantity]]&lt;=16,"11 to 16",orders[[#This Row],[Quantity]]&gt;16,"Above 16")</f>
        <v>11 to 16</v>
      </c>
    </row>
    <row r="1343" spans="1:16"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c r="P1343" t="str" cm="1">
        <f t="array" ref="P1343">_xlfn.IFS(orders[[#This Row],[Quantity]]&lt;=5,"1 to 5",orders[[#This Row],[Quantity]]&lt;=10,"6 to 10",orders[[#This Row],[Quantity]]&lt;=16,"11 to 16",orders[[#This Row],[Quantity]]&gt;16,"Above 16")</f>
        <v>1 to 5</v>
      </c>
    </row>
    <row r="1344" spans="1:16"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c r="P1344" t="str" cm="1">
        <f t="array" ref="P1344">_xlfn.IFS(orders[[#This Row],[Quantity]]&lt;=5,"1 to 5",orders[[#This Row],[Quantity]]&lt;=10,"6 to 10",orders[[#This Row],[Quantity]]&lt;=16,"11 to 16",orders[[#This Row],[Quantity]]&gt;16,"Above 16")</f>
        <v>Above 16</v>
      </c>
    </row>
    <row r="1345" spans="1:16"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c r="P1345" t="str" cm="1">
        <f t="array" ref="P1345">_xlfn.IFS(orders[[#This Row],[Quantity]]&lt;=5,"1 to 5",orders[[#This Row],[Quantity]]&lt;=10,"6 to 10",orders[[#This Row],[Quantity]]&lt;=16,"11 to 16",orders[[#This Row],[Quantity]]&gt;16,"Above 16")</f>
        <v>1 to 5</v>
      </c>
    </row>
    <row r="1346" spans="1:16"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c r="P1346" t="str" cm="1">
        <f t="array" ref="P1346">_xlfn.IFS(orders[[#This Row],[Quantity]]&lt;=5,"1 to 5",orders[[#This Row],[Quantity]]&lt;=10,"6 to 10",orders[[#This Row],[Quantity]]&lt;=16,"11 to 16",orders[[#This Row],[Quantity]]&gt;16,"Above 16")</f>
        <v>1 to 5</v>
      </c>
    </row>
    <row r="1347" spans="1:16"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c r="P1347" t="str" cm="1">
        <f t="array" ref="P1347">_xlfn.IFS(orders[[#This Row],[Quantity]]&lt;=5,"1 to 5",orders[[#This Row],[Quantity]]&lt;=10,"6 to 10",orders[[#This Row],[Quantity]]&lt;=16,"11 to 16",orders[[#This Row],[Quantity]]&gt;16,"Above 16")</f>
        <v>6 to 10</v>
      </c>
    </row>
    <row r="1348" spans="1:16"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c r="P1348" t="str" cm="1">
        <f t="array" ref="P1348">_xlfn.IFS(orders[[#This Row],[Quantity]]&lt;=5,"1 to 5",orders[[#This Row],[Quantity]]&lt;=10,"6 to 10",orders[[#This Row],[Quantity]]&lt;=16,"11 to 16",orders[[#This Row],[Quantity]]&gt;16,"Above 16")</f>
        <v>1 to 5</v>
      </c>
    </row>
    <row r="1349" spans="1:16"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c r="P1349" t="str" cm="1">
        <f t="array" ref="P1349">_xlfn.IFS(orders[[#This Row],[Quantity]]&lt;=5,"1 to 5",orders[[#This Row],[Quantity]]&lt;=10,"6 to 10",orders[[#This Row],[Quantity]]&lt;=16,"11 to 16",orders[[#This Row],[Quantity]]&gt;16,"Above 16")</f>
        <v>1 to 5</v>
      </c>
    </row>
    <row r="1350" spans="1:16"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c r="P1350" t="str" cm="1">
        <f t="array" ref="P1350">_xlfn.IFS(orders[[#This Row],[Quantity]]&lt;=5,"1 to 5",orders[[#This Row],[Quantity]]&lt;=10,"6 to 10",orders[[#This Row],[Quantity]]&lt;=16,"11 to 16",orders[[#This Row],[Quantity]]&gt;16,"Above 16")</f>
        <v>1 to 5</v>
      </c>
    </row>
    <row r="1351" spans="1:16"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c r="P1351" t="str" cm="1">
        <f t="array" ref="P1351">_xlfn.IFS(orders[[#This Row],[Quantity]]&lt;=5,"1 to 5",orders[[#This Row],[Quantity]]&lt;=10,"6 to 10",orders[[#This Row],[Quantity]]&lt;=16,"11 to 16",orders[[#This Row],[Quantity]]&gt;16,"Above 16")</f>
        <v>1 to 5</v>
      </c>
    </row>
    <row r="1352" spans="1:16"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c r="P1352" t="str" cm="1">
        <f t="array" ref="P1352">_xlfn.IFS(orders[[#This Row],[Quantity]]&lt;=5,"1 to 5",orders[[#This Row],[Quantity]]&lt;=10,"6 to 10",orders[[#This Row],[Quantity]]&lt;=16,"11 to 16",orders[[#This Row],[Quantity]]&gt;16,"Above 16")</f>
        <v>1 to 5</v>
      </c>
    </row>
    <row r="1353" spans="1:16"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c r="P1353" t="str" cm="1">
        <f t="array" ref="P1353">_xlfn.IFS(orders[[#This Row],[Quantity]]&lt;=5,"1 to 5",orders[[#This Row],[Quantity]]&lt;=10,"6 to 10",orders[[#This Row],[Quantity]]&lt;=16,"11 to 16",orders[[#This Row],[Quantity]]&gt;16,"Above 16")</f>
        <v>1 to 5</v>
      </c>
    </row>
    <row r="1354" spans="1:16"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c r="P1354" t="str" cm="1">
        <f t="array" ref="P1354">_xlfn.IFS(orders[[#This Row],[Quantity]]&lt;=5,"1 to 5",orders[[#This Row],[Quantity]]&lt;=10,"6 to 10",orders[[#This Row],[Quantity]]&lt;=16,"11 to 16",orders[[#This Row],[Quantity]]&gt;16,"Above 16")</f>
        <v>1 to 5</v>
      </c>
    </row>
    <row r="1355" spans="1:16"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c r="P1355" t="str" cm="1">
        <f t="array" ref="P1355">_xlfn.IFS(orders[[#This Row],[Quantity]]&lt;=5,"1 to 5",orders[[#This Row],[Quantity]]&lt;=10,"6 to 10",orders[[#This Row],[Quantity]]&lt;=16,"11 to 16",orders[[#This Row],[Quantity]]&gt;16,"Above 16")</f>
        <v>1 to 5</v>
      </c>
    </row>
    <row r="1356" spans="1:16"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c r="P1356" t="str" cm="1">
        <f t="array" ref="P1356">_xlfn.IFS(orders[[#This Row],[Quantity]]&lt;=5,"1 to 5",orders[[#This Row],[Quantity]]&lt;=10,"6 to 10",orders[[#This Row],[Quantity]]&lt;=16,"11 to 16",orders[[#This Row],[Quantity]]&gt;16,"Above 16")</f>
        <v>6 to 10</v>
      </c>
    </row>
    <row r="1357" spans="1:16"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c r="P1357" t="str" cm="1">
        <f t="array" ref="P1357">_xlfn.IFS(orders[[#This Row],[Quantity]]&lt;=5,"1 to 5",orders[[#This Row],[Quantity]]&lt;=10,"6 to 10",orders[[#This Row],[Quantity]]&lt;=16,"11 to 16",orders[[#This Row],[Quantity]]&gt;16,"Above 16")</f>
        <v>6 to 10</v>
      </c>
    </row>
    <row r="1358" spans="1:16"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c r="P1358" t="str" cm="1">
        <f t="array" ref="P1358">_xlfn.IFS(orders[[#This Row],[Quantity]]&lt;=5,"1 to 5",orders[[#This Row],[Quantity]]&lt;=10,"6 to 10",orders[[#This Row],[Quantity]]&lt;=16,"11 to 16",orders[[#This Row],[Quantity]]&gt;16,"Above 16")</f>
        <v>1 to 5</v>
      </c>
    </row>
    <row r="1359" spans="1:16"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c r="P1359" t="str" cm="1">
        <f t="array" ref="P1359">_xlfn.IFS(orders[[#This Row],[Quantity]]&lt;=5,"1 to 5",orders[[#This Row],[Quantity]]&lt;=10,"6 to 10",orders[[#This Row],[Quantity]]&lt;=16,"11 to 16",orders[[#This Row],[Quantity]]&gt;16,"Above 16")</f>
        <v>1 to 5</v>
      </c>
    </row>
    <row r="1360" spans="1:16"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c r="P1360" t="str" cm="1">
        <f t="array" ref="P1360">_xlfn.IFS(orders[[#This Row],[Quantity]]&lt;=5,"1 to 5",orders[[#This Row],[Quantity]]&lt;=10,"6 to 10",orders[[#This Row],[Quantity]]&lt;=16,"11 to 16",orders[[#This Row],[Quantity]]&gt;16,"Above 16")</f>
        <v>1 to 5</v>
      </c>
    </row>
    <row r="1361" spans="1:16"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c r="P1361" t="str" cm="1">
        <f t="array" ref="P1361">_xlfn.IFS(orders[[#This Row],[Quantity]]&lt;=5,"1 to 5",orders[[#This Row],[Quantity]]&lt;=10,"6 to 10",orders[[#This Row],[Quantity]]&lt;=16,"11 to 16",orders[[#This Row],[Quantity]]&gt;16,"Above 16")</f>
        <v>1 to 5</v>
      </c>
    </row>
    <row r="1362" spans="1:16"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c r="P1362" t="str" cm="1">
        <f t="array" ref="P1362">_xlfn.IFS(orders[[#This Row],[Quantity]]&lt;=5,"1 to 5",orders[[#This Row],[Quantity]]&lt;=10,"6 to 10",orders[[#This Row],[Quantity]]&lt;=16,"11 to 16",orders[[#This Row],[Quantity]]&gt;16,"Above 16")</f>
        <v>1 to 5</v>
      </c>
    </row>
    <row r="1363" spans="1:16"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c r="P1363" t="str" cm="1">
        <f t="array" ref="P1363">_xlfn.IFS(orders[[#This Row],[Quantity]]&lt;=5,"1 to 5",orders[[#This Row],[Quantity]]&lt;=10,"6 to 10",orders[[#This Row],[Quantity]]&lt;=16,"11 to 16",orders[[#This Row],[Quantity]]&gt;16,"Above 16")</f>
        <v>1 to 5</v>
      </c>
    </row>
    <row r="1364" spans="1:16"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c r="P1364" t="str" cm="1">
        <f t="array" ref="P1364">_xlfn.IFS(orders[[#This Row],[Quantity]]&lt;=5,"1 to 5",orders[[#This Row],[Quantity]]&lt;=10,"6 to 10",orders[[#This Row],[Quantity]]&lt;=16,"11 to 16",orders[[#This Row],[Quantity]]&gt;16,"Above 16")</f>
        <v>1 to 5</v>
      </c>
    </row>
    <row r="1365" spans="1:16"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c r="P1365" t="str" cm="1">
        <f t="array" ref="P1365">_xlfn.IFS(orders[[#This Row],[Quantity]]&lt;=5,"1 to 5",orders[[#This Row],[Quantity]]&lt;=10,"6 to 10",orders[[#This Row],[Quantity]]&lt;=16,"11 to 16",orders[[#This Row],[Quantity]]&gt;16,"Above 16")</f>
        <v>1 to 5</v>
      </c>
    </row>
    <row r="1366" spans="1:16"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c r="P1366" t="str" cm="1">
        <f t="array" ref="P1366">_xlfn.IFS(orders[[#This Row],[Quantity]]&lt;=5,"1 to 5",orders[[#This Row],[Quantity]]&lt;=10,"6 to 10",orders[[#This Row],[Quantity]]&lt;=16,"11 to 16",orders[[#This Row],[Quantity]]&gt;16,"Above 16")</f>
        <v>1 to 5</v>
      </c>
    </row>
    <row r="1367" spans="1:16"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c r="P1367" t="str" cm="1">
        <f t="array" ref="P1367">_xlfn.IFS(orders[[#This Row],[Quantity]]&lt;=5,"1 to 5",orders[[#This Row],[Quantity]]&lt;=10,"6 to 10",orders[[#This Row],[Quantity]]&lt;=16,"11 to 16",orders[[#This Row],[Quantity]]&gt;16,"Above 16")</f>
        <v>1 to 5</v>
      </c>
    </row>
    <row r="1368" spans="1:16"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c r="P1368" t="str" cm="1">
        <f t="array" ref="P1368">_xlfn.IFS(orders[[#This Row],[Quantity]]&lt;=5,"1 to 5",orders[[#This Row],[Quantity]]&lt;=10,"6 to 10",orders[[#This Row],[Quantity]]&lt;=16,"11 to 16",orders[[#This Row],[Quantity]]&gt;16,"Above 16")</f>
        <v>1 to 5</v>
      </c>
    </row>
    <row r="1369" spans="1:16"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c r="P1369" t="str" cm="1">
        <f t="array" ref="P1369">_xlfn.IFS(orders[[#This Row],[Quantity]]&lt;=5,"1 to 5",orders[[#This Row],[Quantity]]&lt;=10,"6 to 10",orders[[#This Row],[Quantity]]&lt;=16,"11 to 16",orders[[#This Row],[Quantity]]&gt;16,"Above 16")</f>
        <v>1 to 5</v>
      </c>
    </row>
    <row r="1370" spans="1:16"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c r="P1370" t="str" cm="1">
        <f t="array" ref="P1370">_xlfn.IFS(orders[[#This Row],[Quantity]]&lt;=5,"1 to 5",orders[[#This Row],[Quantity]]&lt;=10,"6 to 10",orders[[#This Row],[Quantity]]&lt;=16,"11 to 16",orders[[#This Row],[Quantity]]&gt;16,"Above 16")</f>
        <v>1 to 5</v>
      </c>
    </row>
    <row r="1371" spans="1:16"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c r="P1371" t="str" cm="1">
        <f t="array" ref="P1371">_xlfn.IFS(orders[[#This Row],[Quantity]]&lt;=5,"1 to 5",orders[[#This Row],[Quantity]]&lt;=10,"6 to 10",orders[[#This Row],[Quantity]]&lt;=16,"11 to 16",orders[[#This Row],[Quantity]]&gt;16,"Above 16")</f>
        <v>1 to 5</v>
      </c>
    </row>
    <row r="1372" spans="1:16"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c r="P1372" t="str" cm="1">
        <f t="array" ref="P1372">_xlfn.IFS(orders[[#This Row],[Quantity]]&lt;=5,"1 to 5",orders[[#This Row],[Quantity]]&lt;=10,"6 to 10",orders[[#This Row],[Quantity]]&lt;=16,"11 to 16",orders[[#This Row],[Quantity]]&gt;16,"Above 16")</f>
        <v>1 to 5</v>
      </c>
    </row>
    <row r="1373" spans="1:16"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c r="P1373" t="str" cm="1">
        <f t="array" ref="P1373">_xlfn.IFS(orders[[#This Row],[Quantity]]&lt;=5,"1 to 5",orders[[#This Row],[Quantity]]&lt;=10,"6 to 10",orders[[#This Row],[Quantity]]&lt;=16,"11 to 16",orders[[#This Row],[Quantity]]&gt;16,"Above 16")</f>
        <v>1 to 5</v>
      </c>
    </row>
    <row r="1374" spans="1:16"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c r="P1374" t="str" cm="1">
        <f t="array" ref="P1374">_xlfn.IFS(orders[[#This Row],[Quantity]]&lt;=5,"1 to 5",orders[[#This Row],[Quantity]]&lt;=10,"6 to 10",orders[[#This Row],[Quantity]]&lt;=16,"11 to 16",orders[[#This Row],[Quantity]]&gt;16,"Above 16")</f>
        <v>1 to 5</v>
      </c>
    </row>
    <row r="1375" spans="1:16"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c r="P1375" t="str" cm="1">
        <f t="array" ref="P1375">_xlfn.IFS(orders[[#This Row],[Quantity]]&lt;=5,"1 to 5",orders[[#This Row],[Quantity]]&lt;=10,"6 to 10",orders[[#This Row],[Quantity]]&lt;=16,"11 to 16",orders[[#This Row],[Quantity]]&gt;16,"Above 16")</f>
        <v>1 to 5</v>
      </c>
    </row>
    <row r="1376" spans="1:16"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c r="P1376" t="str" cm="1">
        <f t="array" ref="P1376">_xlfn.IFS(orders[[#This Row],[Quantity]]&lt;=5,"1 to 5",orders[[#This Row],[Quantity]]&lt;=10,"6 to 10",orders[[#This Row],[Quantity]]&lt;=16,"11 to 16",orders[[#This Row],[Quantity]]&gt;16,"Above 16")</f>
        <v>1 to 5</v>
      </c>
    </row>
    <row r="1377" spans="1:16"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c r="P1377" t="str" cm="1">
        <f t="array" ref="P1377">_xlfn.IFS(orders[[#This Row],[Quantity]]&lt;=5,"1 to 5",orders[[#This Row],[Quantity]]&lt;=10,"6 to 10",orders[[#This Row],[Quantity]]&lt;=16,"11 to 16",orders[[#This Row],[Quantity]]&gt;16,"Above 16")</f>
        <v>1 to 5</v>
      </c>
    </row>
    <row r="1378" spans="1:16"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c r="P1378" t="str" cm="1">
        <f t="array" ref="P1378">_xlfn.IFS(orders[[#This Row],[Quantity]]&lt;=5,"1 to 5",orders[[#This Row],[Quantity]]&lt;=10,"6 to 10",orders[[#This Row],[Quantity]]&lt;=16,"11 to 16",orders[[#This Row],[Quantity]]&gt;16,"Above 16")</f>
        <v>1 to 5</v>
      </c>
    </row>
    <row r="1379" spans="1:16"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c r="P1379" t="str" cm="1">
        <f t="array" ref="P1379">_xlfn.IFS(orders[[#This Row],[Quantity]]&lt;=5,"1 to 5",orders[[#This Row],[Quantity]]&lt;=10,"6 to 10",orders[[#This Row],[Quantity]]&lt;=16,"11 to 16",orders[[#This Row],[Quantity]]&gt;16,"Above 16")</f>
        <v>6 to 10</v>
      </c>
    </row>
    <row r="1380" spans="1:16"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c r="P1380" t="str" cm="1">
        <f t="array" ref="P1380">_xlfn.IFS(orders[[#This Row],[Quantity]]&lt;=5,"1 to 5",orders[[#This Row],[Quantity]]&lt;=10,"6 to 10",orders[[#This Row],[Quantity]]&lt;=16,"11 to 16",orders[[#This Row],[Quantity]]&gt;16,"Above 16")</f>
        <v>1 to 5</v>
      </c>
    </row>
    <row r="1381" spans="1:16"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c r="P1381" t="str" cm="1">
        <f t="array" ref="P1381">_xlfn.IFS(orders[[#This Row],[Quantity]]&lt;=5,"1 to 5",orders[[#This Row],[Quantity]]&lt;=10,"6 to 10",orders[[#This Row],[Quantity]]&lt;=16,"11 to 16",orders[[#This Row],[Quantity]]&gt;16,"Above 16")</f>
        <v>1 to 5</v>
      </c>
    </row>
    <row r="1382" spans="1:16"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c r="P1382" t="str" cm="1">
        <f t="array" ref="P1382">_xlfn.IFS(orders[[#This Row],[Quantity]]&lt;=5,"1 to 5",orders[[#This Row],[Quantity]]&lt;=10,"6 to 10",orders[[#This Row],[Quantity]]&lt;=16,"11 to 16",orders[[#This Row],[Quantity]]&gt;16,"Above 16")</f>
        <v>1 to 5</v>
      </c>
    </row>
    <row r="1383" spans="1:16"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c r="P1383" t="str" cm="1">
        <f t="array" ref="P1383">_xlfn.IFS(orders[[#This Row],[Quantity]]&lt;=5,"1 to 5",orders[[#This Row],[Quantity]]&lt;=10,"6 to 10",orders[[#This Row],[Quantity]]&lt;=16,"11 to 16",orders[[#This Row],[Quantity]]&gt;16,"Above 16")</f>
        <v>1 to 5</v>
      </c>
    </row>
    <row r="1384" spans="1:16"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c r="P1384" t="str" cm="1">
        <f t="array" ref="P1384">_xlfn.IFS(orders[[#This Row],[Quantity]]&lt;=5,"1 to 5",orders[[#This Row],[Quantity]]&lt;=10,"6 to 10",orders[[#This Row],[Quantity]]&lt;=16,"11 to 16",orders[[#This Row],[Quantity]]&gt;16,"Above 16")</f>
        <v>11 to 16</v>
      </c>
    </row>
    <row r="1385" spans="1:16"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c r="P1385" t="str" cm="1">
        <f t="array" ref="P1385">_xlfn.IFS(orders[[#This Row],[Quantity]]&lt;=5,"1 to 5",orders[[#This Row],[Quantity]]&lt;=10,"6 to 10",orders[[#This Row],[Quantity]]&lt;=16,"11 to 16",orders[[#This Row],[Quantity]]&gt;16,"Above 16")</f>
        <v>1 to 5</v>
      </c>
    </row>
    <row r="1386" spans="1:16"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c r="P1386" t="str" cm="1">
        <f t="array" ref="P1386">_xlfn.IFS(orders[[#This Row],[Quantity]]&lt;=5,"1 to 5",orders[[#This Row],[Quantity]]&lt;=10,"6 to 10",orders[[#This Row],[Quantity]]&lt;=16,"11 to 16",orders[[#This Row],[Quantity]]&gt;16,"Above 16")</f>
        <v>6 to 10</v>
      </c>
    </row>
    <row r="1387" spans="1:16"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c r="P1387" t="str" cm="1">
        <f t="array" ref="P1387">_xlfn.IFS(orders[[#This Row],[Quantity]]&lt;=5,"1 to 5",orders[[#This Row],[Quantity]]&lt;=10,"6 to 10",orders[[#This Row],[Quantity]]&lt;=16,"11 to 16",orders[[#This Row],[Quantity]]&gt;16,"Above 16")</f>
        <v>6 to 10</v>
      </c>
    </row>
    <row r="1388" spans="1:16"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c r="P1388" t="str" cm="1">
        <f t="array" ref="P1388">_xlfn.IFS(orders[[#This Row],[Quantity]]&lt;=5,"1 to 5",orders[[#This Row],[Quantity]]&lt;=10,"6 to 10",orders[[#This Row],[Quantity]]&lt;=16,"11 to 16",orders[[#This Row],[Quantity]]&gt;16,"Above 16")</f>
        <v>1 to 5</v>
      </c>
    </row>
    <row r="1389" spans="1:16"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c r="P1389" t="str" cm="1">
        <f t="array" ref="P1389">_xlfn.IFS(orders[[#This Row],[Quantity]]&lt;=5,"1 to 5",orders[[#This Row],[Quantity]]&lt;=10,"6 to 10",orders[[#This Row],[Quantity]]&lt;=16,"11 to 16",orders[[#This Row],[Quantity]]&gt;16,"Above 16")</f>
        <v>1 to 5</v>
      </c>
    </row>
    <row r="1390" spans="1:16"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c r="P1390" t="str" cm="1">
        <f t="array" ref="P1390">_xlfn.IFS(orders[[#This Row],[Quantity]]&lt;=5,"1 to 5",orders[[#This Row],[Quantity]]&lt;=10,"6 to 10",orders[[#This Row],[Quantity]]&lt;=16,"11 to 16",orders[[#This Row],[Quantity]]&gt;16,"Above 16")</f>
        <v>1 to 5</v>
      </c>
    </row>
    <row r="1391" spans="1:16"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c r="P1391" t="str" cm="1">
        <f t="array" ref="P1391">_xlfn.IFS(orders[[#This Row],[Quantity]]&lt;=5,"1 to 5",orders[[#This Row],[Quantity]]&lt;=10,"6 to 10",orders[[#This Row],[Quantity]]&lt;=16,"11 to 16",orders[[#This Row],[Quantity]]&gt;16,"Above 16")</f>
        <v>1 to 5</v>
      </c>
    </row>
    <row r="1392" spans="1:16"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c r="P1392" t="str" cm="1">
        <f t="array" ref="P1392">_xlfn.IFS(orders[[#This Row],[Quantity]]&lt;=5,"1 to 5",orders[[#This Row],[Quantity]]&lt;=10,"6 to 10",orders[[#This Row],[Quantity]]&lt;=16,"11 to 16",orders[[#This Row],[Quantity]]&gt;16,"Above 16")</f>
        <v>Above 16</v>
      </c>
    </row>
    <row r="1393" spans="1:16"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c r="P1393" t="str" cm="1">
        <f t="array" ref="P1393">_xlfn.IFS(orders[[#This Row],[Quantity]]&lt;=5,"1 to 5",orders[[#This Row],[Quantity]]&lt;=10,"6 to 10",orders[[#This Row],[Quantity]]&lt;=16,"11 to 16",orders[[#This Row],[Quantity]]&gt;16,"Above 16")</f>
        <v>1 to 5</v>
      </c>
    </row>
    <row r="1394" spans="1:16"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c r="P1394" t="str" cm="1">
        <f t="array" ref="P1394">_xlfn.IFS(orders[[#This Row],[Quantity]]&lt;=5,"1 to 5",orders[[#This Row],[Quantity]]&lt;=10,"6 to 10",orders[[#This Row],[Quantity]]&lt;=16,"11 to 16",orders[[#This Row],[Quantity]]&gt;16,"Above 16")</f>
        <v>1 to 5</v>
      </c>
    </row>
    <row r="1395" spans="1:16"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c r="P1395" t="str" cm="1">
        <f t="array" ref="P1395">_xlfn.IFS(orders[[#This Row],[Quantity]]&lt;=5,"1 to 5",orders[[#This Row],[Quantity]]&lt;=10,"6 to 10",orders[[#This Row],[Quantity]]&lt;=16,"11 to 16",orders[[#This Row],[Quantity]]&gt;16,"Above 16")</f>
        <v>1 to 5</v>
      </c>
    </row>
    <row r="1396" spans="1:16"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c r="P1396" t="str" cm="1">
        <f t="array" ref="P1396">_xlfn.IFS(orders[[#This Row],[Quantity]]&lt;=5,"1 to 5",orders[[#This Row],[Quantity]]&lt;=10,"6 to 10",orders[[#This Row],[Quantity]]&lt;=16,"11 to 16",orders[[#This Row],[Quantity]]&gt;16,"Above 16")</f>
        <v>11 to 16</v>
      </c>
    </row>
    <row r="1397" spans="1:16"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c r="P1397" t="str" cm="1">
        <f t="array" ref="P1397">_xlfn.IFS(orders[[#This Row],[Quantity]]&lt;=5,"1 to 5",orders[[#This Row],[Quantity]]&lt;=10,"6 to 10",orders[[#This Row],[Quantity]]&lt;=16,"11 to 16",orders[[#This Row],[Quantity]]&gt;16,"Above 16")</f>
        <v>6 to 10</v>
      </c>
    </row>
    <row r="1398" spans="1:16"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c r="P1398" t="str" cm="1">
        <f t="array" ref="P1398">_xlfn.IFS(orders[[#This Row],[Quantity]]&lt;=5,"1 to 5",orders[[#This Row],[Quantity]]&lt;=10,"6 to 10",orders[[#This Row],[Quantity]]&lt;=16,"11 to 16",orders[[#This Row],[Quantity]]&gt;16,"Above 16")</f>
        <v>1 to 5</v>
      </c>
    </row>
    <row r="1399" spans="1:16"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c r="P1399" t="str" cm="1">
        <f t="array" ref="P1399">_xlfn.IFS(orders[[#This Row],[Quantity]]&lt;=5,"1 to 5",orders[[#This Row],[Quantity]]&lt;=10,"6 to 10",orders[[#This Row],[Quantity]]&lt;=16,"11 to 16",orders[[#This Row],[Quantity]]&gt;16,"Above 16")</f>
        <v>1 to 5</v>
      </c>
    </row>
    <row r="1400" spans="1:16"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c r="P1400" t="str" cm="1">
        <f t="array" ref="P1400">_xlfn.IFS(orders[[#This Row],[Quantity]]&lt;=5,"1 to 5",orders[[#This Row],[Quantity]]&lt;=10,"6 to 10",orders[[#This Row],[Quantity]]&lt;=16,"11 to 16",orders[[#This Row],[Quantity]]&gt;16,"Above 16")</f>
        <v>1 to 5</v>
      </c>
    </row>
    <row r="1401" spans="1:16"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c r="P1401" t="str" cm="1">
        <f t="array" ref="P1401">_xlfn.IFS(orders[[#This Row],[Quantity]]&lt;=5,"1 to 5",orders[[#This Row],[Quantity]]&lt;=10,"6 to 10",orders[[#This Row],[Quantity]]&lt;=16,"11 to 16",orders[[#This Row],[Quantity]]&gt;16,"Above 16")</f>
        <v>1 to 5</v>
      </c>
    </row>
    <row r="1402" spans="1:16"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c r="P1402" t="str" cm="1">
        <f t="array" ref="P1402">_xlfn.IFS(orders[[#This Row],[Quantity]]&lt;=5,"1 to 5",orders[[#This Row],[Quantity]]&lt;=10,"6 to 10",orders[[#This Row],[Quantity]]&lt;=16,"11 to 16",orders[[#This Row],[Quantity]]&gt;16,"Above 16")</f>
        <v>1 to 5</v>
      </c>
    </row>
    <row r="1403" spans="1:16"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c r="P1403" t="str" cm="1">
        <f t="array" ref="P1403">_xlfn.IFS(orders[[#This Row],[Quantity]]&lt;=5,"1 to 5",orders[[#This Row],[Quantity]]&lt;=10,"6 to 10",orders[[#This Row],[Quantity]]&lt;=16,"11 to 16",orders[[#This Row],[Quantity]]&gt;16,"Above 16")</f>
        <v>1 to 5</v>
      </c>
    </row>
    <row r="1404" spans="1:16"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c r="P1404" t="str" cm="1">
        <f t="array" ref="P1404">_xlfn.IFS(orders[[#This Row],[Quantity]]&lt;=5,"1 to 5",orders[[#This Row],[Quantity]]&lt;=10,"6 to 10",orders[[#This Row],[Quantity]]&lt;=16,"11 to 16",orders[[#This Row],[Quantity]]&gt;16,"Above 16")</f>
        <v>1 to 5</v>
      </c>
    </row>
    <row r="1405" spans="1:16"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c r="P1405" t="str" cm="1">
        <f t="array" ref="P1405">_xlfn.IFS(orders[[#This Row],[Quantity]]&lt;=5,"1 to 5",orders[[#This Row],[Quantity]]&lt;=10,"6 to 10",orders[[#This Row],[Quantity]]&lt;=16,"11 to 16",orders[[#This Row],[Quantity]]&gt;16,"Above 16")</f>
        <v>6 to 10</v>
      </c>
    </row>
    <row r="1406" spans="1:16"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c r="P1406" t="str" cm="1">
        <f t="array" ref="P1406">_xlfn.IFS(orders[[#This Row],[Quantity]]&lt;=5,"1 to 5",orders[[#This Row],[Quantity]]&lt;=10,"6 to 10",orders[[#This Row],[Quantity]]&lt;=16,"11 to 16",orders[[#This Row],[Quantity]]&gt;16,"Above 16")</f>
        <v>1 to 5</v>
      </c>
    </row>
    <row r="1407" spans="1:16"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c r="P1407" t="str" cm="1">
        <f t="array" ref="P1407">_xlfn.IFS(orders[[#This Row],[Quantity]]&lt;=5,"1 to 5",orders[[#This Row],[Quantity]]&lt;=10,"6 to 10",orders[[#This Row],[Quantity]]&lt;=16,"11 to 16",orders[[#This Row],[Quantity]]&gt;16,"Above 16")</f>
        <v>1 to 5</v>
      </c>
    </row>
    <row r="1408" spans="1:16"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c r="P1408" t="str" cm="1">
        <f t="array" ref="P1408">_xlfn.IFS(orders[[#This Row],[Quantity]]&lt;=5,"1 to 5",orders[[#This Row],[Quantity]]&lt;=10,"6 to 10",orders[[#This Row],[Quantity]]&lt;=16,"11 to 16",orders[[#This Row],[Quantity]]&gt;16,"Above 16")</f>
        <v>1 to 5</v>
      </c>
    </row>
    <row r="1409" spans="1:16"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c r="P1409" t="str" cm="1">
        <f t="array" ref="P1409">_xlfn.IFS(orders[[#This Row],[Quantity]]&lt;=5,"1 to 5",orders[[#This Row],[Quantity]]&lt;=10,"6 to 10",orders[[#This Row],[Quantity]]&lt;=16,"11 to 16",orders[[#This Row],[Quantity]]&gt;16,"Above 16")</f>
        <v>1 to 5</v>
      </c>
    </row>
    <row r="1410" spans="1:16"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c r="P1410" t="str" cm="1">
        <f t="array" ref="P1410">_xlfn.IFS(orders[[#This Row],[Quantity]]&lt;=5,"1 to 5",orders[[#This Row],[Quantity]]&lt;=10,"6 to 10",orders[[#This Row],[Quantity]]&lt;=16,"11 to 16",orders[[#This Row],[Quantity]]&gt;16,"Above 16")</f>
        <v>1 to 5</v>
      </c>
    </row>
    <row r="1411" spans="1:16"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c r="P1411" t="str" cm="1">
        <f t="array" ref="P1411">_xlfn.IFS(orders[[#This Row],[Quantity]]&lt;=5,"1 to 5",orders[[#This Row],[Quantity]]&lt;=10,"6 to 10",orders[[#This Row],[Quantity]]&lt;=16,"11 to 16",orders[[#This Row],[Quantity]]&gt;16,"Above 16")</f>
        <v>1 to 5</v>
      </c>
    </row>
    <row r="1412" spans="1:16"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c r="P1412" t="str" cm="1">
        <f t="array" ref="P1412">_xlfn.IFS(orders[[#This Row],[Quantity]]&lt;=5,"1 to 5",orders[[#This Row],[Quantity]]&lt;=10,"6 to 10",orders[[#This Row],[Quantity]]&lt;=16,"11 to 16",orders[[#This Row],[Quantity]]&gt;16,"Above 16")</f>
        <v>1 to 5</v>
      </c>
    </row>
    <row r="1413" spans="1:16"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c r="P1413" t="str" cm="1">
        <f t="array" ref="P1413">_xlfn.IFS(orders[[#This Row],[Quantity]]&lt;=5,"1 to 5",orders[[#This Row],[Quantity]]&lt;=10,"6 to 10",orders[[#This Row],[Quantity]]&lt;=16,"11 to 16",orders[[#This Row],[Quantity]]&gt;16,"Above 16")</f>
        <v>1 to 5</v>
      </c>
    </row>
    <row r="1414" spans="1:16"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c r="P1414" t="str" cm="1">
        <f t="array" ref="P1414">_xlfn.IFS(orders[[#This Row],[Quantity]]&lt;=5,"1 to 5",orders[[#This Row],[Quantity]]&lt;=10,"6 to 10",orders[[#This Row],[Quantity]]&lt;=16,"11 to 16",orders[[#This Row],[Quantity]]&gt;16,"Above 16")</f>
        <v>6 to 10</v>
      </c>
    </row>
    <row r="1415" spans="1:16"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c r="P1415" t="str" cm="1">
        <f t="array" ref="P1415">_xlfn.IFS(orders[[#This Row],[Quantity]]&lt;=5,"1 to 5",orders[[#This Row],[Quantity]]&lt;=10,"6 to 10",orders[[#This Row],[Quantity]]&lt;=16,"11 to 16",orders[[#This Row],[Quantity]]&gt;16,"Above 16")</f>
        <v>1 to 5</v>
      </c>
    </row>
    <row r="1416" spans="1:16"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c r="P1416" t="str" cm="1">
        <f t="array" ref="P1416">_xlfn.IFS(orders[[#This Row],[Quantity]]&lt;=5,"1 to 5",orders[[#This Row],[Quantity]]&lt;=10,"6 to 10",orders[[#This Row],[Quantity]]&lt;=16,"11 to 16",orders[[#This Row],[Quantity]]&gt;16,"Above 16")</f>
        <v>Above 16</v>
      </c>
    </row>
    <row r="1417" spans="1:16"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c r="P1417" t="str" cm="1">
        <f t="array" ref="P1417">_xlfn.IFS(orders[[#This Row],[Quantity]]&lt;=5,"1 to 5",orders[[#This Row],[Quantity]]&lt;=10,"6 to 10",orders[[#This Row],[Quantity]]&lt;=16,"11 to 16",orders[[#This Row],[Quantity]]&gt;16,"Above 16")</f>
        <v>11 to 16</v>
      </c>
    </row>
    <row r="1418" spans="1:16"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c r="P1418" t="str" cm="1">
        <f t="array" ref="P1418">_xlfn.IFS(orders[[#This Row],[Quantity]]&lt;=5,"1 to 5",orders[[#This Row],[Quantity]]&lt;=10,"6 to 10",orders[[#This Row],[Quantity]]&lt;=16,"11 to 16",orders[[#This Row],[Quantity]]&gt;16,"Above 16")</f>
        <v>11 to 16</v>
      </c>
    </row>
    <row r="1419" spans="1:16"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c r="P1419" t="str" cm="1">
        <f t="array" ref="P1419">_xlfn.IFS(orders[[#This Row],[Quantity]]&lt;=5,"1 to 5",orders[[#This Row],[Quantity]]&lt;=10,"6 to 10",orders[[#This Row],[Quantity]]&lt;=16,"11 to 16",orders[[#This Row],[Quantity]]&gt;16,"Above 16")</f>
        <v>1 to 5</v>
      </c>
    </row>
    <row r="1420" spans="1:16"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c r="P1420" t="str" cm="1">
        <f t="array" ref="P1420">_xlfn.IFS(orders[[#This Row],[Quantity]]&lt;=5,"1 to 5",orders[[#This Row],[Quantity]]&lt;=10,"6 to 10",orders[[#This Row],[Quantity]]&lt;=16,"11 to 16",orders[[#This Row],[Quantity]]&gt;16,"Above 16")</f>
        <v>1 to 5</v>
      </c>
    </row>
    <row r="1421" spans="1:16"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c r="P1421" t="str" cm="1">
        <f t="array" ref="P1421">_xlfn.IFS(orders[[#This Row],[Quantity]]&lt;=5,"1 to 5",orders[[#This Row],[Quantity]]&lt;=10,"6 to 10",orders[[#This Row],[Quantity]]&lt;=16,"11 to 16",orders[[#This Row],[Quantity]]&gt;16,"Above 16")</f>
        <v>1 to 5</v>
      </c>
    </row>
    <row r="1422" spans="1:16"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c r="P1422" t="str" cm="1">
        <f t="array" ref="P1422">_xlfn.IFS(orders[[#This Row],[Quantity]]&lt;=5,"1 to 5",orders[[#This Row],[Quantity]]&lt;=10,"6 to 10",orders[[#This Row],[Quantity]]&lt;=16,"11 to 16",orders[[#This Row],[Quantity]]&gt;16,"Above 16")</f>
        <v>6 to 10</v>
      </c>
    </row>
    <row r="1423" spans="1:16"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c r="P1423" t="str" cm="1">
        <f t="array" ref="P1423">_xlfn.IFS(orders[[#This Row],[Quantity]]&lt;=5,"1 to 5",orders[[#This Row],[Quantity]]&lt;=10,"6 to 10",orders[[#This Row],[Quantity]]&lt;=16,"11 to 16",orders[[#This Row],[Quantity]]&gt;16,"Above 16")</f>
        <v>6 to 10</v>
      </c>
    </row>
    <row r="1424" spans="1:16"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c r="P1424" t="str" cm="1">
        <f t="array" ref="P1424">_xlfn.IFS(orders[[#This Row],[Quantity]]&lt;=5,"1 to 5",orders[[#This Row],[Quantity]]&lt;=10,"6 to 10",orders[[#This Row],[Quantity]]&lt;=16,"11 to 16",orders[[#This Row],[Quantity]]&gt;16,"Above 16")</f>
        <v>11 to 16</v>
      </c>
    </row>
    <row r="1425" spans="1:16"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c r="P1425" t="str" cm="1">
        <f t="array" ref="P1425">_xlfn.IFS(orders[[#This Row],[Quantity]]&lt;=5,"1 to 5",orders[[#This Row],[Quantity]]&lt;=10,"6 to 10",orders[[#This Row],[Quantity]]&lt;=16,"11 to 16",orders[[#This Row],[Quantity]]&gt;16,"Above 16")</f>
        <v>1 to 5</v>
      </c>
    </row>
    <row r="1426" spans="1:16"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c r="P1426" t="str" cm="1">
        <f t="array" ref="P1426">_xlfn.IFS(orders[[#This Row],[Quantity]]&lt;=5,"1 to 5",orders[[#This Row],[Quantity]]&lt;=10,"6 to 10",orders[[#This Row],[Quantity]]&lt;=16,"11 to 16",orders[[#This Row],[Quantity]]&gt;16,"Above 16")</f>
        <v>11 to 16</v>
      </c>
    </row>
    <row r="1427" spans="1:16"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c r="P1427" t="str" cm="1">
        <f t="array" ref="P1427">_xlfn.IFS(orders[[#This Row],[Quantity]]&lt;=5,"1 to 5",orders[[#This Row],[Quantity]]&lt;=10,"6 to 10",orders[[#This Row],[Quantity]]&lt;=16,"11 to 16",orders[[#This Row],[Quantity]]&gt;16,"Above 16")</f>
        <v>1 to 5</v>
      </c>
    </row>
    <row r="1428" spans="1:16"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c r="P1428" t="str" cm="1">
        <f t="array" ref="P1428">_xlfn.IFS(orders[[#This Row],[Quantity]]&lt;=5,"1 to 5",orders[[#This Row],[Quantity]]&lt;=10,"6 to 10",orders[[#This Row],[Quantity]]&lt;=16,"11 to 16",orders[[#This Row],[Quantity]]&gt;16,"Above 16")</f>
        <v>1 to 5</v>
      </c>
    </row>
    <row r="1429" spans="1:16"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c r="P1429" t="str" cm="1">
        <f t="array" ref="P1429">_xlfn.IFS(orders[[#This Row],[Quantity]]&lt;=5,"1 to 5",orders[[#This Row],[Quantity]]&lt;=10,"6 to 10",orders[[#This Row],[Quantity]]&lt;=16,"11 to 16",orders[[#This Row],[Quantity]]&gt;16,"Above 16")</f>
        <v>1 to 5</v>
      </c>
    </row>
    <row r="1430" spans="1:16"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c r="P1430" t="str" cm="1">
        <f t="array" ref="P1430">_xlfn.IFS(orders[[#This Row],[Quantity]]&lt;=5,"1 to 5",orders[[#This Row],[Quantity]]&lt;=10,"6 to 10",orders[[#This Row],[Quantity]]&lt;=16,"11 to 16",orders[[#This Row],[Quantity]]&gt;16,"Above 16")</f>
        <v>1 to 5</v>
      </c>
    </row>
    <row r="1431" spans="1:16"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c r="P1431" t="str" cm="1">
        <f t="array" ref="P1431">_xlfn.IFS(orders[[#This Row],[Quantity]]&lt;=5,"1 to 5",orders[[#This Row],[Quantity]]&lt;=10,"6 to 10",orders[[#This Row],[Quantity]]&lt;=16,"11 to 16",orders[[#This Row],[Quantity]]&gt;16,"Above 16")</f>
        <v>1 to 5</v>
      </c>
    </row>
    <row r="1432" spans="1:16"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c r="P1432" t="str" cm="1">
        <f t="array" ref="P1432">_xlfn.IFS(orders[[#This Row],[Quantity]]&lt;=5,"1 to 5",orders[[#This Row],[Quantity]]&lt;=10,"6 to 10",orders[[#This Row],[Quantity]]&lt;=16,"11 to 16",orders[[#This Row],[Quantity]]&gt;16,"Above 16")</f>
        <v>6 to 10</v>
      </c>
    </row>
    <row r="1433" spans="1:16"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c r="P1433" t="str" cm="1">
        <f t="array" ref="P1433">_xlfn.IFS(orders[[#This Row],[Quantity]]&lt;=5,"1 to 5",orders[[#This Row],[Quantity]]&lt;=10,"6 to 10",orders[[#This Row],[Quantity]]&lt;=16,"11 to 16",orders[[#This Row],[Quantity]]&gt;16,"Above 16")</f>
        <v>1 to 5</v>
      </c>
    </row>
    <row r="1434" spans="1:16"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c r="P1434" t="str" cm="1">
        <f t="array" ref="P1434">_xlfn.IFS(orders[[#This Row],[Quantity]]&lt;=5,"1 to 5",orders[[#This Row],[Quantity]]&lt;=10,"6 to 10",orders[[#This Row],[Quantity]]&lt;=16,"11 to 16",orders[[#This Row],[Quantity]]&gt;16,"Above 16")</f>
        <v>1 to 5</v>
      </c>
    </row>
    <row r="1435" spans="1:16"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c r="P1435" t="str" cm="1">
        <f t="array" ref="P1435">_xlfn.IFS(orders[[#This Row],[Quantity]]&lt;=5,"1 to 5",orders[[#This Row],[Quantity]]&lt;=10,"6 to 10",orders[[#This Row],[Quantity]]&lt;=16,"11 to 16",orders[[#This Row],[Quantity]]&gt;16,"Above 16")</f>
        <v>1 to 5</v>
      </c>
    </row>
    <row r="1436" spans="1:16"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c r="P1436" t="str" cm="1">
        <f t="array" ref="P1436">_xlfn.IFS(orders[[#This Row],[Quantity]]&lt;=5,"1 to 5",orders[[#This Row],[Quantity]]&lt;=10,"6 to 10",orders[[#This Row],[Quantity]]&lt;=16,"11 to 16",orders[[#This Row],[Quantity]]&gt;16,"Above 16")</f>
        <v>1 to 5</v>
      </c>
    </row>
    <row r="1437" spans="1:16"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c r="P1437" t="str" cm="1">
        <f t="array" ref="P1437">_xlfn.IFS(orders[[#This Row],[Quantity]]&lt;=5,"1 to 5",orders[[#This Row],[Quantity]]&lt;=10,"6 to 10",orders[[#This Row],[Quantity]]&lt;=16,"11 to 16",orders[[#This Row],[Quantity]]&gt;16,"Above 16")</f>
        <v>1 to 5</v>
      </c>
    </row>
    <row r="1438" spans="1:16"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c r="P1438" t="str" cm="1">
        <f t="array" ref="P1438">_xlfn.IFS(orders[[#This Row],[Quantity]]&lt;=5,"1 to 5",orders[[#This Row],[Quantity]]&lt;=10,"6 to 10",orders[[#This Row],[Quantity]]&lt;=16,"11 to 16",orders[[#This Row],[Quantity]]&gt;16,"Above 16")</f>
        <v>6 to 10</v>
      </c>
    </row>
    <row r="1439" spans="1:16"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c r="P1439" t="str" cm="1">
        <f t="array" ref="P1439">_xlfn.IFS(orders[[#This Row],[Quantity]]&lt;=5,"1 to 5",orders[[#This Row],[Quantity]]&lt;=10,"6 to 10",orders[[#This Row],[Quantity]]&lt;=16,"11 to 16",orders[[#This Row],[Quantity]]&gt;16,"Above 16")</f>
        <v>1 to 5</v>
      </c>
    </row>
    <row r="1440" spans="1:16"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c r="P1440" t="str" cm="1">
        <f t="array" ref="P1440">_xlfn.IFS(orders[[#This Row],[Quantity]]&lt;=5,"1 to 5",orders[[#This Row],[Quantity]]&lt;=10,"6 to 10",orders[[#This Row],[Quantity]]&lt;=16,"11 to 16",orders[[#This Row],[Quantity]]&gt;16,"Above 16")</f>
        <v>Above 16</v>
      </c>
    </row>
    <row r="1441" spans="1:16"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c r="P1441" t="str" cm="1">
        <f t="array" ref="P1441">_xlfn.IFS(orders[[#This Row],[Quantity]]&lt;=5,"1 to 5",orders[[#This Row],[Quantity]]&lt;=10,"6 to 10",orders[[#This Row],[Quantity]]&lt;=16,"11 to 16",orders[[#This Row],[Quantity]]&gt;16,"Above 16")</f>
        <v>1 to 5</v>
      </c>
    </row>
    <row r="1442" spans="1:16"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c r="P1442" t="str" cm="1">
        <f t="array" ref="P1442">_xlfn.IFS(orders[[#This Row],[Quantity]]&lt;=5,"1 to 5",orders[[#This Row],[Quantity]]&lt;=10,"6 to 10",orders[[#This Row],[Quantity]]&lt;=16,"11 to 16",orders[[#This Row],[Quantity]]&gt;16,"Above 16")</f>
        <v>1 to 5</v>
      </c>
    </row>
    <row r="1443" spans="1:16"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c r="P1443" t="str" cm="1">
        <f t="array" ref="P1443">_xlfn.IFS(orders[[#This Row],[Quantity]]&lt;=5,"1 to 5",orders[[#This Row],[Quantity]]&lt;=10,"6 to 10",orders[[#This Row],[Quantity]]&lt;=16,"11 to 16",orders[[#This Row],[Quantity]]&gt;16,"Above 16")</f>
        <v>1 to 5</v>
      </c>
    </row>
    <row r="1444" spans="1:16"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c r="P1444" t="str" cm="1">
        <f t="array" ref="P1444">_xlfn.IFS(orders[[#This Row],[Quantity]]&lt;=5,"1 to 5",orders[[#This Row],[Quantity]]&lt;=10,"6 to 10",orders[[#This Row],[Quantity]]&lt;=16,"11 to 16",orders[[#This Row],[Quantity]]&gt;16,"Above 16")</f>
        <v>1 to 5</v>
      </c>
    </row>
    <row r="1445" spans="1:16"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c r="P1445" t="str" cm="1">
        <f t="array" ref="P1445">_xlfn.IFS(orders[[#This Row],[Quantity]]&lt;=5,"1 to 5",orders[[#This Row],[Quantity]]&lt;=10,"6 to 10",orders[[#This Row],[Quantity]]&lt;=16,"11 to 16",orders[[#This Row],[Quantity]]&gt;16,"Above 16")</f>
        <v>6 to 10</v>
      </c>
    </row>
    <row r="1446" spans="1:16"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c r="P1446" t="str" cm="1">
        <f t="array" ref="P1446">_xlfn.IFS(orders[[#This Row],[Quantity]]&lt;=5,"1 to 5",orders[[#This Row],[Quantity]]&lt;=10,"6 to 10",orders[[#This Row],[Quantity]]&lt;=16,"11 to 16",orders[[#This Row],[Quantity]]&gt;16,"Above 16")</f>
        <v>11 to 16</v>
      </c>
    </row>
    <row r="1447" spans="1:16"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c r="P1447" t="str" cm="1">
        <f t="array" ref="P1447">_xlfn.IFS(orders[[#This Row],[Quantity]]&lt;=5,"1 to 5",orders[[#This Row],[Quantity]]&lt;=10,"6 to 10",orders[[#This Row],[Quantity]]&lt;=16,"11 to 16",orders[[#This Row],[Quantity]]&gt;16,"Above 16")</f>
        <v>1 to 5</v>
      </c>
    </row>
    <row r="1448" spans="1:16"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c r="P1448" t="str" cm="1">
        <f t="array" ref="P1448">_xlfn.IFS(orders[[#This Row],[Quantity]]&lt;=5,"1 to 5",orders[[#This Row],[Quantity]]&lt;=10,"6 to 10",orders[[#This Row],[Quantity]]&lt;=16,"11 to 16",orders[[#This Row],[Quantity]]&gt;16,"Above 16")</f>
        <v>1 to 5</v>
      </c>
    </row>
    <row r="1449" spans="1:16"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c r="P1449" t="str" cm="1">
        <f t="array" ref="P1449">_xlfn.IFS(orders[[#This Row],[Quantity]]&lt;=5,"1 to 5",orders[[#This Row],[Quantity]]&lt;=10,"6 to 10",orders[[#This Row],[Quantity]]&lt;=16,"11 to 16",orders[[#This Row],[Quantity]]&gt;16,"Above 16")</f>
        <v>1 to 5</v>
      </c>
    </row>
    <row r="1450" spans="1:16"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c r="P1450" t="str" cm="1">
        <f t="array" ref="P1450">_xlfn.IFS(orders[[#This Row],[Quantity]]&lt;=5,"1 to 5",orders[[#This Row],[Quantity]]&lt;=10,"6 to 10",orders[[#This Row],[Quantity]]&lt;=16,"11 to 16",orders[[#This Row],[Quantity]]&gt;16,"Above 16")</f>
        <v>11 to 16</v>
      </c>
    </row>
    <row r="1451" spans="1:16"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c r="P1451" t="str" cm="1">
        <f t="array" ref="P1451">_xlfn.IFS(orders[[#This Row],[Quantity]]&lt;=5,"1 to 5",orders[[#This Row],[Quantity]]&lt;=10,"6 to 10",orders[[#This Row],[Quantity]]&lt;=16,"11 to 16",orders[[#This Row],[Quantity]]&gt;16,"Above 16")</f>
        <v>6 to 10</v>
      </c>
    </row>
    <row r="1452" spans="1:16"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c r="P1452" t="str" cm="1">
        <f t="array" ref="P1452">_xlfn.IFS(orders[[#This Row],[Quantity]]&lt;=5,"1 to 5",orders[[#This Row],[Quantity]]&lt;=10,"6 to 10",orders[[#This Row],[Quantity]]&lt;=16,"11 to 16",orders[[#This Row],[Quantity]]&gt;16,"Above 16")</f>
        <v>1 to 5</v>
      </c>
    </row>
    <row r="1453" spans="1:16"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c r="P1453" t="str" cm="1">
        <f t="array" ref="P1453">_xlfn.IFS(orders[[#This Row],[Quantity]]&lt;=5,"1 to 5",orders[[#This Row],[Quantity]]&lt;=10,"6 to 10",orders[[#This Row],[Quantity]]&lt;=16,"11 to 16",orders[[#This Row],[Quantity]]&gt;16,"Above 16")</f>
        <v>1 to 5</v>
      </c>
    </row>
    <row r="1454" spans="1:16"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c r="P1454" t="str" cm="1">
        <f t="array" ref="P1454">_xlfn.IFS(orders[[#This Row],[Quantity]]&lt;=5,"1 to 5",orders[[#This Row],[Quantity]]&lt;=10,"6 to 10",orders[[#This Row],[Quantity]]&lt;=16,"11 to 16",orders[[#This Row],[Quantity]]&gt;16,"Above 16")</f>
        <v>1 to 5</v>
      </c>
    </row>
    <row r="1455" spans="1:16"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c r="P1455" t="str" cm="1">
        <f t="array" ref="P1455">_xlfn.IFS(orders[[#This Row],[Quantity]]&lt;=5,"1 to 5",orders[[#This Row],[Quantity]]&lt;=10,"6 to 10",orders[[#This Row],[Quantity]]&lt;=16,"11 to 16",orders[[#This Row],[Quantity]]&gt;16,"Above 16")</f>
        <v>1 to 5</v>
      </c>
    </row>
    <row r="1456" spans="1:16"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c r="P1456" t="str" cm="1">
        <f t="array" ref="P1456">_xlfn.IFS(orders[[#This Row],[Quantity]]&lt;=5,"1 to 5",orders[[#This Row],[Quantity]]&lt;=10,"6 to 10",orders[[#This Row],[Quantity]]&lt;=16,"11 to 16",orders[[#This Row],[Quantity]]&gt;16,"Above 16")</f>
        <v>1 to 5</v>
      </c>
    </row>
    <row r="1457" spans="1:16"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c r="P1457" t="str" cm="1">
        <f t="array" ref="P1457">_xlfn.IFS(orders[[#This Row],[Quantity]]&lt;=5,"1 to 5",orders[[#This Row],[Quantity]]&lt;=10,"6 to 10",orders[[#This Row],[Quantity]]&lt;=16,"11 to 16",orders[[#This Row],[Quantity]]&gt;16,"Above 16")</f>
        <v>1 to 5</v>
      </c>
    </row>
    <row r="1458" spans="1:16"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c r="P1458" t="str" cm="1">
        <f t="array" ref="P1458">_xlfn.IFS(orders[[#This Row],[Quantity]]&lt;=5,"1 to 5",orders[[#This Row],[Quantity]]&lt;=10,"6 to 10",orders[[#This Row],[Quantity]]&lt;=16,"11 to 16",orders[[#This Row],[Quantity]]&gt;16,"Above 16")</f>
        <v>1 to 5</v>
      </c>
    </row>
    <row r="1459" spans="1:16"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c r="P1459" t="str" cm="1">
        <f t="array" ref="P1459">_xlfn.IFS(orders[[#This Row],[Quantity]]&lt;=5,"1 to 5",orders[[#This Row],[Quantity]]&lt;=10,"6 to 10",orders[[#This Row],[Quantity]]&lt;=16,"11 to 16",orders[[#This Row],[Quantity]]&gt;16,"Above 16")</f>
        <v>1 to 5</v>
      </c>
    </row>
    <row r="1460" spans="1:16"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c r="P1460" t="str" cm="1">
        <f t="array" ref="P1460">_xlfn.IFS(orders[[#This Row],[Quantity]]&lt;=5,"1 to 5",orders[[#This Row],[Quantity]]&lt;=10,"6 to 10",orders[[#This Row],[Quantity]]&lt;=16,"11 to 16",orders[[#This Row],[Quantity]]&gt;16,"Above 16")</f>
        <v>11 to 16</v>
      </c>
    </row>
    <row r="1461" spans="1:16"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c r="P1461" t="str" cm="1">
        <f t="array" ref="P1461">_xlfn.IFS(orders[[#This Row],[Quantity]]&lt;=5,"1 to 5",orders[[#This Row],[Quantity]]&lt;=10,"6 to 10",orders[[#This Row],[Quantity]]&lt;=16,"11 to 16",orders[[#This Row],[Quantity]]&gt;16,"Above 16")</f>
        <v>1 to 5</v>
      </c>
    </row>
    <row r="1462" spans="1:16"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c r="P1462" t="str" cm="1">
        <f t="array" ref="P1462">_xlfn.IFS(orders[[#This Row],[Quantity]]&lt;=5,"1 to 5",orders[[#This Row],[Quantity]]&lt;=10,"6 to 10",orders[[#This Row],[Quantity]]&lt;=16,"11 to 16",orders[[#This Row],[Quantity]]&gt;16,"Above 16")</f>
        <v>1 to 5</v>
      </c>
    </row>
    <row r="1463" spans="1:16"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c r="P1463" t="str" cm="1">
        <f t="array" ref="P1463">_xlfn.IFS(orders[[#This Row],[Quantity]]&lt;=5,"1 to 5",orders[[#This Row],[Quantity]]&lt;=10,"6 to 10",orders[[#This Row],[Quantity]]&lt;=16,"11 to 16",orders[[#This Row],[Quantity]]&gt;16,"Above 16")</f>
        <v>1 to 5</v>
      </c>
    </row>
    <row r="1464" spans="1:16"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c r="P1464" t="str" cm="1">
        <f t="array" ref="P1464">_xlfn.IFS(orders[[#This Row],[Quantity]]&lt;=5,"1 to 5",orders[[#This Row],[Quantity]]&lt;=10,"6 to 10",orders[[#This Row],[Quantity]]&lt;=16,"11 to 16",orders[[#This Row],[Quantity]]&gt;16,"Above 16")</f>
        <v>1 to 5</v>
      </c>
    </row>
    <row r="1465" spans="1:16"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c r="P1465" t="str" cm="1">
        <f t="array" ref="P1465">_xlfn.IFS(orders[[#This Row],[Quantity]]&lt;=5,"1 to 5",orders[[#This Row],[Quantity]]&lt;=10,"6 to 10",orders[[#This Row],[Quantity]]&lt;=16,"11 to 16",orders[[#This Row],[Quantity]]&gt;16,"Above 16")</f>
        <v>1 to 5</v>
      </c>
    </row>
    <row r="1466" spans="1:16"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c r="P1466" t="str" cm="1">
        <f t="array" ref="P1466">_xlfn.IFS(orders[[#This Row],[Quantity]]&lt;=5,"1 to 5",orders[[#This Row],[Quantity]]&lt;=10,"6 to 10",orders[[#This Row],[Quantity]]&lt;=16,"11 to 16",orders[[#This Row],[Quantity]]&gt;16,"Above 16")</f>
        <v>1 to 5</v>
      </c>
    </row>
    <row r="1467" spans="1:16"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c r="P1467" t="str" cm="1">
        <f t="array" ref="P1467">_xlfn.IFS(orders[[#This Row],[Quantity]]&lt;=5,"1 to 5",orders[[#This Row],[Quantity]]&lt;=10,"6 to 10",orders[[#This Row],[Quantity]]&lt;=16,"11 to 16",orders[[#This Row],[Quantity]]&gt;16,"Above 16")</f>
        <v>1 to 5</v>
      </c>
    </row>
    <row r="1468" spans="1:16"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c r="P1468" t="str" cm="1">
        <f t="array" ref="P1468">_xlfn.IFS(orders[[#This Row],[Quantity]]&lt;=5,"1 to 5",orders[[#This Row],[Quantity]]&lt;=10,"6 to 10",orders[[#This Row],[Quantity]]&lt;=16,"11 to 16",orders[[#This Row],[Quantity]]&gt;16,"Above 16")</f>
        <v>6 to 10</v>
      </c>
    </row>
    <row r="1469" spans="1:16"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c r="P1469" t="str" cm="1">
        <f t="array" ref="P1469">_xlfn.IFS(orders[[#This Row],[Quantity]]&lt;=5,"1 to 5",orders[[#This Row],[Quantity]]&lt;=10,"6 to 10",orders[[#This Row],[Quantity]]&lt;=16,"11 to 16",orders[[#This Row],[Quantity]]&gt;16,"Above 16")</f>
        <v>6 to 10</v>
      </c>
    </row>
    <row r="1470" spans="1:16"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c r="P1470" t="str" cm="1">
        <f t="array" ref="P1470">_xlfn.IFS(orders[[#This Row],[Quantity]]&lt;=5,"1 to 5",orders[[#This Row],[Quantity]]&lt;=10,"6 to 10",orders[[#This Row],[Quantity]]&lt;=16,"11 to 16",orders[[#This Row],[Quantity]]&gt;16,"Above 16")</f>
        <v>1 to 5</v>
      </c>
    </row>
    <row r="1471" spans="1:16"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c r="P1471" t="str" cm="1">
        <f t="array" ref="P1471">_xlfn.IFS(orders[[#This Row],[Quantity]]&lt;=5,"1 to 5",orders[[#This Row],[Quantity]]&lt;=10,"6 to 10",orders[[#This Row],[Quantity]]&lt;=16,"11 to 16",orders[[#This Row],[Quantity]]&gt;16,"Above 16")</f>
        <v>1 to 5</v>
      </c>
    </row>
    <row r="1472" spans="1:16"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c r="P1472" t="str" cm="1">
        <f t="array" ref="P1472">_xlfn.IFS(orders[[#This Row],[Quantity]]&lt;=5,"1 to 5",orders[[#This Row],[Quantity]]&lt;=10,"6 to 10",orders[[#This Row],[Quantity]]&lt;=16,"11 to 16",orders[[#This Row],[Quantity]]&gt;16,"Above 16")</f>
        <v>1 to 5</v>
      </c>
    </row>
    <row r="1473" spans="1:16"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c r="P1473" t="str" cm="1">
        <f t="array" ref="P1473">_xlfn.IFS(orders[[#This Row],[Quantity]]&lt;=5,"1 to 5",orders[[#This Row],[Quantity]]&lt;=10,"6 to 10",orders[[#This Row],[Quantity]]&lt;=16,"11 to 16",orders[[#This Row],[Quantity]]&gt;16,"Above 16")</f>
        <v>1 to 5</v>
      </c>
    </row>
    <row r="1474" spans="1:16"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c r="P1474" t="str" cm="1">
        <f t="array" ref="P1474">_xlfn.IFS(orders[[#This Row],[Quantity]]&lt;=5,"1 to 5",orders[[#This Row],[Quantity]]&lt;=10,"6 to 10",orders[[#This Row],[Quantity]]&lt;=16,"11 to 16",orders[[#This Row],[Quantity]]&gt;16,"Above 16")</f>
        <v>1 to 5</v>
      </c>
    </row>
    <row r="1475" spans="1:16"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c r="P1475" t="str" cm="1">
        <f t="array" ref="P1475">_xlfn.IFS(orders[[#This Row],[Quantity]]&lt;=5,"1 to 5",orders[[#This Row],[Quantity]]&lt;=10,"6 to 10",orders[[#This Row],[Quantity]]&lt;=16,"11 to 16",orders[[#This Row],[Quantity]]&gt;16,"Above 16")</f>
        <v>1 to 5</v>
      </c>
    </row>
    <row r="1476" spans="1:16"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c r="P1476" t="str" cm="1">
        <f t="array" ref="P1476">_xlfn.IFS(orders[[#This Row],[Quantity]]&lt;=5,"1 to 5",orders[[#This Row],[Quantity]]&lt;=10,"6 to 10",orders[[#This Row],[Quantity]]&lt;=16,"11 to 16",orders[[#This Row],[Quantity]]&gt;16,"Above 16")</f>
        <v>1 to 5</v>
      </c>
    </row>
    <row r="1477" spans="1:16"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c r="P1477" t="str" cm="1">
        <f t="array" ref="P1477">_xlfn.IFS(orders[[#This Row],[Quantity]]&lt;=5,"1 to 5",orders[[#This Row],[Quantity]]&lt;=10,"6 to 10",orders[[#This Row],[Quantity]]&lt;=16,"11 to 16",orders[[#This Row],[Quantity]]&gt;16,"Above 16")</f>
        <v>11 to 16</v>
      </c>
    </row>
    <row r="1478" spans="1:16"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c r="P1478" t="str" cm="1">
        <f t="array" ref="P1478">_xlfn.IFS(orders[[#This Row],[Quantity]]&lt;=5,"1 to 5",orders[[#This Row],[Quantity]]&lt;=10,"6 to 10",orders[[#This Row],[Quantity]]&lt;=16,"11 to 16",orders[[#This Row],[Quantity]]&gt;16,"Above 16")</f>
        <v>1 to 5</v>
      </c>
    </row>
    <row r="1479" spans="1:16"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c r="P1479" t="str" cm="1">
        <f t="array" ref="P1479">_xlfn.IFS(orders[[#This Row],[Quantity]]&lt;=5,"1 to 5",orders[[#This Row],[Quantity]]&lt;=10,"6 to 10",orders[[#This Row],[Quantity]]&lt;=16,"11 to 16",orders[[#This Row],[Quantity]]&gt;16,"Above 16")</f>
        <v>1 to 5</v>
      </c>
    </row>
    <row r="1480" spans="1:16"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c r="P1480" t="str" cm="1">
        <f t="array" ref="P1480">_xlfn.IFS(orders[[#This Row],[Quantity]]&lt;=5,"1 to 5",orders[[#This Row],[Quantity]]&lt;=10,"6 to 10",orders[[#This Row],[Quantity]]&lt;=16,"11 to 16",orders[[#This Row],[Quantity]]&gt;16,"Above 16")</f>
        <v>1 to 5</v>
      </c>
    </row>
    <row r="1481" spans="1:16"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c r="P1481" t="str" cm="1">
        <f t="array" ref="P1481">_xlfn.IFS(orders[[#This Row],[Quantity]]&lt;=5,"1 to 5",orders[[#This Row],[Quantity]]&lt;=10,"6 to 10",orders[[#This Row],[Quantity]]&lt;=16,"11 to 16",orders[[#This Row],[Quantity]]&gt;16,"Above 16")</f>
        <v>1 to 5</v>
      </c>
    </row>
    <row r="1482" spans="1:16"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c r="P1482" t="str" cm="1">
        <f t="array" ref="P1482">_xlfn.IFS(orders[[#This Row],[Quantity]]&lt;=5,"1 to 5",orders[[#This Row],[Quantity]]&lt;=10,"6 to 10",orders[[#This Row],[Quantity]]&lt;=16,"11 to 16",orders[[#This Row],[Quantity]]&gt;16,"Above 16")</f>
        <v>1 to 5</v>
      </c>
    </row>
    <row r="1483" spans="1:16"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c r="P1483" t="str" cm="1">
        <f t="array" ref="P1483">_xlfn.IFS(orders[[#This Row],[Quantity]]&lt;=5,"1 to 5",orders[[#This Row],[Quantity]]&lt;=10,"6 to 10",orders[[#This Row],[Quantity]]&lt;=16,"11 to 16",orders[[#This Row],[Quantity]]&gt;16,"Above 16")</f>
        <v>1 to 5</v>
      </c>
    </row>
    <row r="1484" spans="1:16"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c r="P1484" t="str" cm="1">
        <f t="array" ref="P1484">_xlfn.IFS(orders[[#This Row],[Quantity]]&lt;=5,"1 to 5",orders[[#This Row],[Quantity]]&lt;=10,"6 to 10",orders[[#This Row],[Quantity]]&lt;=16,"11 to 16",orders[[#This Row],[Quantity]]&gt;16,"Above 16")</f>
        <v>1 to 5</v>
      </c>
    </row>
    <row r="1485" spans="1:16"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c r="P1485" t="str" cm="1">
        <f t="array" ref="P1485">_xlfn.IFS(orders[[#This Row],[Quantity]]&lt;=5,"1 to 5",orders[[#This Row],[Quantity]]&lt;=10,"6 to 10",orders[[#This Row],[Quantity]]&lt;=16,"11 to 16",orders[[#This Row],[Quantity]]&gt;16,"Above 16")</f>
        <v>1 to 5</v>
      </c>
    </row>
    <row r="1486" spans="1:16"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c r="P1486" t="str" cm="1">
        <f t="array" ref="P1486">_xlfn.IFS(orders[[#This Row],[Quantity]]&lt;=5,"1 to 5",orders[[#This Row],[Quantity]]&lt;=10,"6 to 10",orders[[#This Row],[Quantity]]&lt;=16,"11 to 16",orders[[#This Row],[Quantity]]&gt;16,"Above 16")</f>
        <v>1 to 5</v>
      </c>
    </row>
    <row r="1487" spans="1:16"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c r="P1487" t="str" cm="1">
        <f t="array" ref="P1487">_xlfn.IFS(orders[[#This Row],[Quantity]]&lt;=5,"1 to 5",orders[[#This Row],[Quantity]]&lt;=10,"6 to 10",orders[[#This Row],[Quantity]]&lt;=16,"11 to 16",orders[[#This Row],[Quantity]]&gt;16,"Above 16")</f>
        <v>1 to 5</v>
      </c>
    </row>
    <row r="1488" spans="1:16"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c r="P1488" t="str" cm="1">
        <f t="array" ref="P1488">_xlfn.IFS(orders[[#This Row],[Quantity]]&lt;=5,"1 to 5",orders[[#This Row],[Quantity]]&lt;=10,"6 to 10",orders[[#This Row],[Quantity]]&lt;=16,"11 to 16",orders[[#This Row],[Quantity]]&gt;16,"Above 16")</f>
        <v>1 to 5</v>
      </c>
    </row>
    <row r="1489" spans="1:16"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c r="P1489" t="str" cm="1">
        <f t="array" ref="P1489">_xlfn.IFS(orders[[#This Row],[Quantity]]&lt;=5,"1 to 5",orders[[#This Row],[Quantity]]&lt;=10,"6 to 10",orders[[#This Row],[Quantity]]&lt;=16,"11 to 16",orders[[#This Row],[Quantity]]&gt;16,"Above 16")</f>
        <v>1 to 5</v>
      </c>
    </row>
    <row r="1490" spans="1:16"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c r="P1490" t="str" cm="1">
        <f t="array" ref="P1490">_xlfn.IFS(orders[[#This Row],[Quantity]]&lt;=5,"1 to 5",orders[[#This Row],[Quantity]]&lt;=10,"6 to 10",orders[[#This Row],[Quantity]]&lt;=16,"11 to 16",orders[[#This Row],[Quantity]]&gt;16,"Above 16")</f>
        <v>11 to 16</v>
      </c>
    </row>
    <row r="1491" spans="1:16"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c r="P1491" t="str" cm="1">
        <f t="array" ref="P1491">_xlfn.IFS(orders[[#This Row],[Quantity]]&lt;=5,"1 to 5",orders[[#This Row],[Quantity]]&lt;=10,"6 to 10",orders[[#This Row],[Quantity]]&lt;=16,"11 to 16",orders[[#This Row],[Quantity]]&gt;16,"Above 16")</f>
        <v>1 to 5</v>
      </c>
    </row>
    <row r="1492" spans="1:16"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c r="P1492" t="str" cm="1">
        <f t="array" ref="P1492">_xlfn.IFS(orders[[#This Row],[Quantity]]&lt;=5,"1 to 5",orders[[#This Row],[Quantity]]&lt;=10,"6 to 10",orders[[#This Row],[Quantity]]&lt;=16,"11 to 16",orders[[#This Row],[Quantity]]&gt;16,"Above 16")</f>
        <v>6 to 10</v>
      </c>
    </row>
    <row r="1493" spans="1:16"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c r="P1493" t="str" cm="1">
        <f t="array" ref="P1493">_xlfn.IFS(orders[[#This Row],[Quantity]]&lt;=5,"1 to 5",orders[[#This Row],[Quantity]]&lt;=10,"6 to 10",orders[[#This Row],[Quantity]]&lt;=16,"11 to 16",orders[[#This Row],[Quantity]]&gt;16,"Above 16")</f>
        <v>1 to 5</v>
      </c>
    </row>
    <row r="1494" spans="1:16"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c r="P1494" t="str" cm="1">
        <f t="array" ref="P1494">_xlfn.IFS(orders[[#This Row],[Quantity]]&lt;=5,"1 to 5",orders[[#This Row],[Quantity]]&lt;=10,"6 to 10",orders[[#This Row],[Quantity]]&lt;=16,"11 to 16",orders[[#This Row],[Quantity]]&gt;16,"Above 16")</f>
        <v>11 to 16</v>
      </c>
    </row>
    <row r="1495" spans="1:16"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c r="P1495" t="str" cm="1">
        <f t="array" ref="P1495">_xlfn.IFS(orders[[#This Row],[Quantity]]&lt;=5,"1 to 5",orders[[#This Row],[Quantity]]&lt;=10,"6 to 10",orders[[#This Row],[Quantity]]&lt;=16,"11 to 16",orders[[#This Row],[Quantity]]&gt;16,"Above 16")</f>
        <v>1 to 5</v>
      </c>
    </row>
    <row r="1496" spans="1:16"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c r="P1496" t="str" cm="1">
        <f t="array" ref="P1496">_xlfn.IFS(orders[[#This Row],[Quantity]]&lt;=5,"1 to 5",orders[[#This Row],[Quantity]]&lt;=10,"6 to 10",orders[[#This Row],[Quantity]]&lt;=16,"11 to 16",orders[[#This Row],[Quantity]]&gt;16,"Above 16")</f>
        <v>6 to 10</v>
      </c>
    </row>
    <row r="1497" spans="1:16"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c r="P1497" t="str" cm="1">
        <f t="array" ref="P1497">_xlfn.IFS(orders[[#This Row],[Quantity]]&lt;=5,"1 to 5",orders[[#This Row],[Quantity]]&lt;=10,"6 to 10",orders[[#This Row],[Quantity]]&lt;=16,"11 to 16",orders[[#This Row],[Quantity]]&gt;16,"Above 16")</f>
        <v>1 to 5</v>
      </c>
    </row>
    <row r="1498" spans="1:16"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c r="P1498" t="str" cm="1">
        <f t="array" ref="P1498">_xlfn.IFS(orders[[#This Row],[Quantity]]&lt;=5,"1 to 5",orders[[#This Row],[Quantity]]&lt;=10,"6 to 10",orders[[#This Row],[Quantity]]&lt;=16,"11 to 16",orders[[#This Row],[Quantity]]&gt;16,"Above 16")</f>
        <v>1 to 5</v>
      </c>
    </row>
    <row r="1499" spans="1:16"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c r="P1499" t="str" cm="1">
        <f t="array" ref="P1499">_xlfn.IFS(orders[[#This Row],[Quantity]]&lt;=5,"1 to 5",orders[[#This Row],[Quantity]]&lt;=10,"6 to 10",orders[[#This Row],[Quantity]]&lt;=16,"11 to 16",orders[[#This Row],[Quantity]]&gt;16,"Above 16")</f>
        <v>1 to 5</v>
      </c>
    </row>
    <row r="1500" spans="1:16"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c r="P1500" t="str" cm="1">
        <f t="array" ref="P1500">_xlfn.IFS(orders[[#This Row],[Quantity]]&lt;=5,"1 to 5",orders[[#This Row],[Quantity]]&lt;=10,"6 to 10",orders[[#This Row],[Quantity]]&lt;=16,"11 to 16",orders[[#This Row],[Quantity]]&gt;16,"Above 16")</f>
        <v>1 to 5</v>
      </c>
    </row>
    <row r="1501" spans="1:16"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c r="P1501" t="str" cm="1">
        <f t="array" ref="P1501">_xlfn.IFS(orders[[#This Row],[Quantity]]&lt;=5,"1 to 5",orders[[#This Row],[Quantity]]&lt;=10,"6 to 10",orders[[#This Row],[Quantity]]&lt;=16,"11 to 16",orders[[#This Row],[Quantity]]&gt;16,"Above 16")</f>
        <v>1 to 5</v>
      </c>
    </row>
    <row r="1502" spans="1:16"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c r="P1502" t="str" cm="1">
        <f t="array" ref="P1502">_xlfn.IFS(orders[[#This Row],[Quantity]]&lt;=5,"1 to 5",orders[[#This Row],[Quantity]]&lt;=10,"6 to 10",orders[[#This Row],[Quantity]]&lt;=16,"11 to 16",orders[[#This Row],[Quantity]]&gt;16,"Above 16")</f>
        <v>1 to 5</v>
      </c>
    </row>
    <row r="1503" spans="1:16"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c r="P1503" t="str" cm="1">
        <f t="array" ref="P1503">_xlfn.IFS(orders[[#This Row],[Quantity]]&lt;=5,"1 to 5",orders[[#This Row],[Quantity]]&lt;=10,"6 to 10",orders[[#This Row],[Quantity]]&lt;=16,"11 to 16",orders[[#This Row],[Quantity]]&gt;16,"Above 16")</f>
        <v>1 to 5</v>
      </c>
    </row>
    <row r="1504" spans="1:16"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c r="P1504" t="str" cm="1">
        <f t="array" ref="P1504">_xlfn.IFS(orders[[#This Row],[Quantity]]&lt;=5,"1 to 5",orders[[#This Row],[Quantity]]&lt;=10,"6 to 10",orders[[#This Row],[Quantity]]&lt;=16,"11 to 16",orders[[#This Row],[Quantity]]&gt;16,"Above 16")</f>
        <v>1 to 5</v>
      </c>
    </row>
    <row r="1505" spans="1:16"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c r="P1505" t="str" cm="1">
        <f t="array" ref="P1505">_xlfn.IFS(orders[[#This Row],[Quantity]]&lt;=5,"1 to 5",orders[[#This Row],[Quantity]]&lt;=10,"6 to 10",orders[[#This Row],[Quantity]]&lt;=16,"11 to 16",orders[[#This Row],[Quantity]]&gt;16,"Above 16")</f>
        <v>Above 16</v>
      </c>
    </row>
    <row r="1506" spans="1:16"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c r="P1506" t="str" cm="1">
        <f t="array" ref="P1506">_xlfn.IFS(orders[[#This Row],[Quantity]]&lt;=5,"1 to 5",orders[[#This Row],[Quantity]]&lt;=10,"6 to 10",orders[[#This Row],[Quantity]]&lt;=16,"11 to 16",orders[[#This Row],[Quantity]]&gt;16,"Above 16")</f>
        <v>1 to 5</v>
      </c>
    </row>
    <row r="1507" spans="1:16"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c r="P1507" t="str" cm="1">
        <f t="array" ref="P1507">_xlfn.IFS(orders[[#This Row],[Quantity]]&lt;=5,"1 to 5",orders[[#This Row],[Quantity]]&lt;=10,"6 to 10",orders[[#This Row],[Quantity]]&lt;=16,"11 to 16",orders[[#This Row],[Quantity]]&gt;16,"Above 16")</f>
        <v>1 to 5</v>
      </c>
    </row>
    <row r="1508" spans="1:16"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c r="P1508" t="str" cm="1">
        <f t="array" ref="P1508">_xlfn.IFS(orders[[#This Row],[Quantity]]&lt;=5,"1 to 5",orders[[#This Row],[Quantity]]&lt;=10,"6 to 10",orders[[#This Row],[Quantity]]&lt;=16,"11 to 16",orders[[#This Row],[Quantity]]&gt;16,"Above 16")</f>
        <v>1 to 5</v>
      </c>
    </row>
    <row r="1509" spans="1:16"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c r="P1509" t="str" cm="1">
        <f t="array" ref="P1509">_xlfn.IFS(orders[[#This Row],[Quantity]]&lt;=5,"1 to 5",orders[[#This Row],[Quantity]]&lt;=10,"6 to 10",orders[[#This Row],[Quantity]]&lt;=16,"11 to 16",orders[[#This Row],[Quantity]]&gt;16,"Above 16")</f>
        <v>1 to 5</v>
      </c>
    </row>
    <row r="1510" spans="1:16"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c r="P1510" t="str" cm="1">
        <f t="array" ref="P1510">_xlfn.IFS(orders[[#This Row],[Quantity]]&lt;=5,"1 to 5",orders[[#This Row],[Quantity]]&lt;=10,"6 to 10",orders[[#This Row],[Quantity]]&lt;=16,"11 to 16",orders[[#This Row],[Quantity]]&gt;16,"Above 16")</f>
        <v>1 to 5</v>
      </c>
    </row>
    <row r="1511" spans="1:16"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c r="P1511" t="str" cm="1">
        <f t="array" ref="P1511">_xlfn.IFS(orders[[#This Row],[Quantity]]&lt;=5,"1 to 5",orders[[#This Row],[Quantity]]&lt;=10,"6 to 10",orders[[#This Row],[Quantity]]&lt;=16,"11 to 16",orders[[#This Row],[Quantity]]&gt;16,"Above 16")</f>
        <v>11 to 16</v>
      </c>
    </row>
    <row r="1512" spans="1:16"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c r="P1512" t="str" cm="1">
        <f t="array" ref="P1512">_xlfn.IFS(orders[[#This Row],[Quantity]]&lt;=5,"1 to 5",orders[[#This Row],[Quantity]]&lt;=10,"6 to 10",orders[[#This Row],[Quantity]]&lt;=16,"11 to 16",orders[[#This Row],[Quantity]]&gt;16,"Above 16")</f>
        <v>6 to 10</v>
      </c>
    </row>
    <row r="1513" spans="1:16"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c r="P1513" t="str" cm="1">
        <f t="array" ref="P1513">_xlfn.IFS(orders[[#This Row],[Quantity]]&lt;=5,"1 to 5",orders[[#This Row],[Quantity]]&lt;=10,"6 to 10",orders[[#This Row],[Quantity]]&lt;=16,"11 to 16",orders[[#This Row],[Quantity]]&gt;16,"Above 16")</f>
        <v>6 to 10</v>
      </c>
    </row>
    <row r="1514" spans="1:16"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c r="P1514" t="str" cm="1">
        <f t="array" ref="P1514">_xlfn.IFS(orders[[#This Row],[Quantity]]&lt;=5,"1 to 5",orders[[#This Row],[Quantity]]&lt;=10,"6 to 10",orders[[#This Row],[Quantity]]&lt;=16,"11 to 16",orders[[#This Row],[Quantity]]&gt;16,"Above 16")</f>
        <v>1 to 5</v>
      </c>
    </row>
    <row r="1515" spans="1:16"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c r="P1515" t="str" cm="1">
        <f t="array" ref="P1515">_xlfn.IFS(orders[[#This Row],[Quantity]]&lt;=5,"1 to 5",orders[[#This Row],[Quantity]]&lt;=10,"6 to 10",orders[[#This Row],[Quantity]]&lt;=16,"11 to 16",orders[[#This Row],[Quantity]]&gt;16,"Above 16")</f>
        <v>1 to 5</v>
      </c>
    </row>
    <row r="1516" spans="1:16"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c r="P1516" t="str" cm="1">
        <f t="array" ref="P1516">_xlfn.IFS(orders[[#This Row],[Quantity]]&lt;=5,"1 to 5",orders[[#This Row],[Quantity]]&lt;=10,"6 to 10",orders[[#This Row],[Quantity]]&lt;=16,"11 to 16",orders[[#This Row],[Quantity]]&gt;16,"Above 16")</f>
        <v>1 to 5</v>
      </c>
    </row>
    <row r="1517" spans="1:16"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c r="P1517" t="str" cm="1">
        <f t="array" ref="P1517">_xlfn.IFS(orders[[#This Row],[Quantity]]&lt;=5,"1 to 5",orders[[#This Row],[Quantity]]&lt;=10,"6 to 10",orders[[#This Row],[Quantity]]&lt;=16,"11 to 16",orders[[#This Row],[Quantity]]&gt;16,"Above 16")</f>
        <v>1 to 5</v>
      </c>
    </row>
    <row r="1518" spans="1:16"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c r="P1518" t="str" cm="1">
        <f t="array" ref="P1518">_xlfn.IFS(orders[[#This Row],[Quantity]]&lt;=5,"1 to 5",orders[[#This Row],[Quantity]]&lt;=10,"6 to 10",orders[[#This Row],[Quantity]]&lt;=16,"11 to 16",orders[[#This Row],[Quantity]]&gt;16,"Above 16")</f>
        <v>1 to 5</v>
      </c>
    </row>
    <row r="1519" spans="1:16"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c r="P1519" t="str" cm="1">
        <f t="array" ref="P1519">_xlfn.IFS(orders[[#This Row],[Quantity]]&lt;=5,"1 to 5",orders[[#This Row],[Quantity]]&lt;=10,"6 to 10",orders[[#This Row],[Quantity]]&lt;=16,"11 to 16",orders[[#This Row],[Quantity]]&gt;16,"Above 16")</f>
        <v>1 to 5</v>
      </c>
    </row>
    <row r="1520" spans="1:16"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c r="P1520" t="str" cm="1">
        <f t="array" ref="P1520">_xlfn.IFS(orders[[#This Row],[Quantity]]&lt;=5,"1 to 5",orders[[#This Row],[Quantity]]&lt;=10,"6 to 10",orders[[#This Row],[Quantity]]&lt;=16,"11 to 16",orders[[#This Row],[Quantity]]&gt;16,"Above 16")</f>
        <v>1 to 5</v>
      </c>
    </row>
    <row r="1521" spans="1:16"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c r="P1521" t="str" cm="1">
        <f t="array" ref="P1521">_xlfn.IFS(orders[[#This Row],[Quantity]]&lt;=5,"1 to 5",orders[[#This Row],[Quantity]]&lt;=10,"6 to 10",orders[[#This Row],[Quantity]]&lt;=16,"11 to 16",orders[[#This Row],[Quantity]]&gt;16,"Above 16")</f>
        <v>Above 16</v>
      </c>
    </row>
    <row r="1522" spans="1:16"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c r="P1522" t="str" cm="1">
        <f t="array" ref="P1522">_xlfn.IFS(orders[[#This Row],[Quantity]]&lt;=5,"1 to 5",orders[[#This Row],[Quantity]]&lt;=10,"6 to 10",orders[[#This Row],[Quantity]]&lt;=16,"11 to 16",orders[[#This Row],[Quantity]]&gt;16,"Above 16")</f>
        <v>1 to 5</v>
      </c>
    </row>
    <row r="1523" spans="1:16"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c r="P1523" t="str" cm="1">
        <f t="array" ref="P1523">_xlfn.IFS(orders[[#This Row],[Quantity]]&lt;=5,"1 to 5",orders[[#This Row],[Quantity]]&lt;=10,"6 to 10",orders[[#This Row],[Quantity]]&lt;=16,"11 to 16",orders[[#This Row],[Quantity]]&gt;16,"Above 16")</f>
        <v>1 to 5</v>
      </c>
    </row>
    <row r="1524" spans="1:16"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c r="P1524" t="str" cm="1">
        <f t="array" ref="P1524">_xlfn.IFS(orders[[#This Row],[Quantity]]&lt;=5,"1 to 5",orders[[#This Row],[Quantity]]&lt;=10,"6 to 10",orders[[#This Row],[Quantity]]&lt;=16,"11 to 16",orders[[#This Row],[Quantity]]&gt;16,"Above 16")</f>
        <v>1 to 5</v>
      </c>
    </row>
    <row r="1525" spans="1:16"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c r="P1525" t="str" cm="1">
        <f t="array" ref="P1525">_xlfn.IFS(orders[[#This Row],[Quantity]]&lt;=5,"1 to 5",orders[[#This Row],[Quantity]]&lt;=10,"6 to 10",orders[[#This Row],[Quantity]]&lt;=16,"11 to 16",orders[[#This Row],[Quantity]]&gt;16,"Above 16")</f>
        <v>6 to 10</v>
      </c>
    </row>
    <row r="1526" spans="1:16"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c r="P1526" t="str" cm="1">
        <f t="array" ref="P1526">_xlfn.IFS(orders[[#This Row],[Quantity]]&lt;=5,"1 to 5",orders[[#This Row],[Quantity]]&lt;=10,"6 to 10",orders[[#This Row],[Quantity]]&lt;=16,"11 to 16",orders[[#This Row],[Quantity]]&gt;16,"Above 16")</f>
        <v>Above 16</v>
      </c>
    </row>
    <row r="1527" spans="1:16"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c r="P1527" t="str" cm="1">
        <f t="array" ref="P1527">_xlfn.IFS(orders[[#This Row],[Quantity]]&lt;=5,"1 to 5",orders[[#This Row],[Quantity]]&lt;=10,"6 to 10",orders[[#This Row],[Quantity]]&lt;=16,"11 to 16",orders[[#This Row],[Quantity]]&gt;16,"Above 16")</f>
        <v>1 to 5</v>
      </c>
    </row>
    <row r="1528" spans="1:16"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c r="P1528" t="str" cm="1">
        <f t="array" ref="P1528">_xlfn.IFS(orders[[#This Row],[Quantity]]&lt;=5,"1 to 5",orders[[#This Row],[Quantity]]&lt;=10,"6 to 10",orders[[#This Row],[Quantity]]&lt;=16,"11 to 16",orders[[#This Row],[Quantity]]&gt;16,"Above 16")</f>
        <v>1 to 5</v>
      </c>
    </row>
    <row r="1529" spans="1:16"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c r="P1529" t="str" cm="1">
        <f t="array" ref="P1529">_xlfn.IFS(orders[[#This Row],[Quantity]]&lt;=5,"1 to 5",orders[[#This Row],[Quantity]]&lt;=10,"6 to 10",orders[[#This Row],[Quantity]]&lt;=16,"11 to 16",orders[[#This Row],[Quantity]]&gt;16,"Above 16")</f>
        <v>1 to 5</v>
      </c>
    </row>
    <row r="1530" spans="1:16"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c r="P1530" t="str" cm="1">
        <f t="array" ref="P1530">_xlfn.IFS(orders[[#This Row],[Quantity]]&lt;=5,"1 to 5",orders[[#This Row],[Quantity]]&lt;=10,"6 to 10",orders[[#This Row],[Quantity]]&lt;=16,"11 to 16",orders[[#This Row],[Quantity]]&gt;16,"Above 16")</f>
        <v>1 to 5</v>
      </c>
    </row>
    <row r="1531" spans="1:16"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c r="P1531" t="str" cm="1">
        <f t="array" ref="P1531">_xlfn.IFS(orders[[#This Row],[Quantity]]&lt;=5,"1 to 5",orders[[#This Row],[Quantity]]&lt;=10,"6 to 10",orders[[#This Row],[Quantity]]&lt;=16,"11 to 16",orders[[#This Row],[Quantity]]&gt;16,"Above 16")</f>
        <v>6 to 10</v>
      </c>
    </row>
    <row r="1532" spans="1:16"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c r="P1532" t="str" cm="1">
        <f t="array" ref="P1532">_xlfn.IFS(orders[[#This Row],[Quantity]]&lt;=5,"1 to 5",orders[[#This Row],[Quantity]]&lt;=10,"6 to 10",orders[[#This Row],[Quantity]]&lt;=16,"11 to 16",orders[[#This Row],[Quantity]]&gt;16,"Above 16")</f>
        <v>1 to 5</v>
      </c>
    </row>
    <row r="1533" spans="1:16"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c r="P1533" t="str" cm="1">
        <f t="array" ref="P1533">_xlfn.IFS(orders[[#This Row],[Quantity]]&lt;=5,"1 to 5",orders[[#This Row],[Quantity]]&lt;=10,"6 to 10",orders[[#This Row],[Quantity]]&lt;=16,"11 to 16",orders[[#This Row],[Quantity]]&gt;16,"Above 16")</f>
        <v>1 to 5</v>
      </c>
    </row>
    <row r="1534" spans="1:16"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c r="P1534" t="str" cm="1">
        <f t="array" ref="P1534">_xlfn.IFS(orders[[#This Row],[Quantity]]&lt;=5,"1 to 5",orders[[#This Row],[Quantity]]&lt;=10,"6 to 10",orders[[#This Row],[Quantity]]&lt;=16,"11 to 16",orders[[#This Row],[Quantity]]&gt;16,"Above 16")</f>
        <v>6 to 10</v>
      </c>
    </row>
    <row r="1535" spans="1:16"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c r="P1535" t="str" cm="1">
        <f t="array" ref="P1535">_xlfn.IFS(orders[[#This Row],[Quantity]]&lt;=5,"1 to 5",orders[[#This Row],[Quantity]]&lt;=10,"6 to 10",orders[[#This Row],[Quantity]]&lt;=16,"11 to 16",orders[[#This Row],[Quantity]]&gt;16,"Above 16")</f>
        <v>1 to 5</v>
      </c>
    </row>
    <row r="1536" spans="1:16"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c r="P1536" t="str" cm="1">
        <f t="array" ref="P1536">_xlfn.IFS(orders[[#This Row],[Quantity]]&lt;=5,"1 to 5",orders[[#This Row],[Quantity]]&lt;=10,"6 to 10",orders[[#This Row],[Quantity]]&lt;=16,"11 to 16",orders[[#This Row],[Quantity]]&gt;16,"Above 16")</f>
        <v>1 to 5</v>
      </c>
    </row>
    <row r="1537" spans="1:16"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c r="P1537" t="str" cm="1">
        <f t="array" ref="P1537">_xlfn.IFS(orders[[#This Row],[Quantity]]&lt;=5,"1 to 5",orders[[#This Row],[Quantity]]&lt;=10,"6 to 10",orders[[#This Row],[Quantity]]&lt;=16,"11 to 16",orders[[#This Row],[Quantity]]&gt;16,"Above 16")</f>
        <v>1 to 5</v>
      </c>
    </row>
    <row r="1538" spans="1:16"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c r="P1538" t="str" cm="1">
        <f t="array" ref="P1538">_xlfn.IFS(orders[[#This Row],[Quantity]]&lt;=5,"1 to 5",orders[[#This Row],[Quantity]]&lt;=10,"6 to 10",orders[[#This Row],[Quantity]]&lt;=16,"11 to 16",orders[[#This Row],[Quantity]]&gt;16,"Above 16")</f>
        <v>1 to 5</v>
      </c>
    </row>
    <row r="1539" spans="1:16"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c r="P1539" t="str" cm="1">
        <f t="array" ref="P1539">_xlfn.IFS(orders[[#This Row],[Quantity]]&lt;=5,"1 to 5",orders[[#This Row],[Quantity]]&lt;=10,"6 to 10",orders[[#This Row],[Quantity]]&lt;=16,"11 to 16",orders[[#This Row],[Quantity]]&gt;16,"Above 16")</f>
        <v>6 to 10</v>
      </c>
    </row>
    <row r="1540" spans="1:16"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c r="P1540" t="str" cm="1">
        <f t="array" ref="P1540">_xlfn.IFS(orders[[#This Row],[Quantity]]&lt;=5,"1 to 5",orders[[#This Row],[Quantity]]&lt;=10,"6 to 10",orders[[#This Row],[Quantity]]&lt;=16,"11 to 16",orders[[#This Row],[Quantity]]&gt;16,"Above 16")</f>
        <v>1 to 5</v>
      </c>
    </row>
    <row r="1541" spans="1:16"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c r="P1541" t="str" cm="1">
        <f t="array" ref="P1541">_xlfn.IFS(orders[[#This Row],[Quantity]]&lt;=5,"1 to 5",orders[[#This Row],[Quantity]]&lt;=10,"6 to 10",orders[[#This Row],[Quantity]]&lt;=16,"11 to 16",orders[[#This Row],[Quantity]]&gt;16,"Above 16")</f>
        <v>1 to 5</v>
      </c>
    </row>
    <row r="1542" spans="1:16"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c r="P1542" t="str" cm="1">
        <f t="array" ref="P1542">_xlfn.IFS(orders[[#This Row],[Quantity]]&lt;=5,"1 to 5",orders[[#This Row],[Quantity]]&lt;=10,"6 to 10",orders[[#This Row],[Quantity]]&lt;=16,"11 to 16",orders[[#This Row],[Quantity]]&gt;16,"Above 16")</f>
        <v>1 to 5</v>
      </c>
    </row>
    <row r="1543" spans="1:16"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c r="P1543" t="str" cm="1">
        <f t="array" ref="P1543">_xlfn.IFS(orders[[#This Row],[Quantity]]&lt;=5,"1 to 5",orders[[#This Row],[Quantity]]&lt;=10,"6 to 10",orders[[#This Row],[Quantity]]&lt;=16,"11 to 16",orders[[#This Row],[Quantity]]&gt;16,"Above 16")</f>
        <v>1 to 5</v>
      </c>
    </row>
    <row r="1544" spans="1:16"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c r="P1544" t="str" cm="1">
        <f t="array" ref="P1544">_xlfn.IFS(orders[[#This Row],[Quantity]]&lt;=5,"1 to 5",orders[[#This Row],[Quantity]]&lt;=10,"6 to 10",orders[[#This Row],[Quantity]]&lt;=16,"11 to 16",orders[[#This Row],[Quantity]]&gt;16,"Above 16")</f>
        <v>1 to 5</v>
      </c>
    </row>
    <row r="1545" spans="1:16"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c r="P1545" t="str" cm="1">
        <f t="array" ref="P1545">_xlfn.IFS(orders[[#This Row],[Quantity]]&lt;=5,"1 to 5",orders[[#This Row],[Quantity]]&lt;=10,"6 to 10",orders[[#This Row],[Quantity]]&lt;=16,"11 to 16",orders[[#This Row],[Quantity]]&gt;16,"Above 16")</f>
        <v>1 to 5</v>
      </c>
    </row>
    <row r="1546" spans="1:16"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c r="P1546" t="str" cm="1">
        <f t="array" ref="P1546">_xlfn.IFS(orders[[#This Row],[Quantity]]&lt;=5,"1 to 5",orders[[#This Row],[Quantity]]&lt;=10,"6 to 10",orders[[#This Row],[Quantity]]&lt;=16,"11 to 16",orders[[#This Row],[Quantity]]&gt;16,"Above 16")</f>
        <v>1 to 5</v>
      </c>
    </row>
    <row r="1547" spans="1:16"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c r="P1547" t="str" cm="1">
        <f t="array" ref="P1547">_xlfn.IFS(orders[[#This Row],[Quantity]]&lt;=5,"1 to 5",orders[[#This Row],[Quantity]]&lt;=10,"6 to 10",orders[[#This Row],[Quantity]]&lt;=16,"11 to 16",orders[[#This Row],[Quantity]]&gt;16,"Above 16")</f>
        <v>1 to 5</v>
      </c>
    </row>
    <row r="1548" spans="1:16"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c r="P1548" t="str" cm="1">
        <f t="array" ref="P1548">_xlfn.IFS(orders[[#This Row],[Quantity]]&lt;=5,"1 to 5",orders[[#This Row],[Quantity]]&lt;=10,"6 to 10",orders[[#This Row],[Quantity]]&lt;=16,"11 to 16",orders[[#This Row],[Quantity]]&gt;16,"Above 16")</f>
        <v>11 to 16</v>
      </c>
    </row>
    <row r="1549" spans="1:16"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c r="P1549" t="str" cm="1">
        <f t="array" ref="P1549">_xlfn.IFS(orders[[#This Row],[Quantity]]&lt;=5,"1 to 5",orders[[#This Row],[Quantity]]&lt;=10,"6 to 10",orders[[#This Row],[Quantity]]&lt;=16,"11 to 16",orders[[#This Row],[Quantity]]&gt;16,"Above 16")</f>
        <v>1 to 5</v>
      </c>
    </row>
    <row r="1550" spans="1:16"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c r="P1550" t="str" cm="1">
        <f t="array" ref="P1550">_xlfn.IFS(orders[[#This Row],[Quantity]]&lt;=5,"1 to 5",orders[[#This Row],[Quantity]]&lt;=10,"6 to 10",orders[[#This Row],[Quantity]]&lt;=16,"11 to 16",orders[[#This Row],[Quantity]]&gt;16,"Above 16")</f>
        <v>1 to 5</v>
      </c>
    </row>
    <row r="1551" spans="1:16"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c r="P1551" t="str" cm="1">
        <f t="array" ref="P1551">_xlfn.IFS(orders[[#This Row],[Quantity]]&lt;=5,"1 to 5",orders[[#This Row],[Quantity]]&lt;=10,"6 to 10",orders[[#This Row],[Quantity]]&lt;=16,"11 to 16",orders[[#This Row],[Quantity]]&gt;16,"Above 16")</f>
        <v>1 to 5</v>
      </c>
    </row>
    <row r="1552" spans="1:16"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c r="P1552" t="str" cm="1">
        <f t="array" ref="P1552">_xlfn.IFS(orders[[#This Row],[Quantity]]&lt;=5,"1 to 5",orders[[#This Row],[Quantity]]&lt;=10,"6 to 10",orders[[#This Row],[Quantity]]&lt;=16,"11 to 16",orders[[#This Row],[Quantity]]&gt;16,"Above 16")</f>
        <v>1 to 5</v>
      </c>
    </row>
    <row r="1553" spans="1:16"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c r="P1553" t="str" cm="1">
        <f t="array" ref="P1553">_xlfn.IFS(orders[[#This Row],[Quantity]]&lt;=5,"1 to 5",orders[[#This Row],[Quantity]]&lt;=10,"6 to 10",orders[[#This Row],[Quantity]]&lt;=16,"11 to 16",orders[[#This Row],[Quantity]]&gt;16,"Above 16")</f>
        <v>Above 16</v>
      </c>
    </row>
    <row r="1554" spans="1:16"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c r="P1554" t="str" cm="1">
        <f t="array" ref="P1554">_xlfn.IFS(orders[[#This Row],[Quantity]]&lt;=5,"1 to 5",orders[[#This Row],[Quantity]]&lt;=10,"6 to 10",orders[[#This Row],[Quantity]]&lt;=16,"11 to 16",orders[[#This Row],[Quantity]]&gt;16,"Above 16")</f>
        <v>1 to 5</v>
      </c>
    </row>
    <row r="1555" spans="1:16"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c r="P1555" t="str" cm="1">
        <f t="array" ref="P1555">_xlfn.IFS(orders[[#This Row],[Quantity]]&lt;=5,"1 to 5",orders[[#This Row],[Quantity]]&lt;=10,"6 to 10",orders[[#This Row],[Quantity]]&lt;=16,"11 to 16",orders[[#This Row],[Quantity]]&gt;16,"Above 16")</f>
        <v>1 to 5</v>
      </c>
    </row>
    <row r="1556" spans="1:16"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c r="P1556" t="str" cm="1">
        <f t="array" ref="P1556">_xlfn.IFS(orders[[#This Row],[Quantity]]&lt;=5,"1 to 5",orders[[#This Row],[Quantity]]&lt;=10,"6 to 10",orders[[#This Row],[Quantity]]&lt;=16,"11 to 16",orders[[#This Row],[Quantity]]&gt;16,"Above 16")</f>
        <v>6 to 10</v>
      </c>
    </row>
    <row r="1557" spans="1:16"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c r="P1557" t="str" cm="1">
        <f t="array" ref="P1557">_xlfn.IFS(orders[[#This Row],[Quantity]]&lt;=5,"1 to 5",orders[[#This Row],[Quantity]]&lt;=10,"6 to 10",orders[[#This Row],[Quantity]]&lt;=16,"11 to 16",orders[[#This Row],[Quantity]]&gt;16,"Above 16")</f>
        <v>11 to 16</v>
      </c>
    </row>
    <row r="1558" spans="1:16"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c r="P1558" t="str" cm="1">
        <f t="array" ref="P1558">_xlfn.IFS(orders[[#This Row],[Quantity]]&lt;=5,"1 to 5",orders[[#This Row],[Quantity]]&lt;=10,"6 to 10",orders[[#This Row],[Quantity]]&lt;=16,"11 to 16",orders[[#This Row],[Quantity]]&gt;16,"Above 16")</f>
        <v>1 to 5</v>
      </c>
    </row>
    <row r="1559" spans="1:16"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c r="P1559" t="str" cm="1">
        <f t="array" ref="P1559">_xlfn.IFS(orders[[#This Row],[Quantity]]&lt;=5,"1 to 5",orders[[#This Row],[Quantity]]&lt;=10,"6 to 10",orders[[#This Row],[Quantity]]&lt;=16,"11 to 16",orders[[#This Row],[Quantity]]&gt;16,"Above 16")</f>
        <v>6 to 10</v>
      </c>
    </row>
    <row r="1560" spans="1:16"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c r="P1560" t="str" cm="1">
        <f t="array" ref="P1560">_xlfn.IFS(orders[[#This Row],[Quantity]]&lt;=5,"1 to 5",orders[[#This Row],[Quantity]]&lt;=10,"6 to 10",orders[[#This Row],[Quantity]]&lt;=16,"11 to 16",orders[[#This Row],[Quantity]]&gt;16,"Above 16")</f>
        <v>6 to 10</v>
      </c>
    </row>
    <row r="1561" spans="1:16"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c r="P1561" t="str" cm="1">
        <f t="array" ref="P1561">_xlfn.IFS(orders[[#This Row],[Quantity]]&lt;=5,"1 to 5",orders[[#This Row],[Quantity]]&lt;=10,"6 to 10",orders[[#This Row],[Quantity]]&lt;=16,"11 to 16",orders[[#This Row],[Quantity]]&gt;16,"Above 16")</f>
        <v>1 to 5</v>
      </c>
    </row>
    <row r="1562" spans="1:16"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c r="P1562" t="str" cm="1">
        <f t="array" ref="P1562">_xlfn.IFS(orders[[#This Row],[Quantity]]&lt;=5,"1 to 5",orders[[#This Row],[Quantity]]&lt;=10,"6 to 10",orders[[#This Row],[Quantity]]&lt;=16,"11 to 16",orders[[#This Row],[Quantity]]&gt;16,"Above 16")</f>
        <v>1 to 5</v>
      </c>
    </row>
    <row r="1563" spans="1:16"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c r="P1563" t="str" cm="1">
        <f t="array" ref="P1563">_xlfn.IFS(orders[[#This Row],[Quantity]]&lt;=5,"1 to 5",orders[[#This Row],[Quantity]]&lt;=10,"6 to 10",orders[[#This Row],[Quantity]]&lt;=16,"11 to 16",orders[[#This Row],[Quantity]]&gt;16,"Above 16")</f>
        <v>1 to 5</v>
      </c>
    </row>
    <row r="1564" spans="1:16"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c r="P1564" t="str" cm="1">
        <f t="array" ref="P1564">_xlfn.IFS(orders[[#This Row],[Quantity]]&lt;=5,"1 to 5",orders[[#This Row],[Quantity]]&lt;=10,"6 to 10",orders[[#This Row],[Quantity]]&lt;=16,"11 to 16",orders[[#This Row],[Quantity]]&gt;16,"Above 16")</f>
        <v>6 to 10</v>
      </c>
    </row>
    <row r="1565" spans="1:16"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c r="P1565" t="str" cm="1">
        <f t="array" ref="P1565">_xlfn.IFS(orders[[#This Row],[Quantity]]&lt;=5,"1 to 5",orders[[#This Row],[Quantity]]&lt;=10,"6 to 10",orders[[#This Row],[Quantity]]&lt;=16,"11 to 16",orders[[#This Row],[Quantity]]&gt;16,"Above 16")</f>
        <v>1 to 5</v>
      </c>
    </row>
    <row r="1566" spans="1:16"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c r="P1566" t="str" cm="1">
        <f t="array" ref="P1566">_xlfn.IFS(orders[[#This Row],[Quantity]]&lt;=5,"1 to 5",orders[[#This Row],[Quantity]]&lt;=10,"6 to 10",orders[[#This Row],[Quantity]]&lt;=16,"11 to 16",orders[[#This Row],[Quantity]]&gt;16,"Above 16")</f>
        <v>1 to 5</v>
      </c>
    </row>
    <row r="1567" spans="1:16"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c r="P1567" t="str" cm="1">
        <f t="array" ref="P1567">_xlfn.IFS(orders[[#This Row],[Quantity]]&lt;=5,"1 to 5",orders[[#This Row],[Quantity]]&lt;=10,"6 to 10",orders[[#This Row],[Quantity]]&lt;=16,"11 to 16",orders[[#This Row],[Quantity]]&gt;16,"Above 16")</f>
        <v>6 to 10</v>
      </c>
    </row>
    <row r="1568" spans="1:16"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c r="P1568" t="str" cm="1">
        <f t="array" ref="P1568">_xlfn.IFS(orders[[#This Row],[Quantity]]&lt;=5,"1 to 5",orders[[#This Row],[Quantity]]&lt;=10,"6 to 10",orders[[#This Row],[Quantity]]&lt;=16,"11 to 16",orders[[#This Row],[Quantity]]&gt;16,"Above 16")</f>
        <v>1 to 5</v>
      </c>
    </row>
    <row r="1569" spans="1:16"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c r="P1569" t="str" cm="1">
        <f t="array" ref="P1569">_xlfn.IFS(orders[[#This Row],[Quantity]]&lt;=5,"1 to 5",orders[[#This Row],[Quantity]]&lt;=10,"6 to 10",orders[[#This Row],[Quantity]]&lt;=16,"11 to 16",orders[[#This Row],[Quantity]]&gt;16,"Above 16")</f>
        <v>1 to 5</v>
      </c>
    </row>
    <row r="1570" spans="1:16"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c r="P1570" t="str" cm="1">
        <f t="array" ref="P1570">_xlfn.IFS(orders[[#This Row],[Quantity]]&lt;=5,"1 to 5",orders[[#This Row],[Quantity]]&lt;=10,"6 to 10",orders[[#This Row],[Quantity]]&lt;=16,"11 to 16",orders[[#This Row],[Quantity]]&gt;16,"Above 16")</f>
        <v>1 to 5</v>
      </c>
    </row>
    <row r="1571" spans="1:16"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c r="P1571" t="str" cm="1">
        <f t="array" ref="P1571">_xlfn.IFS(orders[[#This Row],[Quantity]]&lt;=5,"1 to 5",orders[[#This Row],[Quantity]]&lt;=10,"6 to 10",orders[[#This Row],[Quantity]]&lt;=16,"11 to 16",orders[[#This Row],[Quantity]]&gt;16,"Above 16")</f>
        <v>1 to 5</v>
      </c>
    </row>
    <row r="1572" spans="1:16"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c r="P1572" t="str" cm="1">
        <f t="array" ref="P1572">_xlfn.IFS(orders[[#This Row],[Quantity]]&lt;=5,"1 to 5",orders[[#This Row],[Quantity]]&lt;=10,"6 to 10",orders[[#This Row],[Quantity]]&lt;=16,"11 to 16",orders[[#This Row],[Quantity]]&gt;16,"Above 16")</f>
        <v>1 to 5</v>
      </c>
    </row>
    <row r="1573" spans="1:16"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c r="P1573" t="str" cm="1">
        <f t="array" ref="P1573">_xlfn.IFS(orders[[#This Row],[Quantity]]&lt;=5,"1 to 5",orders[[#This Row],[Quantity]]&lt;=10,"6 to 10",orders[[#This Row],[Quantity]]&lt;=16,"11 to 16",orders[[#This Row],[Quantity]]&gt;16,"Above 16")</f>
        <v>1 to 5</v>
      </c>
    </row>
    <row r="1574" spans="1:16"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c r="P1574" t="str" cm="1">
        <f t="array" ref="P1574">_xlfn.IFS(orders[[#This Row],[Quantity]]&lt;=5,"1 to 5",orders[[#This Row],[Quantity]]&lt;=10,"6 to 10",orders[[#This Row],[Quantity]]&lt;=16,"11 to 16",orders[[#This Row],[Quantity]]&gt;16,"Above 16")</f>
        <v>1 to 5</v>
      </c>
    </row>
    <row r="1575" spans="1:16"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c r="P1575" t="str" cm="1">
        <f t="array" ref="P1575">_xlfn.IFS(orders[[#This Row],[Quantity]]&lt;=5,"1 to 5",orders[[#This Row],[Quantity]]&lt;=10,"6 to 10",orders[[#This Row],[Quantity]]&lt;=16,"11 to 16",orders[[#This Row],[Quantity]]&gt;16,"Above 16")</f>
        <v>1 to 5</v>
      </c>
    </row>
    <row r="1576" spans="1:16"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c r="P1576" t="str" cm="1">
        <f t="array" ref="P1576">_xlfn.IFS(orders[[#This Row],[Quantity]]&lt;=5,"1 to 5",orders[[#This Row],[Quantity]]&lt;=10,"6 to 10",orders[[#This Row],[Quantity]]&lt;=16,"11 to 16",orders[[#This Row],[Quantity]]&gt;16,"Above 16")</f>
        <v>1 to 5</v>
      </c>
    </row>
    <row r="1577" spans="1:16"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c r="P1577" t="str" cm="1">
        <f t="array" ref="P1577">_xlfn.IFS(orders[[#This Row],[Quantity]]&lt;=5,"1 to 5",orders[[#This Row],[Quantity]]&lt;=10,"6 to 10",orders[[#This Row],[Quantity]]&lt;=16,"11 to 16",orders[[#This Row],[Quantity]]&gt;16,"Above 16")</f>
        <v>1 to 5</v>
      </c>
    </row>
    <row r="1578" spans="1:16"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c r="P1578" t="str" cm="1">
        <f t="array" ref="P1578">_xlfn.IFS(orders[[#This Row],[Quantity]]&lt;=5,"1 to 5",orders[[#This Row],[Quantity]]&lt;=10,"6 to 10",orders[[#This Row],[Quantity]]&lt;=16,"11 to 16",orders[[#This Row],[Quantity]]&gt;16,"Above 16")</f>
        <v>1 to 5</v>
      </c>
    </row>
    <row r="1579" spans="1:16"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c r="P1579" t="str" cm="1">
        <f t="array" ref="P1579">_xlfn.IFS(orders[[#This Row],[Quantity]]&lt;=5,"1 to 5",orders[[#This Row],[Quantity]]&lt;=10,"6 to 10",orders[[#This Row],[Quantity]]&lt;=16,"11 to 16",orders[[#This Row],[Quantity]]&gt;16,"Above 16")</f>
        <v>1 to 5</v>
      </c>
    </row>
    <row r="1580" spans="1:16"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c r="P1580" t="str" cm="1">
        <f t="array" ref="P1580">_xlfn.IFS(orders[[#This Row],[Quantity]]&lt;=5,"1 to 5",orders[[#This Row],[Quantity]]&lt;=10,"6 to 10",orders[[#This Row],[Quantity]]&lt;=16,"11 to 16",orders[[#This Row],[Quantity]]&gt;16,"Above 16")</f>
        <v>1 to 5</v>
      </c>
    </row>
    <row r="1581" spans="1:16"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c r="P1581" t="str" cm="1">
        <f t="array" ref="P1581">_xlfn.IFS(orders[[#This Row],[Quantity]]&lt;=5,"1 to 5",orders[[#This Row],[Quantity]]&lt;=10,"6 to 10",orders[[#This Row],[Quantity]]&lt;=16,"11 to 16",orders[[#This Row],[Quantity]]&gt;16,"Above 16")</f>
        <v>6 to 10</v>
      </c>
    </row>
    <row r="1582" spans="1:16"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c r="P1582" t="str" cm="1">
        <f t="array" ref="P1582">_xlfn.IFS(orders[[#This Row],[Quantity]]&lt;=5,"1 to 5",orders[[#This Row],[Quantity]]&lt;=10,"6 to 10",orders[[#This Row],[Quantity]]&lt;=16,"11 to 16",orders[[#This Row],[Quantity]]&gt;16,"Above 16")</f>
        <v>1 to 5</v>
      </c>
    </row>
    <row r="1583" spans="1:16"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c r="P1583" t="str" cm="1">
        <f t="array" ref="P1583">_xlfn.IFS(orders[[#This Row],[Quantity]]&lt;=5,"1 to 5",orders[[#This Row],[Quantity]]&lt;=10,"6 to 10",orders[[#This Row],[Quantity]]&lt;=16,"11 to 16",orders[[#This Row],[Quantity]]&gt;16,"Above 16")</f>
        <v>1 to 5</v>
      </c>
    </row>
    <row r="1584" spans="1:16"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c r="P1584" t="str" cm="1">
        <f t="array" ref="P1584">_xlfn.IFS(orders[[#This Row],[Quantity]]&lt;=5,"1 to 5",orders[[#This Row],[Quantity]]&lt;=10,"6 to 10",orders[[#This Row],[Quantity]]&lt;=16,"11 to 16",orders[[#This Row],[Quantity]]&gt;16,"Above 16")</f>
        <v>1 to 5</v>
      </c>
    </row>
    <row r="1585" spans="1:16"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c r="P1585" t="str" cm="1">
        <f t="array" ref="P1585">_xlfn.IFS(orders[[#This Row],[Quantity]]&lt;=5,"1 to 5",orders[[#This Row],[Quantity]]&lt;=10,"6 to 10",orders[[#This Row],[Quantity]]&lt;=16,"11 to 16",orders[[#This Row],[Quantity]]&gt;16,"Above 16")</f>
        <v>1 to 5</v>
      </c>
    </row>
    <row r="1586" spans="1:16"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c r="P1586" t="str" cm="1">
        <f t="array" ref="P1586">_xlfn.IFS(orders[[#This Row],[Quantity]]&lt;=5,"1 to 5",orders[[#This Row],[Quantity]]&lt;=10,"6 to 10",orders[[#This Row],[Quantity]]&lt;=16,"11 to 16",orders[[#This Row],[Quantity]]&gt;16,"Above 16")</f>
        <v>1 to 5</v>
      </c>
    </row>
    <row r="1587" spans="1:16"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c r="P1587" t="str" cm="1">
        <f t="array" ref="P1587">_xlfn.IFS(orders[[#This Row],[Quantity]]&lt;=5,"1 to 5",orders[[#This Row],[Quantity]]&lt;=10,"6 to 10",orders[[#This Row],[Quantity]]&lt;=16,"11 to 16",orders[[#This Row],[Quantity]]&gt;16,"Above 16")</f>
        <v>1 to 5</v>
      </c>
    </row>
    <row r="1588" spans="1:16"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c r="P1588" t="str" cm="1">
        <f t="array" ref="P1588">_xlfn.IFS(orders[[#This Row],[Quantity]]&lt;=5,"1 to 5",orders[[#This Row],[Quantity]]&lt;=10,"6 to 10",orders[[#This Row],[Quantity]]&lt;=16,"11 to 16",orders[[#This Row],[Quantity]]&gt;16,"Above 16")</f>
        <v>6 to 10</v>
      </c>
    </row>
    <row r="1589" spans="1:16"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c r="P1589" t="str" cm="1">
        <f t="array" ref="P1589">_xlfn.IFS(orders[[#This Row],[Quantity]]&lt;=5,"1 to 5",orders[[#This Row],[Quantity]]&lt;=10,"6 to 10",orders[[#This Row],[Quantity]]&lt;=16,"11 to 16",orders[[#This Row],[Quantity]]&gt;16,"Above 16")</f>
        <v>1 to 5</v>
      </c>
    </row>
    <row r="1590" spans="1:16"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c r="P1590" t="str" cm="1">
        <f t="array" ref="P1590">_xlfn.IFS(orders[[#This Row],[Quantity]]&lt;=5,"1 to 5",orders[[#This Row],[Quantity]]&lt;=10,"6 to 10",orders[[#This Row],[Quantity]]&lt;=16,"11 to 16",orders[[#This Row],[Quantity]]&gt;16,"Above 16")</f>
        <v>1 to 5</v>
      </c>
    </row>
    <row r="1591" spans="1:16"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c r="P1591" t="str" cm="1">
        <f t="array" ref="P1591">_xlfn.IFS(orders[[#This Row],[Quantity]]&lt;=5,"1 to 5",orders[[#This Row],[Quantity]]&lt;=10,"6 to 10",orders[[#This Row],[Quantity]]&lt;=16,"11 to 16",orders[[#This Row],[Quantity]]&gt;16,"Above 16")</f>
        <v>1 to 5</v>
      </c>
    </row>
    <row r="1592" spans="1:16"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c r="P1592" t="str" cm="1">
        <f t="array" ref="P1592">_xlfn.IFS(orders[[#This Row],[Quantity]]&lt;=5,"1 to 5",orders[[#This Row],[Quantity]]&lt;=10,"6 to 10",orders[[#This Row],[Quantity]]&lt;=16,"11 to 16",orders[[#This Row],[Quantity]]&gt;16,"Above 16")</f>
        <v>6 to 10</v>
      </c>
    </row>
    <row r="1593" spans="1:16"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c r="P1593" t="str" cm="1">
        <f t="array" ref="P1593">_xlfn.IFS(orders[[#This Row],[Quantity]]&lt;=5,"1 to 5",orders[[#This Row],[Quantity]]&lt;=10,"6 to 10",orders[[#This Row],[Quantity]]&lt;=16,"11 to 16",orders[[#This Row],[Quantity]]&gt;16,"Above 16")</f>
        <v>1 to 5</v>
      </c>
    </row>
    <row r="1594" spans="1:16"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c r="P1594" t="str" cm="1">
        <f t="array" ref="P1594">_xlfn.IFS(orders[[#This Row],[Quantity]]&lt;=5,"1 to 5",orders[[#This Row],[Quantity]]&lt;=10,"6 to 10",orders[[#This Row],[Quantity]]&lt;=16,"11 to 16",orders[[#This Row],[Quantity]]&gt;16,"Above 16")</f>
        <v>1 to 5</v>
      </c>
    </row>
    <row r="1595" spans="1:16"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c r="P1595" t="str" cm="1">
        <f t="array" ref="P1595">_xlfn.IFS(orders[[#This Row],[Quantity]]&lt;=5,"1 to 5",orders[[#This Row],[Quantity]]&lt;=10,"6 to 10",orders[[#This Row],[Quantity]]&lt;=16,"11 to 16",orders[[#This Row],[Quantity]]&gt;16,"Above 16")</f>
        <v>1 to 5</v>
      </c>
    </row>
    <row r="1596" spans="1:16"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c r="P1596" t="str" cm="1">
        <f t="array" ref="P1596">_xlfn.IFS(orders[[#This Row],[Quantity]]&lt;=5,"1 to 5",orders[[#This Row],[Quantity]]&lt;=10,"6 to 10",orders[[#This Row],[Quantity]]&lt;=16,"11 to 16",orders[[#This Row],[Quantity]]&gt;16,"Above 16")</f>
        <v>6 to 10</v>
      </c>
    </row>
    <row r="1597" spans="1:16"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c r="P1597" t="str" cm="1">
        <f t="array" ref="P1597">_xlfn.IFS(orders[[#This Row],[Quantity]]&lt;=5,"1 to 5",orders[[#This Row],[Quantity]]&lt;=10,"6 to 10",orders[[#This Row],[Quantity]]&lt;=16,"11 to 16",orders[[#This Row],[Quantity]]&gt;16,"Above 16")</f>
        <v>11 to 16</v>
      </c>
    </row>
    <row r="1598" spans="1:16"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c r="P1598" t="str" cm="1">
        <f t="array" ref="P1598">_xlfn.IFS(orders[[#This Row],[Quantity]]&lt;=5,"1 to 5",orders[[#This Row],[Quantity]]&lt;=10,"6 to 10",orders[[#This Row],[Quantity]]&lt;=16,"11 to 16",orders[[#This Row],[Quantity]]&gt;16,"Above 16")</f>
        <v>1 to 5</v>
      </c>
    </row>
    <row r="1599" spans="1:16"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c r="P1599" t="str" cm="1">
        <f t="array" ref="P1599">_xlfn.IFS(orders[[#This Row],[Quantity]]&lt;=5,"1 to 5",orders[[#This Row],[Quantity]]&lt;=10,"6 to 10",orders[[#This Row],[Quantity]]&lt;=16,"11 to 16",orders[[#This Row],[Quantity]]&gt;16,"Above 16")</f>
        <v>1 to 5</v>
      </c>
    </row>
    <row r="1600" spans="1:16"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c r="P1600" t="str" cm="1">
        <f t="array" ref="P1600">_xlfn.IFS(orders[[#This Row],[Quantity]]&lt;=5,"1 to 5",orders[[#This Row],[Quantity]]&lt;=10,"6 to 10",orders[[#This Row],[Quantity]]&lt;=16,"11 to 16",orders[[#This Row],[Quantity]]&gt;16,"Above 16")</f>
        <v>1 to 5</v>
      </c>
    </row>
    <row r="1601" spans="1:16"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c r="P1601" t="str" cm="1">
        <f t="array" ref="P1601">_xlfn.IFS(orders[[#This Row],[Quantity]]&lt;=5,"1 to 5",orders[[#This Row],[Quantity]]&lt;=10,"6 to 10",orders[[#This Row],[Quantity]]&lt;=16,"11 to 16",orders[[#This Row],[Quantity]]&gt;16,"Above 16")</f>
        <v>6 to 10</v>
      </c>
    </row>
    <row r="1602" spans="1:16"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c r="P1602" t="str" cm="1">
        <f t="array" ref="P1602">_xlfn.IFS(orders[[#This Row],[Quantity]]&lt;=5,"1 to 5",orders[[#This Row],[Quantity]]&lt;=10,"6 to 10",orders[[#This Row],[Quantity]]&lt;=16,"11 to 16",orders[[#This Row],[Quantity]]&gt;16,"Above 16")</f>
        <v>1 to 5</v>
      </c>
    </row>
    <row r="1603" spans="1:16"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c r="P1603" t="str" cm="1">
        <f t="array" ref="P1603">_xlfn.IFS(orders[[#This Row],[Quantity]]&lt;=5,"1 to 5",orders[[#This Row],[Quantity]]&lt;=10,"6 to 10",orders[[#This Row],[Quantity]]&lt;=16,"11 to 16",orders[[#This Row],[Quantity]]&gt;16,"Above 16")</f>
        <v>1 to 5</v>
      </c>
    </row>
    <row r="1604" spans="1:16"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c r="P1604" t="str" cm="1">
        <f t="array" ref="P1604">_xlfn.IFS(orders[[#This Row],[Quantity]]&lt;=5,"1 to 5",orders[[#This Row],[Quantity]]&lt;=10,"6 to 10",orders[[#This Row],[Quantity]]&lt;=16,"11 to 16",orders[[#This Row],[Quantity]]&gt;16,"Above 16")</f>
        <v>1 to 5</v>
      </c>
    </row>
    <row r="1605" spans="1:16"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c r="P1605" t="str" cm="1">
        <f t="array" ref="P1605">_xlfn.IFS(orders[[#This Row],[Quantity]]&lt;=5,"1 to 5",orders[[#This Row],[Quantity]]&lt;=10,"6 to 10",orders[[#This Row],[Quantity]]&lt;=16,"11 to 16",orders[[#This Row],[Quantity]]&gt;16,"Above 16")</f>
        <v>6 to 10</v>
      </c>
    </row>
    <row r="1606" spans="1:16"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c r="P1606" t="str" cm="1">
        <f t="array" ref="P1606">_xlfn.IFS(orders[[#This Row],[Quantity]]&lt;=5,"1 to 5",orders[[#This Row],[Quantity]]&lt;=10,"6 to 10",orders[[#This Row],[Quantity]]&lt;=16,"11 to 16",orders[[#This Row],[Quantity]]&gt;16,"Above 16")</f>
        <v>1 to 5</v>
      </c>
    </row>
    <row r="1607" spans="1:16"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c r="P1607" t="str" cm="1">
        <f t="array" ref="P1607">_xlfn.IFS(orders[[#This Row],[Quantity]]&lt;=5,"1 to 5",orders[[#This Row],[Quantity]]&lt;=10,"6 to 10",orders[[#This Row],[Quantity]]&lt;=16,"11 to 16",orders[[#This Row],[Quantity]]&gt;16,"Above 16")</f>
        <v>1 to 5</v>
      </c>
    </row>
    <row r="1608" spans="1:16"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c r="P1608" t="str" cm="1">
        <f t="array" ref="P1608">_xlfn.IFS(orders[[#This Row],[Quantity]]&lt;=5,"1 to 5",orders[[#This Row],[Quantity]]&lt;=10,"6 to 10",orders[[#This Row],[Quantity]]&lt;=16,"11 to 16",orders[[#This Row],[Quantity]]&gt;16,"Above 16")</f>
        <v>1 to 5</v>
      </c>
    </row>
    <row r="1609" spans="1:16"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c r="P1609" t="str" cm="1">
        <f t="array" ref="P1609">_xlfn.IFS(orders[[#This Row],[Quantity]]&lt;=5,"1 to 5",orders[[#This Row],[Quantity]]&lt;=10,"6 to 10",orders[[#This Row],[Quantity]]&lt;=16,"11 to 16",orders[[#This Row],[Quantity]]&gt;16,"Above 16")</f>
        <v>1 to 5</v>
      </c>
    </row>
    <row r="1610" spans="1:16"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c r="P1610" t="str" cm="1">
        <f t="array" ref="P1610">_xlfn.IFS(orders[[#This Row],[Quantity]]&lt;=5,"1 to 5",orders[[#This Row],[Quantity]]&lt;=10,"6 to 10",orders[[#This Row],[Quantity]]&lt;=16,"11 to 16",orders[[#This Row],[Quantity]]&gt;16,"Above 16")</f>
        <v>1 to 5</v>
      </c>
    </row>
    <row r="1611" spans="1:16"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c r="P1611" t="str" cm="1">
        <f t="array" ref="P1611">_xlfn.IFS(orders[[#This Row],[Quantity]]&lt;=5,"1 to 5",orders[[#This Row],[Quantity]]&lt;=10,"6 to 10",orders[[#This Row],[Quantity]]&lt;=16,"11 to 16",orders[[#This Row],[Quantity]]&gt;16,"Above 16")</f>
        <v>1 to 5</v>
      </c>
    </row>
    <row r="1612" spans="1:16"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c r="P1612" t="str" cm="1">
        <f t="array" ref="P1612">_xlfn.IFS(orders[[#This Row],[Quantity]]&lt;=5,"1 to 5",orders[[#This Row],[Quantity]]&lt;=10,"6 to 10",orders[[#This Row],[Quantity]]&lt;=16,"11 to 16",orders[[#This Row],[Quantity]]&gt;16,"Above 16")</f>
        <v>1 to 5</v>
      </c>
    </row>
    <row r="1613" spans="1:16"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c r="P1613" t="str" cm="1">
        <f t="array" ref="P1613">_xlfn.IFS(orders[[#This Row],[Quantity]]&lt;=5,"1 to 5",orders[[#This Row],[Quantity]]&lt;=10,"6 to 10",orders[[#This Row],[Quantity]]&lt;=16,"11 to 16",orders[[#This Row],[Quantity]]&gt;16,"Above 16")</f>
        <v>1 to 5</v>
      </c>
    </row>
    <row r="1614" spans="1:16"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c r="P1614" t="str" cm="1">
        <f t="array" ref="P1614">_xlfn.IFS(orders[[#This Row],[Quantity]]&lt;=5,"1 to 5",orders[[#This Row],[Quantity]]&lt;=10,"6 to 10",orders[[#This Row],[Quantity]]&lt;=16,"11 to 16",orders[[#This Row],[Quantity]]&gt;16,"Above 16")</f>
        <v>1 to 5</v>
      </c>
    </row>
    <row r="1615" spans="1:16"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c r="P1615" t="str" cm="1">
        <f t="array" ref="P1615">_xlfn.IFS(orders[[#This Row],[Quantity]]&lt;=5,"1 to 5",orders[[#This Row],[Quantity]]&lt;=10,"6 to 10",orders[[#This Row],[Quantity]]&lt;=16,"11 to 16",orders[[#This Row],[Quantity]]&gt;16,"Above 16")</f>
        <v>1 to 5</v>
      </c>
    </row>
    <row r="1616" spans="1:16"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c r="P1616" t="str" cm="1">
        <f t="array" ref="P1616">_xlfn.IFS(orders[[#This Row],[Quantity]]&lt;=5,"1 to 5",orders[[#This Row],[Quantity]]&lt;=10,"6 to 10",orders[[#This Row],[Quantity]]&lt;=16,"11 to 16",orders[[#This Row],[Quantity]]&gt;16,"Above 16")</f>
        <v>1 to 5</v>
      </c>
    </row>
    <row r="1617" spans="1:16"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c r="P1617" t="str" cm="1">
        <f t="array" ref="P1617">_xlfn.IFS(orders[[#This Row],[Quantity]]&lt;=5,"1 to 5",orders[[#This Row],[Quantity]]&lt;=10,"6 to 10",orders[[#This Row],[Quantity]]&lt;=16,"11 to 16",orders[[#This Row],[Quantity]]&gt;16,"Above 16")</f>
        <v>1 to 5</v>
      </c>
    </row>
    <row r="1618" spans="1:16"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c r="P1618" t="str" cm="1">
        <f t="array" ref="P1618">_xlfn.IFS(orders[[#This Row],[Quantity]]&lt;=5,"1 to 5",orders[[#This Row],[Quantity]]&lt;=10,"6 to 10",orders[[#This Row],[Quantity]]&lt;=16,"11 to 16",orders[[#This Row],[Quantity]]&gt;16,"Above 16")</f>
        <v>1 to 5</v>
      </c>
    </row>
    <row r="1619" spans="1:16"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c r="P1619" t="str" cm="1">
        <f t="array" ref="P1619">_xlfn.IFS(orders[[#This Row],[Quantity]]&lt;=5,"1 to 5",orders[[#This Row],[Quantity]]&lt;=10,"6 to 10",orders[[#This Row],[Quantity]]&lt;=16,"11 to 16",orders[[#This Row],[Quantity]]&gt;16,"Above 16")</f>
        <v>1 to 5</v>
      </c>
    </row>
    <row r="1620" spans="1:16"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c r="P1620" t="str" cm="1">
        <f t="array" ref="P1620">_xlfn.IFS(orders[[#This Row],[Quantity]]&lt;=5,"1 to 5",orders[[#This Row],[Quantity]]&lt;=10,"6 to 10",orders[[#This Row],[Quantity]]&lt;=16,"11 to 16",orders[[#This Row],[Quantity]]&gt;16,"Above 16")</f>
        <v>1 to 5</v>
      </c>
    </row>
    <row r="1621" spans="1:16"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c r="P1621" t="str" cm="1">
        <f t="array" ref="P1621">_xlfn.IFS(orders[[#This Row],[Quantity]]&lt;=5,"1 to 5",orders[[#This Row],[Quantity]]&lt;=10,"6 to 10",orders[[#This Row],[Quantity]]&lt;=16,"11 to 16",orders[[#This Row],[Quantity]]&gt;16,"Above 16")</f>
        <v>Above 16</v>
      </c>
    </row>
    <row r="1622" spans="1:16"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c r="P1622" t="str" cm="1">
        <f t="array" ref="P1622">_xlfn.IFS(orders[[#This Row],[Quantity]]&lt;=5,"1 to 5",orders[[#This Row],[Quantity]]&lt;=10,"6 to 10",orders[[#This Row],[Quantity]]&lt;=16,"11 to 16",orders[[#This Row],[Quantity]]&gt;16,"Above 16")</f>
        <v>6 to 10</v>
      </c>
    </row>
    <row r="1623" spans="1:16"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c r="P1623" t="str" cm="1">
        <f t="array" ref="P1623">_xlfn.IFS(orders[[#This Row],[Quantity]]&lt;=5,"1 to 5",orders[[#This Row],[Quantity]]&lt;=10,"6 to 10",orders[[#This Row],[Quantity]]&lt;=16,"11 to 16",orders[[#This Row],[Quantity]]&gt;16,"Above 16")</f>
        <v>1 to 5</v>
      </c>
    </row>
    <row r="1624" spans="1:16"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c r="P1624" t="str" cm="1">
        <f t="array" ref="P1624">_xlfn.IFS(orders[[#This Row],[Quantity]]&lt;=5,"1 to 5",orders[[#This Row],[Quantity]]&lt;=10,"6 to 10",orders[[#This Row],[Quantity]]&lt;=16,"11 to 16",orders[[#This Row],[Quantity]]&gt;16,"Above 16")</f>
        <v>1 to 5</v>
      </c>
    </row>
    <row r="1625" spans="1:16"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c r="P1625" t="str" cm="1">
        <f t="array" ref="P1625">_xlfn.IFS(orders[[#This Row],[Quantity]]&lt;=5,"1 to 5",orders[[#This Row],[Quantity]]&lt;=10,"6 to 10",orders[[#This Row],[Quantity]]&lt;=16,"11 to 16",orders[[#This Row],[Quantity]]&gt;16,"Above 16")</f>
        <v>6 to 10</v>
      </c>
    </row>
    <row r="1626" spans="1:16"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c r="P1626" t="str" cm="1">
        <f t="array" ref="P1626">_xlfn.IFS(orders[[#This Row],[Quantity]]&lt;=5,"1 to 5",orders[[#This Row],[Quantity]]&lt;=10,"6 to 10",orders[[#This Row],[Quantity]]&lt;=16,"11 to 16",orders[[#This Row],[Quantity]]&gt;16,"Above 16")</f>
        <v>11 to 16</v>
      </c>
    </row>
    <row r="1627" spans="1:16"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c r="P1627" t="str" cm="1">
        <f t="array" ref="P1627">_xlfn.IFS(orders[[#This Row],[Quantity]]&lt;=5,"1 to 5",orders[[#This Row],[Quantity]]&lt;=10,"6 to 10",orders[[#This Row],[Quantity]]&lt;=16,"11 to 16",orders[[#This Row],[Quantity]]&gt;16,"Above 16")</f>
        <v>1 to 5</v>
      </c>
    </row>
    <row r="1628" spans="1:16"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c r="P1628" t="str" cm="1">
        <f t="array" ref="P1628">_xlfn.IFS(orders[[#This Row],[Quantity]]&lt;=5,"1 to 5",orders[[#This Row],[Quantity]]&lt;=10,"6 to 10",orders[[#This Row],[Quantity]]&lt;=16,"11 to 16",orders[[#This Row],[Quantity]]&gt;16,"Above 16")</f>
        <v>1 to 5</v>
      </c>
    </row>
    <row r="1629" spans="1:16"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c r="P1629" t="str" cm="1">
        <f t="array" ref="P1629">_xlfn.IFS(orders[[#This Row],[Quantity]]&lt;=5,"1 to 5",orders[[#This Row],[Quantity]]&lt;=10,"6 to 10",orders[[#This Row],[Quantity]]&lt;=16,"11 to 16",orders[[#This Row],[Quantity]]&gt;16,"Above 16")</f>
        <v>6 to 10</v>
      </c>
    </row>
    <row r="1630" spans="1:16"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c r="P1630" t="str" cm="1">
        <f t="array" ref="P1630">_xlfn.IFS(orders[[#This Row],[Quantity]]&lt;=5,"1 to 5",orders[[#This Row],[Quantity]]&lt;=10,"6 to 10",orders[[#This Row],[Quantity]]&lt;=16,"11 to 16",orders[[#This Row],[Quantity]]&gt;16,"Above 16")</f>
        <v>6 to 10</v>
      </c>
    </row>
    <row r="1631" spans="1:16"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c r="P1631" t="str" cm="1">
        <f t="array" ref="P1631">_xlfn.IFS(orders[[#This Row],[Quantity]]&lt;=5,"1 to 5",orders[[#This Row],[Quantity]]&lt;=10,"6 to 10",orders[[#This Row],[Quantity]]&lt;=16,"11 to 16",orders[[#This Row],[Quantity]]&gt;16,"Above 16")</f>
        <v>6 to 10</v>
      </c>
    </row>
    <row r="1632" spans="1:16"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c r="P1632" t="str" cm="1">
        <f t="array" ref="P1632">_xlfn.IFS(orders[[#This Row],[Quantity]]&lt;=5,"1 to 5",orders[[#This Row],[Quantity]]&lt;=10,"6 to 10",orders[[#This Row],[Quantity]]&lt;=16,"11 to 16",orders[[#This Row],[Quantity]]&gt;16,"Above 16")</f>
        <v>6 to 10</v>
      </c>
    </row>
    <row r="1633" spans="1:16"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c r="P1633" t="str" cm="1">
        <f t="array" ref="P1633">_xlfn.IFS(orders[[#This Row],[Quantity]]&lt;=5,"1 to 5",orders[[#This Row],[Quantity]]&lt;=10,"6 to 10",orders[[#This Row],[Quantity]]&lt;=16,"11 to 16",orders[[#This Row],[Quantity]]&gt;16,"Above 16")</f>
        <v>6 to 10</v>
      </c>
    </row>
    <row r="1634" spans="1:16"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c r="P1634" t="str" cm="1">
        <f t="array" ref="P1634">_xlfn.IFS(orders[[#This Row],[Quantity]]&lt;=5,"1 to 5",orders[[#This Row],[Quantity]]&lt;=10,"6 to 10",orders[[#This Row],[Quantity]]&lt;=16,"11 to 16",orders[[#This Row],[Quantity]]&gt;16,"Above 16")</f>
        <v>1 to 5</v>
      </c>
    </row>
    <row r="1635" spans="1:16"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c r="P1635" t="str" cm="1">
        <f t="array" ref="P1635">_xlfn.IFS(orders[[#This Row],[Quantity]]&lt;=5,"1 to 5",orders[[#This Row],[Quantity]]&lt;=10,"6 to 10",orders[[#This Row],[Quantity]]&lt;=16,"11 to 16",orders[[#This Row],[Quantity]]&gt;16,"Above 16")</f>
        <v>6 to 10</v>
      </c>
    </row>
    <row r="1636" spans="1:16"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c r="P1636" t="str" cm="1">
        <f t="array" ref="P1636">_xlfn.IFS(orders[[#This Row],[Quantity]]&lt;=5,"1 to 5",orders[[#This Row],[Quantity]]&lt;=10,"6 to 10",orders[[#This Row],[Quantity]]&lt;=16,"11 to 16",orders[[#This Row],[Quantity]]&gt;16,"Above 16")</f>
        <v>1 to 5</v>
      </c>
    </row>
    <row r="1637" spans="1:16"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c r="P1637" t="str" cm="1">
        <f t="array" ref="P1637">_xlfn.IFS(orders[[#This Row],[Quantity]]&lt;=5,"1 to 5",orders[[#This Row],[Quantity]]&lt;=10,"6 to 10",orders[[#This Row],[Quantity]]&lt;=16,"11 to 16",orders[[#This Row],[Quantity]]&gt;16,"Above 16")</f>
        <v>11 to 16</v>
      </c>
    </row>
    <row r="1638" spans="1:16"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c r="P1638" t="str" cm="1">
        <f t="array" ref="P1638">_xlfn.IFS(orders[[#This Row],[Quantity]]&lt;=5,"1 to 5",orders[[#This Row],[Quantity]]&lt;=10,"6 to 10",orders[[#This Row],[Quantity]]&lt;=16,"11 to 16",orders[[#This Row],[Quantity]]&gt;16,"Above 16")</f>
        <v>1 to 5</v>
      </c>
    </row>
    <row r="1639" spans="1:16"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c r="P1639" t="str" cm="1">
        <f t="array" ref="P1639">_xlfn.IFS(orders[[#This Row],[Quantity]]&lt;=5,"1 to 5",orders[[#This Row],[Quantity]]&lt;=10,"6 to 10",orders[[#This Row],[Quantity]]&lt;=16,"11 to 16",orders[[#This Row],[Quantity]]&gt;16,"Above 16")</f>
        <v>6 to 10</v>
      </c>
    </row>
    <row r="1640" spans="1:16"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c r="P1640" t="str" cm="1">
        <f t="array" ref="P1640">_xlfn.IFS(orders[[#This Row],[Quantity]]&lt;=5,"1 to 5",orders[[#This Row],[Quantity]]&lt;=10,"6 to 10",orders[[#This Row],[Quantity]]&lt;=16,"11 to 16",orders[[#This Row],[Quantity]]&gt;16,"Above 16")</f>
        <v>6 to 10</v>
      </c>
    </row>
    <row r="1641" spans="1:16"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c r="P1641" t="str" cm="1">
        <f t="array" ref="P1641">_xlfn.IFS(orders[[#This Row],[Quantity]]&lt;=5,"1 to 5",orders[[#This Row],[Quantity]]&lt;=10,"6 to 10",orders[[#This Row],[Quantity]]&lt;=16,"11 to 16",orders[[#This Row],[Quantity]]&gt;16,"Above 16")</f>
        <v>6 to 10</v>
      </c>
    </row>
    <row r="1642" spans="1:16"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c r="P1642" t="str" cm="1">
        <f t="array" ref="P1642">_xlfn.IFS(orders[[#This Row],[Quantity]]&lt;=5,"1 to 5",orders[[#This Row],[Quantity]]&lt;=10,"6 to 10",orders[[#This Row],[Quantity]]&lt;=16,"11 to 16",orders[[#This Row],[Quantity]]&gt;16,"Above 16")</f>
        <v>1 to 5</v>
      </c>
    </row>
    <row r="1643" spans="1:16"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c r="P1643" t="str" cm="1">
        <f t="array" ref="P1643">_xlfn.IFS(orders[[#This Row],[Quantity]]&lt;=5,"1 to 5",orders[[#This Row],[Quantity]]&lt;=10,"6 to 10",orders[[#This Row],[Quantity]]&lt;=16,"11 to 16",orders[[#This Row],[Quantity]]&gt;16,"Above 16")</f>
        <v>1 to 5</v>
      </c>
    </row>
    <row r="1644" spans="1:16"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c r="P1644" t="str" cm="1">
        <f t="array" ref="P1644">_xlfn.IFS(orders[[#This Row],[Quantity]]&lt;=5,"1 to 5",orders[[#This Row],[Quantity]]&lt;=10,"6 to 10",orders[[#This Row],[Quantity]]&lt;=16,"11 to 16",orders[[#This Row],[Quantity]]&gt;16,"Above 16")</f>
        <v>1 to 5</v>
      </c>
    </row>
    <row r="1645" spans="1:16"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c r="P1645" t="str" cm="1">
        <f t="array" ref="P1645">_xlfn.IFS(orders[[#This Row],[Quantity]]&lt;=5,"1 to 5",orders[[#This Row],[Quantity]]&lt;=10,"6 to 10",orders[[#This Row],[Quantity]]&lt;=16,"11 to 16",orders[[#This Row],[Quantity]]&gt;16,"Above 16")</f>
        <v>1 to 5</v>
      </c>
    </row>
    <row r="1646" spans="1:16"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c r="P1646" t="str" cm="1">
        <f t="array" ref="P1646">_xlfn.IFS(orders[[#This Row],[Quantity]]&lt;=5,"1 to 5",orders[[#This Row],[Quantity]]&lt;=10,"6 to 10",orders[[#This Row],[Quantity]]&lt;=16,"11 to 16",orders[[#This Row],[Quantity]]&gt;16,"Above 16")</f>
        <v>1 to 5</v>
      </c>
    </row>
    <row r="1647" spans="1:16"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c r="P1647" t="str" cm="1">
        <f t="array" ref="P1647">_xlfn.IFS(orders[[#This Row],[Quantity]]&lt;=5,"1 to 5",orders[[#This Row],[Quantity]]&lt;=10,"6 to 10",orders[[#This Row],[Quantity]]&lt;=16,"11 to 16",orders[[#This Row],[Quantity]]&gt;16,"Above 16")</f>
        <v>1 to 5</v>
      </c>
    </row>
    <row r="1648" spans="1:16"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c r="P1648" t="str" cm="1">
        <f t="array" ref="P1648">_xlfn.IFS(orders[[#This Row],[Quantity]]&lt;=5,"1 to 5",orders[[#This Row],[Quantity]]&lt;=10,"6 to 10",orders[[#This Row],[Quantity]]&lt;=16,"11 to 16",orders[[#This Row],[Quantity]]&gt;16,"Above 16")</f>
        <v>Above 16</v>
      </c>
    </row>
    <row r="1649" spans="1:16"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c r="P1649" t="str" cm="1">
        <f t="array" ref="P1649">_xlfn.IFS(orders[[#This Row],[Quantity]]&lt;=5,"1 to 5",orders[[#This Row],[Quantity]]&lt;=10,"6 to 10",orders[[#This Row],[Quantity]]&lt;=16,"11 to 16",orders[[#This Row],[Quantity]]&gt;16,"Above 16")</f>
        <v>11 to 16</v>
      </c>
    </row>
    <row r="1650" spans="1:16"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c r="P1650" t="str" cm="1">
        <f t="array" ref="P1650">_xlfn.IFS(orders[[#This Row],[Quantity]]&lt;=5,"1 to 5",orders[[#This Row],[Quantity]]&lt;=10,"6 to 10",orders[[#This Row],[Quantity]]&lt;=16,"11 to 16",orders[[#This Row],[Quantity]]&gt;16,"Above 16")</f>
        <v>1 to 5</v>
      </c>
    </row>
    <row r="1651" spans="1:16"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c r="P1651" t="str" cm="1">
        <f t="array" ref="P1651">_xlfn.IFS(orders[[#This Row],[Quantity]]&lt;=5,"1 to 5",orders[[#This Row],[Quantity]]&lt;=10,"6 to 10",orders[[#This Row],[Quantity]]&lt;=16,"11 to 16",orders[[#This Row],[Quantity]]&gt;16,"Above 16")</f>
        <v>1 to 5</v>
      </c>
    </row>
    <row r="1652" spans="1:16"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c r="P1652" t="str" cm="1">
        <f t="array" ref="P1652">_xlfn.IFS(orders[[#This Row],[Quantity]]&lt;=5,"1 to 5",orders[[#This Row],[Quantity]]&lt;=10,"6 to 10",orders[[#This Row],[Quantity]]&lt;=16,"11 to 16",orders[[#This Row],[Quantity]]&gt;16,"Above 16")</f>
        <v>1 to 5</v>
      </c>
    </row>
    <row r="1653" spans="1:16"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c r="P1653" t="str" cm="1">
        <f t="array" ref="P1653">_xlfn.IFS(orders[[#This Row],[Quantity]]&lt;=5,"1 to 5",orders[[#This Row],[Quantity]]&lt;=10,"6 to 10",orders[[#This Row],[Quantity]]&lt;=16,"11 to 16",orders[[#This Row],[Quantity]]&gt;16,"Above 16")</f>
        <v>11 to 16</v>
      </c>
    </row>
    <row r="1654" spans="1:16"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c r="P1654" t="str" cm="1">
        <f t="array" ref="P1654">_xlfn.IFS(orders[[#This Row],[Quantity]]&lt;=5,"1 to 5",orders[[#This Row],[Quantity]]&lt;=10,"6 to 10",orders[[#This Row],[Quantity]]&lt;=16,"11 to 16",orders[[#This Row],[Quantity]]&gt;16,"Above 16")</f>
        <v>1 to 5</v>
      </c>
    </row>
    <row r="1655" spans="1:16"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c r="P1655" t="str" cm="1">
        <f t="array" ref="P1655">_xlfn.IFS(orders[[#This Row],[Quantity]]&lt;=5,"1 to 5",orders[[#This Row],[Quantity]]&lt;=10,"6 to 10",orders[[#This Row],[Quantity]]&lt;=16,"11 to 16",orders[[#This Row],[Quantity]]&gt;16,"Above 16")</f>
        <v>6 to 10</v>
      </c>
    </row>
    <row r="1656" spans="1:16"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c r="P1656" t="str" cm="1">
        <f t="array" ref="P1656">_xlfn.IFS(orders[[#This Row],[Quantity]]&lt;=5,"1 to 5",orders[[#This Row],[Quantity]]&lt;=10,"6 to 10",orders[[#This Row],[Quantity]]&lt;=16,"11 to 16",orders[[#This Row],[Quantity]]&gt;16,"Above 16")</f>
        <v>1 to 5</v>
      </c>
    </row>
    <row r="1657" spans="1:16"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c r="P1657" t="str" cm="1">
        <f t="array" ref="P1657">_xlfn.IFS(orders[[#This Row],[Quantity]]&lt;=5,"1 to 5",orders[[#This Row],[Quantity]]&lt;=10,"6 to 10",orders[[#This Row],[Quantity]]&lt;=16,"11 to 16",orders[[#This Row],[Quantity]]&gt;16,"Above 16")</f>
        <v>1 to 5</v>
      </c>
    </row>
    <row r="1658" spans="1:16"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c r="P1658" t="str" cm="1">
        <f t="array" ref="P1658">_xlfn.IFS(orders[[#This Row],[Quantity]]&lt;=5,"1 to 5",orders[[#This Row],[Quantity]]&lt;=10,"6 to 10",orders[[#This Row],[Quantity]]&lt;=16,"11 to 16",orders[[#This Row],[Quantity]]&gt;16,"Above 16")</f>
        <v>6 to 10</v>
      </c>
    </row>
    <row r="1659" spans="1:16"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c r="P1659" t="str" cm="1">
        <f t="array" ref="P1659">_xlfn.IFS(orders[[#This Row],[Quantity]]&lt;=5,"1 to 5",orders[[#This Row],[Quantity]]&lt;=10,"6 to 10",orders[[#This Row],[Quantity]]&lt;=16,"11 to 16",orders[[#This Row],[Quantity]]&gt;16,"Above 16")</f>
        <v>1 to 5</v>
      </c>
    </row>
    <row r="1660" spans="1:16"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c r="P1660" t="str" cm="1">
        <f t="array" ref="P1660">_xlfn.IFS(orders[[#This Row],[Quantity]]&lt;=5,"1 to 5",orders[[#This Row],[Quantity]]&lt;=10,"6 to 10",orders[[#This Row],[Quantity]]&lt;=16,"11 to 16",orders[[#This Row],[Quantity]]&gt;16,"Above 16")</f>
        <v>1 to 5</v>
      </c>
    </row>
    <row r="1661" spans="1:16"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c r="P1661" t="str" cm="1">
        <f t="array" ref="P1661">_xlfn.IFS(orders[[#This Row],[Quantity]]&lt;=5,"1 to 5",orders[[#This Row],[Quantity]]&lt;=10,"6 to 10",orders[[#This Row],[Quantity]]&lt;=16,"11 to 16",orders[[#This Row],[Quantity]]&gt;16,"Above 16")</f>
        <v>1 to 5</v>
      </c>
    </row>
    <row r="1662" spans="1:16"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c r="P1662" t="str" cm="1">
        <f t="array" ref="P1662">_xlfn.IFS(orders[[#This Row],[Quantity]]&lt;=5,"1 to 5",orders[[#This Row],[Quantity]]&lt;=10,"6 to 10",orders[[#This Row],[Quantity]]&lt;=16,"11 to 16",orders[[#This Row],[Quantity]]&gt;16,"Above 16")</f>
        <v>1 to 5</v>
      </c>
    </row>
    <row r="1663" spans="1:16"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c r="P1663" t="str" cm="1">
        <f t="array" ref="P1663">_xlfn.IFS(orders[[#This Row],[Quantity]]&lt;=5,"1 to 5",orders[[#This Row],[Quantity]]&lt;=10,"6 to 10",orders[[#This Row],[Quantity]]&lt;=16,"11 to 16",orders[[#This Row],[Quantity]]&gt;16,"Above 16")</f>
        <v>1 to 5</v>
      </c>
    </row>
    <row r="1664" spans="1:16"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c r="P1664" t="str" cm="1">
        <f t="array" ref="P1664">_xlfn.IFS(orders[[#This Row],[Quantity]]&lt;=5,"1 to 5",orders[[#This Row],[Quantity]]&lt;=10,"6 to 10",orders[[#This Row],[Quantity]]&lt;=16,"11 to 16",orders[[#This Row],[Quantity]]&gt;16,"Above 16")</f>
        <v>6 to 10</v>
      </c>
    </row>
    <row r="1665" spans="1:16"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c r="P1665" t="str" cm="1">
        <f t="array" ref="P1665">_xlfn.IFS(orders[[#This Row],[Quantity]]&lt;=5,"1 to 5",orders[[#This Row],[Quantity]]&lt;=10,"6 to 10",orders[[#This Row],[Quantity]]&lt;=16,"11 to 16",orders[[#This Row],[Quantity]]&gt;16,"Above 16")</f>
        <v>1 to 5</v>
      </c>
    </row>
    <row r="1666" spans="1:16"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c r="P1666" t="str" cm="1">
        <f t="array" ref="P1666">_xlfn.IFS(orders[[#This Row],[Quantity]]&lt;=5,"1 to 5",orders[[#This Row],[Quantity]]&lt;=10,"6 to 10",orders[[#This Row],[Quantity]]&lt;=16,"11 to 16",orders[[#This Row],[Quantity]]&gt;16,"Above 16")</f>
        <v>1 to 5</v>
      </c>
    </row>
    <row r="1667" spans="1:16"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c r="P1667" t="str" cm="1">
        <f t="array" ref="P1667">_xlfn.IFS(orders[[#This Row],[Quantity]]&lt;=5,"1 to 5",orders[[#This Row],[Quantity]]&lt;=10,"6 to 10",orders[[#This Row],[Quantity]]&lt;=16,"11 to 16",orders[[#This Row],[Quantity]]&gt;16,"Above 16")</f>
        <v>1 to 5</v>
      </c>
    </row>
    <row r="1668" spans="1:16"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c r="P1668" t="str" cm="1">
        <f t="array" ref="P1668">_xlfn.IFS(orders[[#This Row],[Quantity]]&lt;=5,"1 to 5",orders[[#This Row],[Quantity]]&lt;=10,"6 to 10",orders[[#This Row],[Quantity]]&lt;=16,"11 to 16",orders[[#This Row],[Quantity]]&gt;16,"Above 16")</f>
        <v>1 to 5</v>
      </c>
    </row>
    <row r="1669" spans="1:16"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c r="P1669" t="str" cm="1">
        <f t="array" ref="P1669">_xlfn.IFS(orders[[#This Row],[Quantity]]&lt;=5,"1 to 5",orders[[#This Row],[Quantity]]&lt;=10,"6 to 10",orders[[#This Row],[Quantity]]&lt;=16,"11 to 16",orders[[#This Row],[Quantity]]&gt;16,"Above 16")</f>
        <v>6 to 10</v>
      </c>
    </row>
    <row r="1670" spans="1:16"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c r="P1670" t="str" cm="1">
        <f t="array" ref="P1670">_xlfn.IFS(orders[[#This Row],[Quantity]]&lt;=5,"1 to 5",orders[[#This Row],[Quantity]]&lt;=10,"6 to 10",orders[[#This Row],[Quantity]]&lt;=16,"11 to 16",orders[[#This Row],[Quantity]]&gt;16,"Above 16")</f>
        <v>1 to 5</v>
      </c>
    </row>
    <row r="1671" spans="1:16"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c r="P1671" t="str" cm="1">
        <f t="array" ref="P1671">_xlfn.IFS(orders[[#This Row],[Quantity]]&lt;=5,"1 to 5",orders[[#This Row],[Quantity]]&lt;=10,"6 to 10",orders[[#This Row],[Quantity]]&lt;=16,"11 to 16",orders[[#This Row],[Quantity]]&gt;16,"Above 16")</f>
        <v>1 to 5</v>
      </c>
    </row>
    <row r="1672" spans="1:16"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c r="P1672" t="str" cm="1">
        <f t="array" ref="P1672">_xlfn.IFS(orders[[#This Row],[Quantity]]&lt;=5,"1 to 5",orders[[#This Row],[Quantity]]&lt;=10,"6 to 10",orders[[#This Row],[Quantity]]&lt;=16,"11 to 16",orders[[#This Row],[Quantity]]&gt;16,"Above 16")</f>
        <v>1 to 5</v>
      </c>
    </row>
    <row r="1673" spans="1:16"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c r="P1673" t="str" cm="1">
        <f t="array" ref="P1673">_xlfn.IFS(orders[[#This Row],[Quantity]]&lt;=5,"1 to 5",orders[[#This Row],[Quantity]]&lt;=10,"6 to 10",orders[[#This Row],[Quantity]]&lt;=16,"11 to 16",orders[[#This Row],[Quantity]]&gt;16,"Above 16")</f>
        <v>1 to 5</v>
      </c>
    </row>
    <row r="1674" spans="1:16"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c r="P1674" t="str" cm="1">
        <f t="array" ref="P1674">_xlfn.IFS(orders[[#This Row],[Quantity]]&lt;=5,"1 to 5",orders[[#This Row],[Quantity]]&lt;=10,"6 to 10",orders[[#This Row],[Quantity]]&lt;=16,"11 to 16",orders[[#This Row],[Quantity]]&gt;16,"Above 16")</f>
        <v>1 to 5</v>
      </c>
    </row>
    <row r="1675" spans="1:16"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c r="P1675" t="str" cm="1">
        <f t="array" ref="P1675">_xlfn.IFS(orders[[#This Row],[Quantity]]&lt;=5,"1 to 5",orders[[#This Row],[Quantity]]&lt;=10,"6 to 10",orders[[#This Row],[Quantity]]&lt;=16,"11 to 16",orders[[#This Row],[Quantity]]&gt;16,"Above 16")</f>
        <v>6 to 10</v>
      </c>
    </row>
    <row r="1676" spans="1:16"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c r="P1676" t="str" cm="1">
        <f t="array" ref="P1676">_xlfn.IFS(orders[[#This Row],[Quantity]]&lt;=5,"1 to 5",orders[[#This Row],[Quantity]]&lt;=10,"6 to 10",orders[[#This Row],[Quantity]]&lt;=16,"11 to 16",orders[[#This Row],[Quantity]]&gt;16,"Above 16")</f>
        <v>6 to 10</v>
      </c>
    </row>
    <row r="1677" spans="1:16"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c r="P1677" t="str" cm="1">
        <f t="array" ref="P1677">_xlfn.IFS(orders[[#This Row],[Quantity]]&lt;=5,"1 to 5",orders[[#This Row],[Quantity]]&lt;=10,"6 to 10",orders[[#This Row],[Quantity]]&lt;=16,"11 to 16",orders[[#This Row],[Quantity]]&gt;16,"Above 16")</f>
        <v>11 to 16</v>
      </c>
    </row>
    <row r="1678" spans="1:16"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c r="P1678" t="str" cm="1">
        <f t="array" ref="P1678">_xlfn.IFS(orders[[#This Row],[Quantity]]&lt;=5,"1 to 5",orders[[#This Row],[Quantity]]&lt;=10,"6 to 10",orders[[#This Row],[Quantity]]&lt;=16,"11 to 16",orders[[#This Row],[Quantity]]&gt;16,"Above 16")</f>
        <v>6 to 10</v>
      </c>
    </row>
    <row r="1679" spans="1:16"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c r="P1679" t="str" cm="1">
        <f t="array" ref="P1679">_xlfn.IFS(orders[[#This Row],[Quantity]]&lt;=5,"1 to 5",orders[[#This Row],[Quantity]]&lt;=10,"6 to 10",orders[[#This Row],[Quantity]]&lt;=16,"11 to 16",orders[[#This Row],[Quantity]]&gt;16,"Above 16")</f>
        <v>1 to 5</v>
      </c>
    </row>
    <row r="1680" spans="1:16"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c r="P1680" t="str" cm="1">
        <f t="array" ref="P1680">_xlfn.IFS(orders[[#This Row],[Quantity]]&lt;=5,"1 to 5",orders[[#This Row],[Quantity]]&lt;=10,"6 to 10",orders[[#This Row],[Quantity]]&lt;=16,"11 to 16",orders[[#This Row],[Quantity]]&gt;16,"Above 16")</f>
        <v>1 to 5</v>
      </c>
    </row>
    <row r="1681" spans="1:16"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c r="P1681" t="str" cm="1">
        <f t="array" ref="P1681">_xlfn.IFS(orders[[#This Row],[Quantity]]&lt;=5,"1 to 5",orders[[#This Row],[Quantity]]&lt;=10,"6 to 10",orders[[#This Row],[Quantity]]&lt;=16,"11 to 16",orders[[#This Row],[Quantity]]&gt;16,"Above 16")</f>
        <v>1 to 5</v>
      </c>
    </row>
    <row r="1682" spans="1:16"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c r="P1682" t="str" cm="1">
        <f t="array" ref="P1682">_xlfn.IFS(orders[[#This Row],[Quantity]]&lt;=5,"1 to 5",orders[[#This Row],[Quantity]]&lt;=10,"6 to 10",orders[[#This Row],[Quantity]]&lt;=16,"11 to 16",orders[[#This Row],[Quantity]]&gt;16,"Above 16")</f>
        <v>6 to 10</v>
      </c>
    </row>
    <row r="1683" spans="1:16"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c r="P1683" t="str" cm="1">
        <f t="array" ref="P1683">_xlfn.IFS(orders[[#This Row],[Quantity]]&lt;=5,"1 to 5",orders[[#This Row],[Quantity]]&lt;=10,"6 to 10",orders[[#This Row],[Quantity]]&lt;=16,"11 to 16",orders[[#This Row],[Quantity]]&gt;16,"Above 16")</f>
        <v>1 to 5</v>
      </c>
    </row>
    <row r="1684" spans="1:16"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c r="P1684" t="str" cm="1">
        <f t="array" ref="P1684">_xlfn.IFS(orders[[#This Row],[Quantity]]&lt;=5,"1 to 5",orders[[#This Row],[Quantity]]&lt;=10,"6 to 10",orders[[#This Row],[Quantity]]&lt;=16,"11 to 16",orders[[#This Row],[Quantity]]&gt;16,"Above 16")</f>
        <v>6 to 10</v>
      </c>
    </row>
    <row r="1685" spans="1:16"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c r="P1685" t="str" cm="1">
        <f t="array" ref="P1685">_xlfn.IFS(orders[[#This Row],[Quantity]]&lt;=5,"1 to 5",orders[[#This Row],[Quantity]]&lt;=10,"6 to 10",orders[[#This Row],[Quantity]]&lt;=16,"11 to 16",orders[[#This Row],[Quantity]]&gt;16,"Above 16")</f>
        <v>1 to 5</v>
      </c>
    </row>
    <row r="1686" spans="1:16"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c r="P1686" t="str" cm="1">
        <f t="array" ref="P1686">_xlfn.IFS(orders[[#This Row],[Quantity]]&lt;=5,"1 to 5",orders[[#This Row],[Quantity]]&lt;=10,"6 to 10",orders[[#This Row],[Quantity]]&lt;=16,"11 to 16",orders[[#This Row],[Quantity]]&gt;16,"Above 16")</f>
        <v>1 to 5</v>
      </c>
    </row>
    <row r="1687" spans="1:16"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c r="P1687" t="str" cm="1">
        <f t="array" ref="P1687">_xlfn.IFS(orders[[#This Row],[Quantity]]&lt;=5,"1 to 5",orders[[#This Row],[Quantity]]&lt;=10,"6 to 10",orders[[#This Row],[Quantity]]&lt;=16,"11 to 16",orders[[#This Row],[Quantity]]&gt;16,"Above 16")</f>
        <v>1 to 5</v>
      </c>
    </row>
    <row r="1688" spans="1:16"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c r="P1688" t="str" cm="1">
        <f t="array" ref="P1688">_xlfn.IFS(orders[[#This Row],[Quantity]]&lt;=5,"1 to 5",orders[[#This Row],[Quantity]]&lt;=10,"6 to 10",orders[[#This Row],[Quantity]]&lt;=16,"11 to 16",orders[[#This Row],[Quantity]]&gt;16,"Above 16")</f>
        <v>1 to 5</v>
      </c>
    </row>
    <row r="1689" spans="1:16"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c r="P1689" t="str" cm="1">
        <f t="array" ref="P1689">_xlfn.IFS(orders[[#This Row],[Quantity]]&lt;=5,"1 to 5",orders[[#This Row],[Quantity]]&lt;=10,"6 to 10",orders[[#This Row],[Quantity]]&lt;=16,"11 to 16",orders[[#This Row],[Quantity]]&gt;16,"Above 16")</f>
        <v>1 to 5</v>
      </c>
    </row>
    <row r="1690" spans="1:16"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c r="P1690" t="str" cm="1">
        <f t="array" ref="P1690">_xlfn.IFS(orders[[#This Row],[Quantity]]&lt;=5,"1 to 5",orders[[#This Row],[Quantity]]&lt;=10,"6 to 10",orders[[#This Row],[Quantity]]&lt;=16,"11 to 16",orders[[#This Row],[Quantity]]&gt;16,"Above 16")</f>
        <v>1 to 5</v>
      </c>
    </row>
    <row r="1691" spans="1:16"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c r="P1691" t="str" cm="1">
        <f t="array" ref="P1691">_xlfn.IFS(orders[[#This Row],[Quantity]]&lt;=5,"1 to 5",orders[[#This Row],[Quantity]]&lt;=10,"6 to 10",orders[[#This Row],[Quantity]]&lt;=16,"11 to 16",orders[[#This Row],[Quantity]]&gt;16,"Above 16")</f>
        <v>1 to 5</v>
      </c>
    </row>
    <row r="1692" spans="1:16"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c r="P1692" t="str" cm="1">
        <f t="array" ref="P1692">_xlfn.IFS(orders[[#This Row],[Quantity]]&lt;=5,"1 to 5",orders[[#This Row],[Quantity]]&lt;=10,"6 to 10",orders[[#This Row],[Quantity]]&lt;=16,"11 to 16",orders[[#This Row],[Quantity]]&gt;16,"Above 16")</f>
        <v>1 to 5</v>
      </c>
    </row>
    <row r="1693" spans="1:16"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c r="P1693" t="str" cm="1">
        <f t="array" ref="P1693">_xlfn.IFS(orders[[#This Row],[Quantity]]&lt;=5,"1 to 5",orders[[#This Row],[Quantity]]&lt;=10,"6 to 10",orders[[#This Row],[Quantity]]&lt;=16,"11 to 16",orders[[#This Row],[Quantity]]&gt;16,"Above 16")</f>
        <v>6 to 10</v>
      </c>
    </row>
    <row r="1694" spans="1:16"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c r="P1694" t="str" cm="1">
        <f t="array" ref="P1694">_xlfn.IFS(orders[[#This Row],[Quantity]]&lt;=5,"1 to 5",orders[[#This Row],[Quantity]]&lt;=10,"6 to 10",orders[[#This Row],[Quantity]]&lt;=16,"11 to 16",orders[[#This Row],[Quantity]]&gt;16,"Above 16")</f>
        <v>1 to 5</v>
      </c>
    </row>
    <row r="1695" spans="1:16"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c r="P1695" t="str" cm="1">
        <f t="array" ref="P1695">_xlfn.IFS(orders[[#This Row],[Quantity]]&lt;=5,"1 to 5",orders[[#This Row],[Quantity]]&lt;=10,"6 to 10",orders[[#This Row],[Quantity]]&lt;=16,"11 to 16",orders[[#This Row],[Quantity]]&gt;16,"Above 16")</f>
        <v>6 to 10</v>
      </c>
    </row>
    <row r="1696" spans="1:16"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c r="P1696" t="str" cm="1">
        <f t="array" ref="P1696">_xlfn.IFS(orders[[#This Row],[Quantity]]&lt;=5,"1 to 5",orders[[#This Row],[Quantity]]&lt;=10,"6 to 10",orders[[#This Row],[Quantity]]&lt;=16,"11 to 16",orders[[#This Row],[Quantity]]&gt;16,"Above 16")</f>
        <v>1 to 5</v>
      </c>
    </row>
    <row r="1697" spans="1:16"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c r="P1697" t="str" cm="1">
        <f t="array" ref="P1697">_xlfn.IFS(orders[[#This Row],[Quantity]]&lt;=5,"1 to 5",orders[[#This Row],[Quantity]]&lt;=10,"6 to 10",orders[[#This Row],[Quantity]]&lt;=16,"11 to 16",orders[[#This Row],[Quantity]]&gt;16,"Above 16")</f>
        <v>1 to 5</v>
      </c>
    </row>
    <row r="1698" spans="1:16"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c r="P1698" t="str" cm="1">
        <f t="array" ref="P1698">_xlfn.IFS(orders[[#This Row],[Quantity]]&lt;=5,"1 to 5",orders[[#This Row],[Quantity]]&lt;=10,"6 to 10",orders[[#This Row],[Quantity]]&lt;=16,"11 to 16",orders[[#This Row],[Quantity]]&gt;16,"Above 16")</f>
        <v>1 to 5</v>
      </c>
    </row>
    <row r="1699" spans="1:16"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c r="P1699" t="str" cm="1">
        <f t="array" ref="P1699">_xlfn.IFS(orders[[#This Row],[Quantity]]&lt;=5,"1 to 5",orders[[#This Row],[Quantity]]&lt;=10,"6 to 10",orders[[#This Row],[Quantity]]&lt;=16,"11 to 16",orders[[#This Row],[Quantity]]&gt;16,"Above 16")</f>
        <v>6 to 10</v>
      </c>
    </row>
    <row r="1700" spans="1:16"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c r="P1700" t="str" cm="1">
        <f t="array" ref="P1700">_xlfn.IFS(orders[[#This Row],[Quantity]]&lt;=5,"1 to 5",orders[[#This Row],[Quantity]]&lt;=10,"6 to 10",orders[[#This Row],[Quantity]]&lt;=16,"11 to 16",orders[[#This Row],[Quantity]]&gt;16,"Above 16")</f>
        <v>1 to 5</v>
      </c>
    </row>
    <row r="1701" spans="1:16"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c r="P1701" t="str" cm="1">
        <f t="array" ref="P1701">_xlfn.IFS(orders[[#This Row],[Quantity]]&lt;=5,"1 to 5",orders[[#This Row],[Quantity]]&lt;=10,"6 to 10",orders[[#This Row],[Quantity]]&lt;=16,"11 to 16",orders[[#This Row],[Quantity]]&gt;16,"Above 16")</f>
        <v>1 to 5</v>
      </c>
    </row>
    <row r="1702" spans="1:16"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c r="P1702" t="str" cm="1">
        <f t="array" ref="P1702">_xlfn.IFS(orders[[#This Row],[Quantity]]&lt;=5,"1 to 5",orders[[#This Row],[Quantity]]&lt;=10,"6 to 10",orders[[#This Row],[Quantity]]&lt;=16,"11 to 16",orders[[#This Row],[Quantity]]&gt;16,"Above 16")</f>
        <v>1 to 5</v>
      </c>
    </row>
    <row r="1703" spans="1:16"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c r="P1703" t="str" cm="1">
        <f t="array" ref="P1703">_xlfn.IFS(orders[[#This Row],[Quantity]]&lt;=5,"1 to 5",orders[[#This Row],[Quantity]]&lt;=10,"6 to 10",orders[[#This Row],[Quantity]]&lt;=16,"11 to 16",orders[[#This Row],[Quantity]]&gt;16,"Above 16")</f>
        <v>6 to 10</v>
      </c>
    </row>
    <row r="1704" spans="1:16"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c r="P1704" t="str" cm="1">
        <f t="array" ref="P1704">_xlfn.IFS(orders[[#This Row],[Quantity]]&lt;=5,"1 to 5",orders[[#This Row],[Quantity]]&lt;=10,"6 to 10",orders[[#This Row],[Quantity]]&lt;=16,"11 to 16",orders[[#This Row],[Quantity]]&gt;16,"Above 16")</f>
        <v>1 to 5</v>
      </c>
    </row>
    <row r="1705" spans="1:16"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c r="P1705" t="str" cm="1">
        <f t="array" ref="P1705">_xlfn.IFS(orders[[#This Row],[Quantity]]&lt;=5,"1 to 5",orders[[#This Row],[Quantity]]&lt;=10,"6 to 10",orders[[#This Row],[Quantity]]&lt;=16,"11 to 16",orders[[#This Row],[Quantity]]&gt;16,"Above 16")</f>
        <v>1 to 5</v>
      </c>
    </row>
    <row r="1706" spans="1:16"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c r="P1706" t="str" cm="1">
        <f t="array" ref="P1706">_xlfn.IFS(orders[[#This Row],[Quantity]]&lt;=5,"1 to 5",orders[[#This Row],[Quantity]]&lt;=10,"6 to 10",orders[[#This Row],[Quantity]]&lt;=16,"11 to 16",orders[[#This Row],[Quantity]]&gt;16,"Above 16")</f>
        <v>1 to 5</v>
      </c>
    </row>
    <row r="1707" spans="1:16"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c r="P1707" t="str" cm="1">
        <f t="array" ref="P1707">_xlfn.IFS(orders[[#This Row],[Quantity]]&lt;=5,"1 to 5",orders[[#This Row],[Quantity]]&lt;=10,"6 to 10",orders[[#This Row],[Quantity]]&lt;=16,"11 to 16",orders[[#This Row],[Quantity]]&gt;16,"Above 16")</f>
        <v>1 to 5</v>
      </c>
    </row>
    <row r="1708" spans="1:16"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c r="P1708" t="str" cm="1">
        <f t="array" ref="P1708">_xlfn.IFS(orders[[#This Row],[Quantity]]&lt;=5,"1 to 5",orders[[#This Row],[Quantity]]&lt;=10,"6 to 10",orders[[#This Row],[Quantity]]&lt;=16,"11 to 16",orders[[#This Row],[Quantity]]&gt;16,"Above 16")</f>
        <v>1 to 5</v>
      </c>
    </row>
    <row r="1709" spans="1:16"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c r="P1709" t="str" cm="1">
        <f t="array" ref="P1709">_xlfn.IFS(orders[[#This Row],[Quantity]]&lt;=5,"1 to 5",orders[[#This Row],[Quantity]]&lt;=10,"6 to 10",orders[[#This Row],[Quantity]]&lt;=16,"11 to 16",orders[[#This Row],[Quantity]]&gt;16,"Above 16")</f>
        <v>1 to 5</v>
      </c>
    </row>
    <row r="1710" spans="1:16"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c r="P1710" t="str" cm="1">
        <f t="array" ref="P1710">_xlfn.IFS(orders[[#This Row],[Quantity]]&lt;=5,"1 to 5",orders[[#This Row],[Quantity]]&lt;=10,"6 to 10",orders[[#This Row],[Quantity]]&lt;=16,"11 to 16",orders[[#This Row],[Quantity]]&gt;16,"Above 16")</f>
        <v>6 to 10</v>
      </c>
    </row>
    <row r="1711" spans="1:16"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c r="P1711" t="str" cm="1">
        <f t="array" ref="P1711">_xlfn.IFS(orders[[#This Row],[Quantity]]&lt;=5,"1 to 5",orders[[#This Row],[Quantity]]&lt;=10,"6 to 10",orders[[#This Row],[Quantity]]&lt;=16,"11 to 16",orders[[#This Row],[Quantity]]&gt;16,"Above 16")</f>
        <v>1 to 5</v>
      </c>
    </row>
    <row r="1712" spans="1:16"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c r="P1712" t="str" cm="1">
        <f t="array" ref="P1712">_xlfn.IFS(orders[[#This Row],[Quantity]]&lt;=5,"1 to 5",orders[[#This Row],[Quantity]]&lt;=10,"6 to 10",orders[[#This Row],[Quantity]]&lt;=16,"11 to 16",orders[[#This Row],[Quantity]]&gt;16,"Above 16")</f>
        <v>1 to 5</v>
      </c>
    </row>
    <row r="1713" spans="1:16"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c r="P1713" t="str" cm="1">
        <f t="array" ref="P1713">_xlfn.IFS(orders[[#This Row],[Quantity]]&lt;=5,"1 to 5",orders[[#This Row],[Quantity]]&lt;=10,"6 to 10",orders[[#This Row],[Quantity]]&lt;=16,"11 to 16",orders[[#This Row],[Quantity]]&gt;16,"Above 16")</f>
        <v>1 to 5</v>
      </c>
    </row>
    <row r="1714" spans="1:16"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c r="P1714" t="str" cm="1">
        <f t="array" ref="P1714">_xlfn.IFS(orders[[#This Row],[Quantity]]&lt;=5,"1 to 5",orders[[#This Row],[Quantity]]&lt;=10,"6 to 10",orders[[#This Row],[Quantity]]&lt;=16,"11 to 16",orders[[#This Row],[Quantity]]&gt;16,"Above 16")</f>
        <v>1 to 5</v>
      </c>
    </row>
    <row r="1715" spans="1:16"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c r="P1715" t="str" cm="1">
        <f t="array" ref="P1715">_xlfn.IFS(orders[[#This Row],[Quantity]]&lt;=5,"1 to 5",orders[[#This Row],[Quantity]]&lt;=10,"6 to 10",orders[[#This Row],[Quantity]]&lt;=16,"11 to 16",orders[[#This Row],[Quantity]]&gt;16,"Above 16")</f>
        <v>1 to 5</v>
      </c>
    </row>
    <row r="1716" spans="1:16"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c r="P1716" t="str" cm="1">
        <f t="array" ref="P1716">_xlfn.IFS(orders[[#This Row],[Quantity]]&lt;=5,"1 to 5",orders[[#This Row],[Quantity]]&lt;=10,"6 to 10",orders[[#This Row],[Quantity]]&lt;=16,"11 to 16",orders[[#This Row],[Quantity]]&gt;16,"Above 16")</f>
        <v>1 to 5</v>
      </c>
    </row>
    <row r="1717" spans="1:16"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c r="P1717" t="str" cm="1">
        <f t="array" ref="P1717">_xlfn.IFS(orders[[#This Row],[Quantity]]&lt;=5,"1 to 5",orders[[#This Row],[Quantity]]&lt;=10,"6 to 10",orders[[#This Row],[Quantity]]&lt;=16,"11 to 16",orders[[#This Row],[Quantity]]&gt;16,"Above 16")</f>
        <v>1 to 5</v>
      </c>
    </row>
    <row r="1718" spans="1:16"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c r="P1718" t="str" cm="1">
        <f t="array" ref="P1718">_xlfn.IFS(orders[[#This Row],[Quantity]]&lt;=5,"1 to 5",orders[[#This Row],[Quantity]]&lt;=10,"6 to 10",orders[[#This Row],[Quantity]]&lt;=16,"11 to 16",orders[[#This Row],[Quantity]]&gt;16,"Above 16")</f>
        <v>6 to 10</v>
      </c>
    </row>
    <row r="1719" spans="1:16"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c r="P1719" t="str" cm="1">
        <f t="array" ref="P1719">_xlfn.IFS(orders[[#This Row],[Quantity]]&lt;=5,"1 to 5",orders[[#This Row],[Quantity]]&lt;=10,"6 to 10",orders[[#This Row],[Quantity]]&lt;=16,"11 to 16",orders[[#This Row],[Quantity]]&gt;16,"Above 16")</f>
        <v>1 to 5</v>
      </c>
    </row>
    <row r="1720" spans="1:16"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c r="P1720" t="str" cm="1">
        <f t="array" ref="P1720">_xlfn.IFS(orders[[#This Row],[Quantity]]&lt;=5,"1 to 5",orders[[#This Row],[Quantity]]&lt;=10,"6 to 10",orders[[#This Row],[Quantity]]&lt;=16,"11 to 16",orders[[#This Row],[Quantity]]&gt;16,"Above 16")</f>
        <v>1 to 5</v>
      </c>
    </row>
    <row r="1721" spans="1:16"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c r="P1721" t="str" cm="1">
        <f t="array" ref="P1721">_xlfn.IFS(orders[[#This Row],[Quantity]]&lt;=5,"1 to 5",orders[[#This Row],[Quantity]]&lt;=10,"6 to 10",orders[[#This Row],[Quantity]]&lt;=16,"11 to 16",orders[[#This Row],[Quantity]]&gt;16,"Above 16")</f>
        <v>1 to 5</v>
      </c>
    </row>
    <row r="1722" spans="1:16"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c r="P1722" t="str" cm="1">
        <f t="array" ref="P1722">_xlfn.IFS(orders[[#This Row],[Quantity]]&lt;=5,"1 to 5",orders[[#This Row],[Quantity]]&lt;=10,"6 to 10",orders[[#This Row],[Quantity]]&lt;=16,"11 to 16",orders[[#This Row],[Quantity]]&gt;16,"Above 16")</f>
        <v>1 to 5</v>
      </c>
    </row>
    <row r="1723" spans="1:16"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c r="P1723" t="str" cm="1">
        <f t="array" ref="P1723">_xlfn.IFS(orders[[#This Row],[Quantity]]&lt;=5,"1 to 5",orders[[#This Row],[Quantity]]&lt;=10,"6 to 10",orders[[#This Row],[Quantity]]&lt;=16,"11 to 16",orders[[#This Row],[Quantity]]&gt;16,"Above 16")</f>
        <v>1 to 5</v>
      </c>
    </row>
    <row r="1724" spans="1:16"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c r="P1724" t="str" cm="1">
        <f t="array" ref="P1724">_xlfn.IFS(orders[[#This Row],[Quantity]]&lt;=5,"1 to 5",orders[[#This Row],[Quantity]]&lt;=10,"6 to 10",orders[[#This Row],[Quantity]]&lt;=16,"11 to 16",orders[[#This Row],[Quantity]]&gt;16,"Above 16")</f>
        <v>1 to 5</v>
      </c>
    </row>
    <row r="1725" spans="1:16"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c r="P1725" t="str" cm="1">
        <f t="array" ref="P1725">_xlfn.IFS(orders[[#This Row],[Quantity]]&lt;=5,"1 to 5",orders[[#This Row],[Quantity]]&lt;=10,"6 to 10",orders[[#This Row],[Quantity]]&lt;=16,"11 to 16",orders[[#This Row],[Quantity]]&gt;16,"Above 16")</f>
        <v>1 to 5</v>
      </c>
    </row>
    <row r="1726" spans="1:16"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c r="P1726" t="str" cm="1">
        <f t="array" ref="P1726">_xlfn.IFS(orders[[#This Row],[Quantity]]&lt;=5,"1 to 5",orders[[#This Row],[Quantity]]&lt;=10,"6 to 10",orders[[#This Row],[Quantity]]&lt;=16,"11 to 16",orders[[#This Row],[Quantity]]&gt;16,"Above 16")</f>
        <v>6 to 10</v>
      </c>
    </row>
    <row r="1727" spans="1:16"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c r="P1727" t="str" cm="1">
        <f t="array" ref="P1727">_xlfn.IFS(orders[[#This Row],[Quantity]]&lt;=5,"1 to 5",orders[[#This Row],[Quantity]]&lt;=10,"6 to 10",orders[[#This Row],[Quantity]]&lt;=16,"11 to 16",orders[[#This Row],[Quantity]]&gt;16,"Above 16")</f>
        <v>6 to 10</v>
      </c>
    </row>
    <row r="1728" spans="1:16"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c r="P1728" t="str" cm="1">
        <f t="array" ref="P1728">_xlfn.IFS(orders[[#This Row],[Quantity]]&lt;=5,"1 to 5",orders[[#This Row],[Quantity]]&lt;=10,"6 to 10",orders[[#This Row],[Quantity]]&lt;=16,"11 to 16",orders[[#This Row],[Quantity]]&gt;16,"Above 16")</f>
        <v>1 to 5</v>
      </c>
    </row>
    <row r="1729" spans="1:16"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c r="P1729" t="str" cm="1">
        <f t="array" ref="P1729">_xlfn.IFS(orders[[#This Row],[Quantity]]&lt;=5,"1 to 5",orders[[#This Row],[Quantity]]&lt;=10,"6 to 10",orders[[#This Row],[Quantity]]&lt;=16,"11 to 16",orders[[#This Row],[Quantity]]&gt;16,"Above 16")</f>
        <v>1 to 5</v>
      </c>
    </row>
    <row r="1730" spans="1:16"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c r="P1730" t="str" cm="1">
        <f t="array" ref="P1730">_xlfn.IFS(orders[[#This Row],[Quantity]]&lt;=5,"1 to 5",orders[[#This Row],[Quantity]]&lt;=10,"6 to 10",orders[[#This Row],[Quantity]]&lt;=16,"11 to 16",orders[[#This Row],[Quantity]]&gt;16,"Above 16")</f>
        <v>1 to 5</v>
      </c>
    </row>
    <row r="1731" spans="1:16"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c r="P1731" t="str" cm="1">
        <f t="array" ref="P1731">_xlfn.IFS(orders[[#This Row],[Quantity]]&lt;=5,"1 to 5",orders[[#This Row],[Quantity]]&lt;=10,"6 to 10",orders[[#This Row],[Quantity]]&lt;=16,"11 to 16",orders[[#This Row],[Quantity]]&gt;16,"Above 16")</f>
        <v>1 to 5</v>
      </c>
    </row>
    <row r="1732" spans="1:16"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c r="P1732" t="str" cm="1">
        <f t="array" ref="P1732">_xlfn.IFS(orders[[#This Row],[Quantity]]&lt;=5,"1 to 5",orders[[#This Row],[Quantity]]&lt;=10,"6 to 10",orders[[#This Row],[Quantity]]&lt;=16,"11 to 16",orders[[#This Row],[Quantity]]&gt;16,"Above 16")</f>
        <v>1 to 5</v>
      </c>
    </row>
    <row r="1733" spans="1:16"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c r="P1733" t="str" cm="1">
        <f t="array" ref="P1733">_xlfn.IFS(orders[[#This Row],[Quantity]]&lt;=5,"1 to 5",orders[[#This Row],[Quantity]]&lt;=10,"6 to 10",orders[[#This Row],[Quantity]]&lt;=16,"11 to 16",orders[[#This Row],[Quantity]]&gt;16,"Above 16")</f>
        <v>11 to 16</v>
      </c>
    </row>
    <row r="1734" spans="1:16"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c r="P1734" t="str" cm="1">
        <f t="array" ref="P1734">_xlfn.IFS(orders[[#This Row],[Quantity]]&lt;=5,"1 to 5",orders[[#This Row],[Quantity]]&lt;=10,"6 to 10",orders[[#This Row],[Quantity]]&lt;=16,"11 to 16",orders[[#This Row],[Quantity]]&gt;16,"Above 16")</f>
        <v>1 to 5</v>
      </c>
    </row>
    <row r="1735" spans="1:16"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c r="P1735" t="str" cm="1">
        <f t="array" ref="P1735">_xlfn.IFS(orders[[#This Row],[Quantity]]&lt;=5,"1 to 5",orders[[#This Row],[Quantity]]&lt;=10,"6 to 10",orders[[#This Row],[Quantity]]&lt;=16,"11 to 16",orders[[#This Row],[Quantity]]&gt;16,"Above 16")</f>
        <v>1 to 5</v>
      </c>
    </row>
    <row r="1736" spans="1:16"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c r="P1736" t="str" cm="1">
        <f t="array" ref="P1736">_xlfn.IFS(orders[[#This Row],[Quantity]]&lt;=5,"1 to 5",orders[[#This Row],[Quantity]]&lt;=10,"6 to 10",orders[[#This Row],[Quantity]]&lt;=16,"11 to 16",orders[[#This Row],[Quantity]]&gt;16,"Above 16")</f>
        <v>6 to 10</v>
      </c>
    </row>
    <row r="1737" spans="1:16"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c r="P1737" t="str" cm="1">
        <f t="array" ref="P1737">_xlfn.IFS(orders[[#This Row],[Quantity]]&lt;=5,"1 to 5",orders[[#This Row],[Quantity]]&lt;=10,"6 to 10",orders[[#This Row],[Quantity]]&lt;=16,"11 to 16",orders[[#This Row],[Quantity]]&gt;16,"Above 16")</f>
        <v>6 to 10</v>
      </c>
    </row>
    <row r="1738" spans="1:16"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c r="P1738" t="str" cm="1">
        <f t="array" ref="P1738">_xlfn.IFS(orders[[#This Row],[Quantity]]&lt;=5,"1 to 5",orders[[#This Row],[Quantity]]&lt;=10,"6 to 10",orders[[#This Row],[Quantity]]&lt;=16,"11 to 16",orders[[#This Row],[Quantity]]&gt;16,"Above 16")</f>
        <v>6 to 10</v>
      </c>
    </row>
    <row r="1739" spans="1:16"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c r="P1739" t="str" cm="1">
        <f t="array" ref="P1739">_xlfn.IFS(orders[[#This Row],[Quantity]]&lt;=5,"1 to 5",orders[[#This Row],[Quantity]]&lt;=10,"6 to 10",orders[[#This Row],[Quantity]]&lt;=16,"11 to 16",orders[[#This Row],[Quantity]]&gt;16,"Above 16")</f>
        <v>6 to 10</v>
      </c>
    </row>
    <row r="1740" spans="1:16"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c r="P1740" t="str" cm="1">
        <f t="array" ref="P1740">_xlfn.IFS(orders[[#This Row],[Quantity]]&lt;=5,"1 to 5",orders[[#This Row],[Quantity]]&lt;=10,"6 to 10",orders[[#This Row],[Quantity]]&lt;=16,"11 to 16",orders[[#This Row],[Quantity]]&gt;16,"Above 16")</f>
        <v>6 to 10</v>
      </c>
    </row>
    <row r="1741" spans="1:16"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c r="P1741" t="str" cm="1">
        <f t="array" ref="P1741">_xlfn.IFS(orders[[#This Row],[Quantity]]&lt;=5,"1 to 5",orders[[#This Row],[Quantity]]&lt;=10,"6 to 10",orders[[#This Row],[Quantity]]&lt;=16,"11 to 16",orders[[#This Row],[Quantity]]&gt;16,"Above 16")</f>
        <v>1 to 5</v>
      </c>
    </row>
    <row r="1742" spans="1:16"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c r="P1742" t="str" cm="1">
        <f t="array" ref="P1742">_xlfn.IFS(orders[[#This Row],[Quantity]]&lt;=5,"1 to 5",orders[[#This Row],[Quantity]]&lt;=10,"6 to 10",orders[[#This Row],[Quantity]]&lt;=16,"11 to 16",orders[[#This Row],[Quantity]]&gt;16,"Above 16")</f>
        <v>6 to 10</v>
      </c>
    </row>
    <row r="1743" spans="1:16"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c r="P1743" t="str" cm="1">
        <f t="array" ref="P1743">_xlfn.IFS(orders[[#This Row],[Quantity]]&lt;=5,"1 to 5",orders[[#This Row],[Quantity]]&lt;=10,"6 to 10",orders[[#This Row],[Quantity]]&lt;=16,"11 to 16",orders[[#This Row],[Quantity]]&gt;16,"Above 16")</f>
        <v>6 to 10</v>
      </c>
    </row>
    <row r="1744" spans="1:16"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c r="P1744" t="str" cm="1">
        <f t="array" ref="P1744">_xlfn.IFS(orders[[#This Row],[Quantity]]&lt;=5,"1 to 5",orders[[#This Row],[Quantity]]&lt;=10,"6 to 10",orders[[#This Row],[Quantity]]&lt;=16,"11 to 16",orders[[#This Row],[Quantity]]&gt;16,"Above 16")</f>
        <v>11 to 16</v>
      </c>
    </row>
    <row r="1745" spans="1:16"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c r="P1745" t="str" cm="1">
        <f t="array" ref="P1745">_xlfn.IFS(orders[[#This Row],[Quantity]]&lt;=5,"1 to 5",orders[[#This Row],[Quantity]]&lt;=10,"6 to 10",orders[[#This Row],[Quantity]]&lt;=16,"11 to 16",orders[[#This Row],[Quantity]]&gt;16,"Above 16")</f>
        <v>1 to 5</v>
      </c>
    </row>
    <row r="1746" spans="1:16"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c r="P1746" t="str" cm="1">
        <f t="array" ref="P1746">_xlfn.IFS(orders[[#This Row],[Quantity]]&lt;=5,"1 to 5",orders[[#This Row],[Quantity]]&lt;=10,"6 to 10",orders[[#This Row],[Quantity]]&lt;=16,"11 to 16",orders[[#This Row],[Quantity]]&gt;16,"Above 16")</f>
        <v>1 to 5</v>
      </c>
    </row>
    <row r="1747" spans="1:16"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c r="P1747" t="str" cm="1">
        <f t="array" ref="P1747">_xlfn.IFS(orders[[#This Row],[Quantity]]&lt;=5,"1 to 5",orders[[#This Row],[Quantity]]&lt;=10,"6 to 10",orders[[#This Row],[Quantity]]&lt;=16,"11 to 16",orders[[#This Row],[Quantity]]&gt;16,"Above 16")</f>
        <v>6 to 10</v>
      </c>
    </row>
    <row r="1748" spans="1:16"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c r="P1748" t="str" cm="1">
        <f t="array" ref="P1748">_xlfn.IFS(orders[[#This Row],[Quantity]]&lt;=5,"1 to 5",orders[[#This Row],[Quantity]]&lt;=10,"6 to 10",orders[[#This Row],[Quantity]]&lt;=16,"11 to 16",orders[[#This Row],[Quantity]]&gt;16,"Above 16")</f>
        <v>6 to 10</v>
      </c>
    </row>
    <row r="1749" spans="1:16"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c r="P1749" t="str" cm="1">
        <f t="array" ref="P1749">_xlfn.IFS(orders[[#This Row],[Quantity]]&lt;=5,"1 to 5",orders[[#This Row],[Quantity]]&lt;=10,"6 to 10",orders[[#This Row],[Quantity]]&lt;=16,"11 to 16",orders[[#This Row],[Quantity]]&gt;16,"Above 16")</f>
        <v>6 to 10</v>
      </c>
    </row>
    <row r="1750" spans="1:16"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c r="P1750" t="str" cm="1">
        <f t="array" ref="P1750">_xlfn.IFS(orders[[#This Row],[Quantity]]&lt;=5,"1 to 5",orders[[#This Row],[Quantity]]&lt;=10,"6 to 10",orders[[#This Row],[Quantity]]&lt;=16,"11 to 16",orders[[#This Row],[Quantity]]&gt;16,"Above 16")</f>
        <v>1 to 5</v>
      </c>
    </row>
    <row r="1751" spans="1:16"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c r="P1751" t="str" cm="1">
        <f t="array" ref="P1751">_xlfn.IFS(orders[[#This Row],[Quantity]]&lt;=5,"1 to 5",orders[[#This Row],[Quantity]]&lt;=10,"6 to 10",orders[[#This Row],[Quantity]]&lt;=16,"11 to 16",orders[[#This Row],[Quantity]]&gt;16,"Above 16")</f>
        <v>6 to 10</v>
      </c>
    </row>
    <row r="1752" spans="1:16"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c r="P1752" t="str" cm="1">
        <f t="array" ref="P1752">_xlfn.IFS(orders[[#This Row],[Quantity]]&lt;=5,"1 to 5",orders[[#This Row],[Quantity]]&lt;=10,"6 to 10",orders[[#This Row],[Quantity]]&lt;=16,"11 to 16",orders[[#This Row],[Quantity]]&gt;16,"Above 16")</f>
        <v>6 to 10</v>
      </c>
    </row>
    <row r="1753" spans="1:16"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c r="P1753" t="str" cm="1">
        <f t="array" ref="P1753">_xlfn.IFS(orders[[#This Row],[Quantity]]&lt;=5,"1 to 5",orders[[#This Row],[Quantity]]&lt;=10,"6 to 10",orders[[#This Row],[Quantity]]&lt;=16,"11 to 16",orders[[#This Row],[Quantity]]&gt;16,"Above 16")</f>
        <v>1 to 5</v>
      </c>
    </row>
    <row r="1754" spans="1:16"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c r="P1754" t="str" cm="1">
        <f t="array" ref="P1754">_xlfn.IFS(orders[[#This Row],[Quantity]]&lt;=5,"1 to 5",orders[[#This Row],[Quantity]]&lt;=10,"6 to 10",orders[[#This Row],[Quantity]]&lt;=16,"11 to 16",orders[[#This Row],[Quantity]]&gt;16,"Above 16")</f>
        <v>Above 16</v>
      </c>
    </row>
    <row r="1755" spans="1:16"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c r="P1755" t="str" cm="1">
        <f t="array" ref="P1755">_xlfn.IFS(orders[[#This Row],[Quantity]]&lt;=5,"1 to 5",orders[[#This Row],[Quantity]]&lt;=10,"6 to 10",orders[[#This Row],[Quantity]]&lt;=16,"11 to 16",orders[[#This Row],[Quantity]]&gt;16,"Above 16")</f>
        <v>1 to 5</v>
      </c>
    </row>
    <row r="1756" spans="1:16"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c r="P1756" t="str" cm="1">
        <f t="array" ref="P1756">_xlfn.IFS(orders[[#This Row],[Quantity]]&lt;=5,"1 to 5",orders[[#This Row],[Quantity]]&lt;=10,"6 to 10",orders[[#This Row],[Quantity]]&lt;=16,"11 to 16",orders[[#This Row],[Quantity]]&gt;16,"Above 16")</f>
        <v>6 to 10</v>
      </c>
    </row>
    <row r="1757" spans="1:16"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c r="P1757" t="str" cm="1">
        <f t="array" ref="P1757">_xlfn.IFS(orders[[#This Row],[Quantity]]&lt;=5,"1 to 5",orders[[#This Row],[Quantity]]&lt;=10,"6 to 10",orders[[#This Row],[Quantity]]&lt;=16,"11 to 16",orders[[#This Row],[Quantity]]&gt;16,"Above 16")</f>
        <v>1 to 5</v>
      </c>
    </row>
    <row r="1758" spans="1:16"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c r="P1758" t="str" cm="1">
        <f t="array" ref="P1758">_xlfn.IFS(orders[[#This Row],[Quantity]]&lt;=5,"1 to 5",orders[[#This Row],[Quantity]]&lt;=10,"6 to 10",orders[[#This Row],[Quantity]]&lt;=16,"11 to 16",orders[[#This Row],[Quantity]]&gt;16,"Above 16")</f>
        <v>1 to 5</v>
      </c>
    </row>
    <row r="1759" spans="1:16"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c r="P1759" t="str" cm="1">
        <f t="array" ref="P1759">_xlfn.IFS(orders[[#This Row],[Quantity]]&lt;=5,"1 to 5",orders[[#This Row],[Quantity]]&lt;=10,"6 to 10",orders[[#This Row],[Quantity]]&lt;=16,"11 to 16",orders[[#This Row],[Quantity]]&gt;16,"Above 16")</f>
        <v>1 to 5</v>
      </c>
    </row>
    <row r="1760" spans="1:16"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c r="P1760" t="str" cm="1">
        <f t="array" ref="P1760">_xlfn.IFS(orders[[#This Row],[Quantity]]&lt;=5,"1 to 5",orders[[#This Row],[Quantity]]&lt;=10,"6 to 10",orders[[#This Row],[Quantity]]&lt;=16,"11 to 16",orders[[#This Row],[Quantity]]&gt;16,"Above 16")</f>
        <v>1 to 5</v>
      </c>
    </row>
    <row r="1761" spans="1:16"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c r="P1761" t="str" cm="1">
        <f t="array" ref="P1761">_xlfn.IFS(orders[[#This Row],[Quantity]]&lt;=5,"1 to 5",orders[[#This Row],[Quantity]]&lt;=10,"6 to 10",orders[[#This Row],[Quantity]]&lt;=16,"11 to 16",orders[[#This Row],[Quantity]]&gt;16,"Above 16")</f>
        <v>6 to 10</v>
      </c>
    </row>
    <row r="1762" spans="1:16"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c r="P1762" t="str" cm="1">
        <f t="array" ref="P1762">_xlfn.IFS(orders[[#This Row],[Quantity]]&lt;=5,"1 to 5",orders[[#This Row],[Quantity]]&lt;=10,"6 to 10",orders[[#This Row],[Quantity]]&lt;=16,"11 to 16",orders[[#This Row],[Quantity]]&gt;16,"Above 16")</f>
        <v>1 to 5</v>
      </c>
    </row>
    <row r="1763" spans="1:16"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c r="P1763" t="str" cm="1">
        <f t="array" ref="P1763">_xlfn.IFS(orders[[#This Row],[Quantity]]&lt;=5,"1 to 5",orders[[#This Row],[Quantity]]&lt;=10,"6 to 10",orders[[#This Row],[Quantity]]&lt;=16,"11 to 16",orders[[#This Row],[Quantity]]&gt;16,"Above 16")</f>
        <v>11 to 16</v>
      </c>
    </row>
    <row r="1764" spans="1:16"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c r="P1764" t="str" cm="1">
        <f t="array" ref="P1764">_xlfn.IFS(orders[[#This Row],[Quantity]]&lt;=5,"1 to 5",orders[[#This Row],[Quantity]]&lt;=10,"6 to 10",orders[[#This Row],[Quantity]]&lt;=16,"11 to 16",orders[[#This Row],[Quantity]]&gt;16,"Above 16")</f>
        <v>Above 16</v>
      </c>
    </row>
    <row r="1765" spans="1:16"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c r="P1765" t="str" cm="1">
        <f t="array" ref="P1765">_xlfn.IFS(orders[[#This Row],[Quantity]]&lt;=5,"1 to 5",orders[[#This Row],[Quantity]]&lt;=10,"6 to 10",orders[[#This Row],[Quantity]]&lt;=16,"11 to 16",orders[[#This Row],[Quantity]]&gt;16,"Above 16")</f>
        <v>6 to 10</v>
      </c>
    </row>
    <row r="1766" spans="1:16"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c r="P1766" t="str" cm="1">
        <f t="array" ref="P1766">_xlfn.IFS(orders[[#This Row],[Quantity]]&lt;=5,"1 to 5",orders[[#This Row],[Quantity]]&lt;=10,"6 to 10",orders[[#This Row],[Quantity]]&lt;=16,"11 to 16",orders[[#This Row],[Quantity]]&gt;16,"Above 16")</f>
        <v>1 to 5</v>
      </c>
    </row>
    <row r="1767" spans="1:16"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c r="P1767" t="str" cm="1">
        <f t="array" ref="P1767">_xlfn.IFS(orders[[#This Row],[Quantity]]&lt;=5,"1 to 5",orders[[#This Row],[Quantity]]&lt;=10,"6 to 10",orders[[#This Row],[Quantity]]&lt;=16,"11 to 16",orders[[#This Row],[Quantity]]&gt;16,"Above 16")</f>
        <v>6 to 10</v>
      </c>
    </row>
    <row r="1768" spans="1:16"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c r="P1768" t="str" cm="1">
        <f t="array" ref="P1768">_xlfn.IFS(orders[[#This Row],[Quantity]]&lt;=5,"1 to 5",orders[[#This Row],[Quantity]]&lt;=10,"6 to 10",orders[[#This Row],[Quantity]]&lt;=16,"11 to 16",orders[[#This Row],[Quantity]]&gt;16,"Above 16")</f>
        <v>1 to 5</v>
      </c>
    </row>
    <row r="1769" spans="1:16"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c r="P1769" t="str" cm="1">
        <f t="array" ref="P1769">_xlfn.IFS(orders[[#This Row],[Quantity]]&lt;=5,"1 to 5",orders[[#This Row],[Quantity]]&lt;=10,"6 to 10",orders[[#This Row],[Quantity]]&lt;=16,"11 to 16",orders[[#This Row],[Quantity]]&gt;16,"Above 16")</f>
        <v>6 to 10</v>
      </c>
    </row>
    <row r="1770" spans="1:16"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c r="P1770" t="str" cm="1">
        <f t="array" ref="P1770">_xlfn.IFS(orders[[#This Row],[Quantity]]&lt;=5,"1 to 5",orders[[#This Row],[Quantity]]&lt;=10,"6 to 10",orders[[#This Row],[Quantity]]&lt;=16,"11 to 16",orders[[#This Row],[Quantity]]&gt;16,"Above 16")</f>
        <v>1 to 5</v>
      </c>
    </row>
    <row r="1771" spans="1:16"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c r="P1771" t="str" cm="1">
        <f t="array" ref="P1771">_xlfn.IFS(orders[[#This Row],[Quantity]]&lt;=5,"1 to 5",orders[[#This Row],[Quantity]]&lt;=10,"6 to 10",orders[[#This Row],[Quantity]]&lt;=16,"11 to 16",orders[[#This Row],[Quantity]]&gt;16,"Above 16")</f>
        <v>1 to 5</v>
      </c>
    </row>
    <row r="1772" spans="1:16"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c r="P1772" t="str" cm="1">
        <f t="array" ref="P1772">_xlfn.IFS(orders[[#This Row],[Quantity]]&lt;=5,"1 to 5",orders[[#This Row],[Quantity]]&lt;=10,"6 to 10",orders[[#This Row],[Quantity]]&lt;=16,"11 to 16",orders[[#This Row],[Quantity]]&gt;16,"Above 16")</f>
        <v>1 to 5</v>
      </c>
    </row>
    <row r="1773" spans="1:16"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c r="P1773" t="str" cm="1">
        <f t="array" ref="P1773">_xlfn.IFS(orders[[#This Row],[Quantity]]&lt;=5,"1 to 5",orders[[#This Row],[Quantity]]&lt;=10,"6 to 10",orders[[#This Row],[Quantity]]&lt;=16,"11 to 16",orders[[#This Row],[Quantity]]&gt;16,"Above 16")</f>
        <v>11 to 16</v>
      </c>
    </row>
    <row r="1774" spans="1:16"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c r="P1774" t="str" cm="1">
        <f t="array" ref="P1774">_xlfn.IFS(orders[[#This Row],[Quantity]]&lt;=5,"1 to 5",orders[[#This Row],[Quantity]]&lt;=10,"6 to 10",orders[[#This Row],[Quantity]]&lt;=16,"11 to 16",orders[[#This Row],[Quantity]]&gt;16,"Above 16")</f>
        <v>6 to 10</v>
      </c>
    </row>
    <row r="1775" spans="1:16"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c r="P1775" t="str" cm="1">
        <f t="array" ref="P1775">_xlfn.IFS(orders[[#This Row],[Quantity]]&lt;=5,"1 to 5",orders[[#This Row],[Quantity]]&lt;=10,"6 to 10",orders[[#This Row],[Quantity]]&lt;=16,"11 to 16",orders[[#This Row],[Quantity]]&gt;16,"Above 16")</f>
        <v>11 to 16</v>
      </c>
    </row>
    <row r="1776" spans="1:16"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c r="P1776" t="str" cm="1">
        <f t="array" ref="P1776">_xlfn.IFS(orders[[#This Row],[Quantity]]&lt;=5,"1 to 5",orders[[#This Row],[Quantity]]&lt;=10,"6 to 10",orders[[#This Row],[Quantity]]&lt;=16,"11 to 16",orders[[#This Row],[Quantity]]&gt;16,"Above 16")</f>
        <v>1 to 5</v>
      </c>
    </row>
    <row r="1777" spans="1:16"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c r="P1777" t="str" cm="1">
        <f t="array" ref="P1777">_xlfn.IFS(orders[[#This Row],[Quantity]]&lt;=5,"1 to 5",orders[[#This Row],[Quantity]]&lt;=10,"6 to 10",orders[[#This Row],[Quantity]]&lt;=16,"11 to 16",orders[[#This Row],[Quantity]]&gt;16,"Above 16")</f>
        <v>1 to 5</v>
      </c>
    </row>
    <row r="1778" spans="1:16"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c r="P1778" t="str" cm="1">
        <f t="array" ref="P1778">_xlfn.IFS(orders[[#This Row],[Quantity]]&lt;=5,"1 to 5",orders[[#This Row],[Quantity]]&lt;=10,"6 to 10",orders[[#This Row],[Quantity]]&lt;=16,"11 to 16",orders[[#This Row],[Quantity]]&gt;16,"Above 16")</f>
        <v>6 to 10</v>
      </c>
    </row>
    <row r="1779" spans="1:16"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c r="P1779" t="str" cm="1">
        <f t="array" ref="P1779">_xlfn.IFS(orders[[#This Row],[Quantity]]&lt;=5,"1 to 5",orders[[#This Row],[Quantity]]&lt;=10,"6 to 10",orders[[#This Row],[Quantity]]&lt;=16,"11 to 16",orders[[#This Row],[Quantity]]&gt;16,"Above 16")</f>
        <v>1 to 5</v>
      </c>
    </row>
    <row r="1780" spans="1:16"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c r="P1780" t="str" cm="1">
        <f t="array" ref="P1780">_xlfn.IFS(orders[[#This Row],[Quantity]]&lt;=5,"1 to 5",orders[[#This Row],[Quantity]]&lt;=10,"6 to 10",orders[[#This Row],[Quantity]]&lt;=16,"11 to 16",orders[[#This Row],[Quantity]]&gt;16,"Above 16")</f>
        <v>1 to 5</v>
      </c>
    </row>
    <row r="1781" spans="1:16"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c r="P1781" t="str" cm="1">
        <f t="array" ref="P1781">_xlfn.IFS(orders[[#This Row],[Quantity]]&lt;=5,"1 to 5",orders[[#This Row],[Quantity]]&lt;=10,"6 to 10",orders[[#This Row],[Quantity]]&lt;=16,"11 to 16",orders[[#This Row],[Quantity]]&gt;16,"Above 16")</f>
        <v>1 to 5</v>
      </c>
    </row>
    <row r="1782" spans="1:16"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c r="P1782" t="str" cm="1">
        <f t="array" ref="P1782">_xlfn.IFS(orders[[#This Row],[Quantity]]&lt;=5,"1 to 5",orders[[#This Row],[Quantity]]&lt;=10,"6 to 10",orders[[#This Row],[Quantity]]&lt;=16,"11 to 16",orders[[#This Row],[Quantity]]&gt;16,"Above 16")</f>
        <v>1 to 5</v>
      </c>
    </row>
    <row r="1783" spans="1:16"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c r="P1783" t="str" cm="1">
        <f t="array" ref="P1783">_xlfn.IFS(orders[[#This Row],[Quantity]]&lt;=5,"1 to 5",orders[[#This Row],[Quantity]]&lt;=10,"6 to 10",orders[[#This Row],[Quantity]]&lt;=16,"11 to 16",orders[[#This Row],[Quantity]]&gt;16,"Above 16")</f>
        <v>6 to 10</v>
      </c>
    </row>
    <row r="1784" spans="1:16"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c r="P1784" t="str" cm="1">
        <f t="array" ref="P1784">_xlfn.IFS(orders[[#This Row],[Quantity]]&lt;=5,"1 to 5",orders[[#This Row],[Quantity]]&lt;=10,"6 to 10",orders[[#This Row],[Quantity]]&lt;=16,"11 to 16",orders[[#This Row],[Quantity]]&gt;16,"Above 16")</f>
        <v>1 to 5</v>
      </c>
    </row>
    <row r="1785" spans="1:16"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c r="P1785" t="str" cm="1">
        <f t="array" ref="P1785">_xlfn.IFS(orders[[#This Row],[Quantity]]&lt;=5,"1 to 5",orders[[#This Row],[Quantity]]&lt;=10,"6 to 10",orders[[#This Row],[Quantity]]&lt;=16,"11 to 16",orders[[#This Row],[Quantity]]&gt;16,"Above 16")</f>
        <v>1 to 5</v>
      </c>
    </row>
    <row r="1786" spans="1:16"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c r="P1786" t="str" cm="1">
        <f t="array" ref="P1786">_xlfn.IFS(orders[[#This Row],[Quantity]]&lt;=5,"1 to 5",orders[[#This Row],[Quantity]]&lt;=10,"6 to 10",orders[[#This Row],[Quantity]]&lt;=16,"11 to 16",orders[[#This Row],[Quantity]]&gt;16,"Above 16")</f>
        <v>1 to 5</v>
      </c>
    </row>
    <row r="1787" spans="1:16"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c r="P1787" t="str" cm="1">
        <f t="array" ref="P1787">_xlfn.IFS(orders[[#This Row],[Quantity]]&lt;=5,"1 to 5",orders[[#This Row],[Quantity]]&lt;=10,"6 to 10",orders[[#This Row],[Quantity]]&lt;=16,"11 to 16",orders[[#This Row],[Quantity]]&gt;16,"Above 16")</f>
        <v>6 to 10</v>
      </c>
    </row>
    <row r="1788" spans="1:16"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c r="P1788" t="str" cm="1">
        <f t="array" ref="P1788">_xlfn.IFS(orders[[#This Row],[Quantity]]&lt;=5,"1 to 5",orders[[#This Row],[Quantity]]&lt;=10,"6 to 10",orders[[#This Row],[Quantity]]&lt;=16,"11 to 16",orders[[#This Row],[Quantity]]&gt;16,"Above 16")</f>
        <v>6 to 10</v>
      </c>
    </row>
    <row r="1789" spans="1:16"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c r="P1789" t="str" cm="1">
        <f t="array" ref="P1789">_xlfn.IFS(orders[[#This Row],[Quantity]]&lt;=5,"1 to 5",orders[[#This Row],[Quantity]]&lt;=10,"6 to 10",orders[[#This Row],[Quantity]]&lt;=16,"11 to 16",orders[[#This Row],[Quantity]]&gt;16,"Above 16")</f>
        <v>1 to 5</v>
      </c>
    </row>
    <row r="1790" spans="1:16"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c r="P1790" t="str" cm="1">
        <f t="array" ref="P1790">_xlfn.IFS(orders[[#This Row],[Quantity]]&lt;=5,"1 to 5",orders[[#This Row],[Quantity]]&lt;=10,"6 to 10",orders[[#This Row],[Quantity]]&lt;=16,"11 to 16",orders[[#This Row],[Quantity]]&gt;16,"Above 16")</f>
        <v>6 to 10</v>
      </c>
    </row>
    <row r="1791" spans="1:16"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c r="P1791" t="str" cm="1">
        <f t="array" ref="P1791">_xlfn.IFS(orders[[#This Row],[Quantity]]&lt;=5,"1 to 5",orders[[#This Row],[Quantity]]&lt;=10,"6 to 10",orders[[#This Row],[Quantity]]&lt;=16,"11 to 16",orders[[#This Row],[Quantity]]&gt;16,"Above 16")</f>
        <v>1 to 5</v>
      </c>
    </row>
    <row r="1792" spans="1:16"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c r="P1792" t="str" cm="1">
        <f t="array" ref="P1792">_xlfn.IFS(orders[[#This Row],[Quantity]]&lt;=5,"1 to 5",orders[[#This Row],[Quantity]]&lt;=10,"6 to 10",orders[[#This Row],[Quantity]]&lt;=16,"11 to 16",orders[[#This Row],[Quantity]]&gt;16,"Above 16")</f>
        <v>1 to 5</v>
      </c>
    </row>
    <row r="1793" spans="1:16"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c r="P1793" t="str" cm="1">
        <f t="array" ref="P1793">_xlfn.IFS(orders[[#This Row],[Quantity]]&lt;=5,"1 to 5",orders[[#This Row],[Quantity]]&lt;=10,"6 to 10",orders[[#This Row],[Quantity]]&lt;=16,"11 to 16",orders[[#This Row],[Quantity]]&gt;16,"Above 16")</f>
        <v>1 to 5</v>
      </c>
    </row>
    <row r="1794" spans="1:16"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c r="P1794" t="str" cm="1">
        <f t="array" ref="P1794">_xlfn.IFS(orders[[#This Row],[Quantity]]&lt;=5,"1 to 5",orders[[#This Row],[Quantity]]&lt;=10,"6 to 10",orders[[#This Row],[Quantity]]&lt;=16,"11 to 16",orders[[#This Row],[Quantity]]&gt;16,"Above 16")</f>
        <v>1 to 5</v>
      </c>
    </row>
    <row r="1795" spans="1:16"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c r="P1795" t="str" cm="1">
        <f t="array" ref="P1795">_xlfn.IFS(orders[[#This Row],[Quantity]]&lt;=5,"1 to 5",orders[[#This Row],[Quantity]]&lt;=10,"6 to 10",orders[[#This Row],[Quantity]]&lt;=16,"11 to 16",orders[[#This Row],[Quantity]]&gt;16,"Above 16")</f>
        <v>1 to 5</v>
      </c>
    </row>
    <row r="1796" spans="1:16"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c r="P1796" t="str" cm="1">
        <f t="array" ref="P1796">_xlfn.IFS(orders[[#This Row],[Quantity]]&lt;=5,"1 to 5",orders[[#This Row],[Quantity]]&lt;=10,"6 to 10",orders[[#This Row],[Quantity]]&lt;=16,"11 to 16",orders[[#This Row],[Quantity]]&gt;16,"Above 16")</f>
        <v>1 to 5</v>
      </c>
    </row>
    <row r="1797" spans="1:16"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c r="P1797" t="str" cm="1">
        <f t="array" ref="P1797">_xlfn.IFS(orders[[#This Row],[Quantity]]&lt;=5,"1 to 5",orders[[#This Row],[Quantity]]&lt;=10,"6 to 10",orders[[#This Row],[Quantity]]&lt;=16,"11 to 16",orders[[#This Row],[Quantity]]&gt;16,"Above 16")</f>
        <v>1 to 5</v>
      </c>
    </row>
    <row r="1798" spans="1:16"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c r="P1798" t="str" cm="1">
        <f t="array" ref="P1798">_xlfn.IFS(orders[[#This Row],[Quantity]]&lt;=5,"1 to 5",orders[[#This Row],[Quantity]]&lt;=10,"6 to 10",orders[[#This Row],[Quantity]]&lt;=16,"11 to 16",orders[[#This Row],[Quantity]]&gt;16,"Above 16")</f>
        <v>6 to 10</v>
      </c>
    </row>
    <row r="1799" spans="1:16"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c r="P1799" t="str" cm="1">
        <f t="array" ref="P1799">_xlfn.IFS(orders[[#This Row],[Quantity]]&lt;=5,"1 to 5",orders[[#This Row],[Quantity]]&lt;=10,"6 to 10",orders[[#This Row],[Quantity]]&lt;=16,"11 to 16",orders[[#This Row],[Quantity]]&gt;16,"Above 16")</f>
        <v>1 to 5</v>
      </c>
    </row>
    <row r="1800" spans="1:16"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c r="P1800" t="str" cm="1">
        <f t="array" ref="P1800">_xlfn.IFS(orders[[#This Row],[Quantity]]&lt;=5,"1 to 5",orders[[#This Row],[Quantity]]&lt;=10,"6 to 10",orders[[#This Row],[Quantity]]&lt;=16,"11 to 16",orders[[#This Row],[Quantity]]&gt;16,"Above 16")</f>
        <v>1 to 5</v>
      </c>
    </row>
    <row r="1801" spans="1:16"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c r="P1801" t="str" cm="1">
        <f t="array" ref="P1801">_xlfn.IFS(orders[[#This Row],[Quantity]]&lt;=5,"1 to 5",orders[[#This Row],[Quantity]]&lt;=10,"6 to 10",orders[[#This Row],[Quantity]]&lt;=16,"11 to 16",orders[[#This Row],[Quantity]]&gt;16,"Above 16")</f>
        <v>Above 16</v>
      </c>
    </row>
    <row r="1802" spans="1:16"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c r="P1802" t="str" cm="1">
        <f t="array" ref="P1802">_xlfn.IFS(orders[[#This Row],[Quantity]]&lt;=5,"1 to 5",orders[[#This Row],[Quantity]]&lt;=10,"6 to 10",orders[[#This Row],[Quantity]]&lt;=16,"11 to 16",orders[[#This Row],[Quantity]]&gt;16,"Above 16")</f>
        <v>1 to 5</v>
      </c>
    </row>
    <row r="1803" spans="1:16"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c r="P1803" t="str" cm="1">
        <f t="array" ref="P1803">_xlfn.IFS(orders[[#This Row],[Quantity]]&lt;=5,"1 to 5",orders[[#This Row],[Quantity]]&lt;=10,"6 to 10",orders[[#This Row],[Quantity]]&lt;=16,"11 to 16",orders[[#This Row],[Quantity]]&gt;16,"Above 16")</f>
        <v>1 to 5</v>
      </c>
    </row>
    <row r="1804" spans="1:16"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c r="P1804" t="str" cm="1">
        <f t="array" ref="P1804">_xlfn.IFS(orders[[#This Row],[Quantity]]&lt;=5,"1 to 5",orders[[#This Row],[Quantity]]&lt;=10,"6 to 10",orders[[#This Row],[Quantity]]&lt;=16,"11 to 16",orders[[#This Row],[Quantity]]&gt;16,"Above 16")</f>
        <v>1 to 5</v>
      </c>
    </row>
    <row r="1805" spans="1:16"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c r="P1805" t="str" cm="1">
        <f t="array" ref="P1805">_xlfn.IFS(orders[[#This Row],[Quantity]]&lt;=5,"1 to 5",orders[[#This Row],[Quantity]]&lt;=10,"6 to 10",orders[[#This Row],[Quantity]]&lt;=16,"11 to 16",orders[[#This Row],[Quantity]]&gt;16,"Above 16")</f>
        <v>1 to 5</v>
      </c>
    </row>
    <row r="1806" spans="1:16"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c r="P1806" t="str" cm="1">
        <f t="array" ref="P1806">_xlfn.IFS(orders[[#This Row],[Quantity]]&lt;=5,"1 to 5",orders[[#This Row],[Quantity]]&lt;=10,"6 to 10",orders[[#This Row],[Quantity]]&lt;=16,"11 to 16",orders[[#This Row],[Quantity]]&gt;16,"Above 16")</f>
        <v>1 to 5</v>
      </c>
    </row>
    <row r="1807" spans="1:16"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c r="P1807" t="str" cm="1">
        <f t="array" ref="P1807">_xlfn.IFS(orders[[#This Row],[Quantity]]&lt;=5,"1 to 5",orders[[#This Row],[Quantity]]&lt;=10,"6 to 10",orders[[#This Row],[Quantity]]&lt;=16,"11 to 16",orders[[#This Row],[Quantity]]&gt;16,"Above 16")</f>
        <v>6 to 10</v>
      </c>
    </row>
    <row r="1808" spans="1:16"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c r="P1808" t="str" cm="1">
        <f t="array" ref="P1808">_xlfn.IFS(orders[[#This Row],[Quantity]]&lt;=5,"1 to 5",orders[[#This Row],[Quantity]]&lt;=10,"6 to 10",orders[[#This Row],[Quantity]]&lt;=16,"11 to 16",orders[[#This Row],[Quantity]]&gt;16,"Above 16")</f>
        <v>1 to 5</v>
      </c>
    </row>
    <row r="1809" spans="1:16"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c r="P1809" t="str" cm="1">
        <f t="array" ref="P1809">_xlfn.IFS(orders[[#This Row],[Quantity]]&lt;=5,"1 to 5",orders[[#This Row],[Quantity]]&lt;=10,"6 to 10",orders[[#This Row],[Quantity]]&lt;=16,"11 to 16",orders[[#This Row],[Quantity]]&gt;16,"Above 16")</f>
        <v>1 to 5</v>
      </c>
    </row>
    <row r="1810" spans="1:16"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c r="P1810" t="str" cm="1">
        <f t="array" ref="P1810">_xlfn.IFS(orders[[#This Row],[Quantity]]&lt;=5,"1 to 5",orders[[#This Row],[Quantity]]&lt;=10,"6 to 10",orders[[#This Row],[Quantity]]&lt;=16,"11 to 16",orders[[#This Row],[Quantity]]&gt;16,"Above 16")</f>
        <v>1 to 5</v>
      </c>
    </row>
    <row r="1811" spans="1:16"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c r="P1811" t="str" cm="1">
        <f t="array" ref="P1811">_xlfn.IFS(orders[[#This Row],[Quantity]]&lt;=5,"1 to 5",orders[[#This Row],[Quantity]]&lt;=10,"6 to 10",orders[[#This Row],[Quantity]]&lt;=16,"11 to 16",orders[[#This Row],[Quantity]]&gt;16,"Above 16")</f>
        <v>1 to 5</v>
      </c>
    </row>
    <row r="1812" spans="1:16"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c r="P1812" t="str" cm="1">
        <f t="array" ref="P1812">_xlfn.IFS(orders[[#This Row],[Quantity]]&lt;=5,"1 to 5",orders[[#This Row],[Quantity]]&lt;=10,"6 to 10",orders[[#This Row],[Quantity]]&lt;=16,"11 to 16",orders[[#This Row],[Quantity]]&gt;16,"Above 16")</f>
        <v>1 to 5</v>
      </c>
    </row>
    <row r="1813" spans="1:16"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c r="P1813" t="str" cm="1">
        <f t="array" ref="P1813">_xlfn.IFS(orders[[#This Row],[Quantity]]&lt;=5,"1 to 5",orders[[#This Row],[Quantity]]&lt;=10,"6 to 10",orders[[#This Row],[Quantity]]&lt;=16,"11 to 16",orders[[#This Row],[Quantity]]&gt;16,"Above 16")</f>
        <v>1 to 5</v>
      </c>
    </row>
    <row r="1814" spans="1:16"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c r="P1814" t="str" cm="1">
        <f t="array" ref="P1814">_xlfn.IFS(orders[[#This Row],[Quantity]]&lt;=5,"1 to 5",orders[[#This Row],[Quantity]]&lt;=10,"6 to 10",orders[[#This Row],[Quantity]]&lt;=16,"11 to 16",orders[[#This Row],[Quantity]]&gt;16,"Above 16")</f>
        <v>1 to 5</v>
      </c>
    </row>
    <row r="1815" spans="1:16"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c r="P1815" t="str" cm="1">
        <f t="array" ref="P1815">_xlfn.IFS(orders[[#This Row],[Quantity]]&lt;=5,"1 to 5",orders[[#This Row],[Quantity]]&lt;=10,"6 to 10",orders[[#This Row],[Quantity]]&lt;=16,"11 to 16",orders[[#This Row],[Quantity]]&gt;16,"Above 16")</f>
        <v>1 to 5</v>
      </c>
    </row>
    <row r="1816" spans="1:16"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c r="P1816" t="str" cm="1">
        <f t="array" ref="P1816">_xlfn.IFS(orders[[#This Row],[Quantity]]&lt;=5,"1 to 5",orders[[#This Row],[Quantity]]&lt;=10,"6 to 10",orders[[#This Row],[Quantity]]&lt;=16,"11 to 16",orders[[#This Row],[Quantity]]&gt;16,"Above 16")</f>
        <v>1 to 5</v>
      </c>
    </row>
    <row r="1817" spans="1:16"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c r="P1817" t="str" cm="1">
        <f t="array" ref="P1817">_xlfn.IFS(orders[[#This Row],[Quantity]]&lt;=5,"1 to 5",orders[[#This Row],[Quantity]]&lt;=10,"6 to 10",orders[[#This Row],[Quantity]]&lt;=16,"11 to 16",orders[[#This Row],[Quantity]]&gt;16,"Above 16")</f>
        <v>11 to 16</v>
      </c>
    </row>
    <row r="1818" spans="1:16"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c r="P1818" t="str" cm="1">
        <f t="array" ref="P1818">_xlfn.IFS(orders[[#This Row],[Quantity]]&lt;=5,"1 to 5",orders[[#This Row],[Quantity]]&lt;=10,"6 to 10",orders[[#This Row],[Quantity]]&lt;=16,"11 to 16",orders[[#This Row],[Quantity]]&gt;16,"Above 16")</f>
        <v>1 to 5</v>
      </c>
    </row>
    <row r="1819" spans="1:16"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c r="P1819" t="str" cm="1">
        <f t="array" ref="P1819">_xlfn.IFS(orders[[#This Row],[Quantity]]&lt;=5,"1 to 5",orders[[#This Row],[Quantity]]&lt;=10,"6 to 10",orders[[#This Row],[Quantity]]&lt;=16,"11 to 16",orders[[#This Row],[Quantity]]&gt;16,"Above 16")</f>
        <v>1 to 5</v>
      </c>
    </row>
    <row r="1820" spans="1:16"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c r="P1820" t="str" cm="1">
        <f t="array" ref="P1820">_xlfn.IFS(orders[[#This Row],[Quantity]]&lt;=5,"1 to 5",orders[[#This Row],[Quantity]]&lt;=10,"6 to 10",orders[[#This Row],[Quantity]]&lt;=16,"11 to 16",orders[[#This Row],[Quantity]]&gt;16,"Above 16")</f>
        <v>1 to 5</v>
      </c>
    </row>
    <row r="1821" spans="1:16"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c r="P1821" t="str" cm="1">
        <f t="array" ref="P1821">_xlfn.IFS(orders[[#This Row],[Quantity]]&lt;=5,"1 to 5",orders[[#This Row],[Quantity]]&lt;=10,"6 to 10",orders[[#This Row],[Quantity]]&lt;=16,"11 to 16",orders[[#This Row],[Quantity]]&gt;16,"Above 16")</f>
        <v>1 to 5</v>
      </c>
    </row>
    <row r="1822" spans="1:16"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c r="P1822" t="str" cm="1">
        <f t="array" ref="P1822">_xlfn.IFS(orders[[#This Row],[Quantity]]&lt;=5,"1 to 5",orders[[#This Row],[Quantity]]&lt;=10,"6 to 10",orders[[#This Row],[Quantity]]&lt;=16,"11 to 16",orders[[#This Row],[Quantity]]&gt;16,"Above 16")</f>
        <v>1 to 5</v>
      </c>
    </row>
    <row r="1823" spans="1:16"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c r="P1823" t="str" cm="1">
        <f t="array" ref="P1823">_xlfn.IFS(orders[[#This Row],[Quantity]]&lt;=5,"1 to 5",orders[[#This Row],[Quantity]]&lt;=10,"6 to 10",orders[[#This Row],[Quantity]]&lt;=16,"11 to 16",orders[[#This Row],[Quantity]]&gt;16,"Above 16")</f>
        <v>Above 16</v>
      </c>
    </row>
    <row r="1824" spans="1:16"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c r="P1824" t="str" cm="1">
        <f t="array" ref="P1824">_xlfn.IFS(orders[[#This Row],[Quantity]]&lt;=5,"1 to 5",orders[[#This Row],[Quantity]]&lt;=10,"6 to 10",orders[[#This Row],[Quantity]]&lt;=16,"11 to 16",orders[[#This Row],[Quantity]]&gt;16,"Above 16")</f>
        <v>11 to 16</v>
      </c>
    </row>
    <row r="1825" spans="1:16"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c r="P1825" t="str" cm="1">
        <f t="array" ref="P1825">_xlfn.IFS(orders[[#This Row],[Quantity]]&lt;=5,"1 to 5",orders[[#This Row],[Quantity]]&lt;=10,"6 to 10",orders[[#This Row],[Quantity]]&lt;=16,"11 to 16",orders[[#This Row],[Quantity]]&gt;16,"Above 16")</f>
        <v>1 to 5</v>
      </c>
    </row>
    <row r="1826" spans="1:16"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c r="P1826" t="str" cm="1">
        <f t="array" ref="P1826">_xlfn.IFS(orders[[#This Row],[Quantity]]&lt;=5,"1 to 5",orders[[#This Row],[Quantity]]&lt;=10,"6 to 10",orders[[#This Row],[Quantity]]&lt;=16,"11 to 16",orders[[#This Row],[Quantity]]&gt;16,"Above 16")</f>
        <v>1 to 5</v>
      </c>
    </row>
    <row r="1827" spans="1:16"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c r="P1827" t="str" cm="1">
        <f t="array" ref="P1827">_xlfn.IFS(orders[[#This Row],[Quantity]]&lt;=5,"1 to 5",orders[[#This Row],[Quantity]]&lt;=10,"6 to 10",orders[[#This Row],[Quantity]]&lt;=16,"11 to 16",orders[[#This Row],[Quantity]]&gt;16,"Above 16")</f>
        <v>1 to 5</v>
      </c>
    </row>
    <row r="1828" spans="1:16"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c r="P1828" t="str" cm="1">
        <f t="array" ref="P1828">_xlfn.IFS(orders[[#This Row],[Quantity]]&lt;=5,"1 to 5",orders[[#This Row],[Quantity]]&lt;=10,"6 to 10",orders[[#This Row],[Quantity]]&lt;=16,"11 to 16",orders[[#This Row],[Quantity]]&gt;16,"Above 16")</f>
        <v>6 to 10</v>
      </c>
    </row>
    <row r="1829" spans="1:16"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c r="P1829" t="str" cm="1">
        <f t="array" ref="P1829">_xlfn.IFS(orders[[#This Row],[Quantity]]&lt;=5,"1 to 5",orders[[#This Row],[Quantity]]&lt;=10,"6 to 10",orders[[#This Row],[Quantity]]&lt;=16,"11 to 16",orders[[#This Row],[Quantity]]&gt;16,"Above 16")</f>
        <v>1 to 5</v>
      </c>
    </row>
    <row r="1830" spans="1:16"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c r="P1830" t="str" cm="1">
        <f t="array" ref="P1830">_xlfn.IFS(orders[[#This Row],[Quantity]]&lt;=5,"1 to 5",orders[[#This Row],[Quantity]]&lt;=10,"6 to 10",orders[[#This Row],[Quantity]]&lt;=16,"11 to 16",orders[[#This Row],[Quantity]]&gt;16,"Above 16")</f>
        <v>1 to 5</v>
      </c>
    </row>
    <row r="1831" spans="1:16"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c r="P1831" t="str" cm="1">
        <f t="array" ref="P1831">_xlfn.IFS(orders[[#This Row],[Quantity]]&lt;=5,"1 to 5",orders[[#This Row],[Quantity]]&lt;=10,"6 to 10",orders[[#This Row],[Quantity]]&lt;=16,"11 to 16",orders[[#This Row],[Quantity]]&gt;16,"Above 16")</f>
        <v>6 to 10</v>
      </c>
    </row>
    <row r="1832" spans="1:16"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c r="P1832" t="str" cm="1">
        <f t="array" ref="P1832">_xlfn.IFS(orders[[#This Row],[Quantity]]&lt;=5,"1 to 5",orders[[#This Row],[Quantity]]&lt;=10,"6 to 10",orders[[#This Row],[Quantity]]&lt;=16,"11 to 16",orders[[#This Row],[Quantity]]&gt;16,"Above 16")</f>
        <v>1 to 5</v>
      </c>
    </row>
    <row r="1833" spans="1:16"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c r="P1833" t="str" cm="1">
        <f t="array" ref="P1833">_xlfn.IFS(orders[[#This Row],[Quantity]]&lt;=5,"1 to 5",orders[[#This Row],[Quantity]]&lt;=10,"6 to 10",orders[[#This Row],[Quantity]]&lt;=16,"11 to 16",orders[[#This Row],[Quantity]]&gt;16,"Above 16")</f>
        <v>1 to 5</v>
      </c>
    </row>
    <row r="1834" spans="1:16"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c r="P1834" t="str" cm="1">
        <f t="array" ref="P1834">_xlfn.IFS(orders[[#This Row],[Quantity]]&lt;=5,"1 to 5",orders[[#This Row],[Quantity]]&lt;=10,"6 to 10",orders[[#This Row],[Quantity]]&lt;=16,"11 to 16",orders[[#This Row],[Quantity]]&gt;16,"Above 16")</f>
        <v>1 to 5</v>
      </c>
    </row>
    <row r="1835" spans="1:16"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c r="P1835" t="str" cm="1">
        <f t="array" ref="P1835">_xlfn.IFS(orders[[#This Row],[Quantity]]&lt;=5,"1 to 5",orders[[#This Row],[Quantity]]&lt;=10,"6 to 10",orders[[#This Row],[Quantity]]&lt;=16,"11 to 16",orders[[#This Row],[Quantity]]&gt;16,"Above 16")</f>
        <v>1 to 5</v>
      </c>
    </row>
    <row r="1836" spans="1:16"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c r="P1836" t="str" cm="1">
        <f t="array" ref="P1836">_xlfn.IFS(orders[[#This Row],[Quantity]]&lt;=5,"1 to 5",orders[[#This Row],[Quantity]]&lt;=10,"6 to 10",orders[[#This Row],[Quantity]]&lt;=16,"11 to 16",orders[[#This Row],[Quantity]]&gt;16,"Above 16")</f>
        <v>1 to 5</v>
      </c>
    </row>
    <row r="1837" spans="1:16"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c r="P1837" t="str" cm="1">
        <f t="array" ref="P1837">_xlfn.IFS(orders[[#This Row],[Quantity]]&lt;=5,"1 to 5",orders[[#This Row],[Quantity]]&lt;=10,"6 to 10",orders[[#This Row],[Quantity]]&lt;=16,"11 to 16",orders[[#This Row],[Quantity]]&gt;16,"Above 16")</f>
        <v>1 to 5</v>
      </c>
    </row>
    <row r="1838" spans="1:16"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c r="P1838" t="str" cm="1">
        <f t="array" ref="P1838">_xlfn.IFS(orders[[#This Row],[Quantity]]&lt;=5,"1 to 5",orders[[#This Row],[Quantity]]&lt;=10,"6 to 10",orders[[#This Row],[Quantity]]&lt;=16,"11 to 16",orders[[#This Row],[Quantity]]&gt;16,"Above 16")</f>
        <v>1 to 5</v>
      </c>
    </row>
    <row r="1839" spans="1:16"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c r="P1839" t="str" cm="1">
        <f t="array" ref="P1839">_xlfn.IFS(orders[[#This Row],[Quantity]]&lt;=5,"1 to 5",orders[[#This Row],[Quantity]]&lt;=10,"6 to 10",orders[[#This Row],[Quantity]]&lt;=16,"11 to 16",orders[[#This Row],[Quantity]]&gt;16,"Above 16")</f>
        <v>1 to 5</v>
      </c>
    </row>
    <row r="1840" spans="1:16"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c r="P1840" t="str" cm="1">
        <f t="array" ref="P1840">_xlfn.IFS(orders[[#This Row],[Quantity]]&lt;=5,"1 to 5",orders[[#This Row],[Quantity]]&lt;=10,"6 to 10",orders[[#This Row],[Quantity]]&lt;=16,"11 to 16",orders[[#This Row],[Quantity]]&gt;16,"Above 16")</f>
        <v>6 to 10</v>
      </c>
    </row>
    <row r="1841" spans="1:16"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c r="P1841" t="str" cm="1">
        <f t="array" ref="P1841">_xlfn.IFS(orders[[#This Row],[Quantity]]&lt;=5,"1 to 5",orders[[#This Row],[Quantity]]&lt;=10,"6 to 10",orders[[#This Row],[Quantity]]&lt;=16,"11 to 16",orders[[#This Row],[Quantity]]&gt;16,"Above 16")</f>
        <v>1 to 5</v>
      </c>
    </row>
    <row r="1842" spans="1:16"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c r="P1842" t="str" cm="1">
        <f t="array" ref="P1842">_xlfn.IFS(orders[[#This Row],[Quantity]]&lt;=5,"1 to 5",orders[[#This Row],[Quantity]]&lt;=10,"6 to 10",orders[[#This Row],[Quantity]]&lt;=16,"11 to 16",orders[[#This Row],[Quantity]]&gt;16,"Above 16")</f>
        <v>1 to 5</v>
      </c>
    </row>
    <row r="1843" spans="1:16"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c r="P1843" t="str" cm="1">
        <f t="array" ref="P1843">_xlfn.IFS(orders[[#This Row],[Quantity]]&lt;=5,"1 to 5",orders[[#This Row],[Quantity]]&lt;=10,"6 to 10",orders[[#This Row],[Quantity]]&lt;=16,"11 to 16",orders[[#This Row],[Quantity]]&gt;16,"Above 16")</f>
        <v>Above 16</v>
      </c>
    </row>
    <row r="1844" spans="1:16"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c r="P1844" t="str" cm="1">
        <f t="array" ref="P1844">_xlfn.IFS(orders[[#This Row],[Quantity]]&lt;=5,"1 to 5",orders[[#This Row],[Quantity]]&lt;=10,"6 to 10",orders[[#This Row],[Quantity]]&lt;=16,"11 to 16",orders[[#This Row],[Quantity]]&gt;16,"Above 16")</f>
        <v>1 to 5</v>
      </c>
    </row>
    <row r="1845" spans="1:16"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c r="P1845" t="str" cm="1">
        <f t="array" ref="P1845">_xlfn.IFS(orders[[#This Row],[Quantity]]&lt;=5,"1 to 5",orders[[#This Row],[Quantity]]&lt;=10,"6 to 10",orders[[#This Row],[Quantity]]&lt;=16,"11 to 16",orders[[#This Row],[Quantity]]&gt;16,"Above 16")</f>
        <v>1 to 5</v>
      </c>
    </row>
    <row r="1846" spans="1:16"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c r="P1846" t="str" cm="1">
        <f t="array" ref="P1846">_xlfn.IFS(orders[[#This Row],[Quantity]]&lt;=5,"1 to 5",orders[[#This Row],[Quantity]]&lt;=10,"6 to 10",orders[[#This Row],[Quantity]]&lt;=16,"11 to 16",orders[[#This Row],[Quantity]]&gt;16,"Above 16")</f>
        <v>11 to 16</v>
      </c>
    </row>
    <row r="1847" spans="1:16"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c r="P1847" t="str" cm="1">
        <f t="array" ref="P1847">_xlfn.IFS(orders[[#This Row],[Quantity]]&lt;=5,"1 to 5",orders[[#This Row],[Quantity]]&lt;=10,"6 to 10",orders[[#This Row],[Quantity]]&lt;=16,"11 to 16",orders[[#This Row],[Quantity]]&gt;16,"Above 16")</f>
        <v>1 to 5</v>
      </c>
    </row>
    <row r="1848" spans="1:16"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c r="P1848" t="str" cm="1">
        <f t="array" ref="P1848">_xlfn.IFS(orders[[#This Row],[Quantity]]&lt;=5,"1 to 5",orders[[#This Row],[Quantity]]&lt;=10,"6 to 10",orders[[#This Row],[Quantity]]&lt;=16,"11 to 16",orders[[#This Row],[Quantity]]&gt;16,"Above 16")</f>
        <v>1 to 5</v>
      </c>
    </row>
    <row r="1849" spans="1:16"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c r="P1849" t="str" cm="1">
        <f t="array" ref="P1849">_xlfn.IFS(orders[[#This Row],[Quantity]]&lt;=5,"1 to 5",orders[[#This Row],[Quantity]]&lt;=10,"6 to 10",orders[[#This Row],[Quantity]]&lt;=16,"11 to 16",orders[[#This Row],[Quantity]]&gt;16,"Above 16")</f>
        <v>1 to 5</v>
      </c>
    </row>
    <row r="1850" spans="1:16"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c r="P1850" t="str" cm="1">
        <f t="array" ref="P1850">_xlfn.IFS(orders[[#This Row],[Quantity]]&lt;=5,"1 to 5",orders[[#This Row],[Quantity]]&lt;=10,"6 to 10",orders[[#This Row],[Quantity]]&lt;=16,"11 to 16",orders[[#This Row],[Quantity]]&gt;16,"Above 16")</f>
        <v>1 to 5</v>
      </c>
    </row>
    <row r="1851" spans="1:16"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c r="P1851" t="str" cm="1">
        <f t="array" ref="P1851">_xlfn.IFS(orders[[#This Row],[Quantity]]&lt;=5,"1 to 5",orders[[#This Row],[Quantity]]&lt;=10,"6 to 10",orders[[#This Row],[Quantity]]&lt;=16,"11 to 16",orders[[#This Row],[Quantity]]&gt;16,"Above 16")</f>
        <v>1 to 5</v>
      </c>
    </row>
    <row r="1852" spans="1:16"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c r="P1852" t="str" cm="1">
        <f t="array" ref="P1852">_xlfn.IFS(orders[[#This Row],[Quantity]]&lt;=5,"1 to 5",orders[[#This Row],[Quantity]]&lt;=10,"6 to 10",orders[[#This Row],[Quantity]]&lt;=16,"11 to 16",orders[[#This Row],[Quantity]]&gt;16,"Above 16")</f>
        <v>1 to 5</v>
      </c>
    </row>
    <row r="1853" spans="1:16"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c r="P1853" t="str" cm="1">
        <f t="array" ref="P1853">_xlfn.IFS(orders[[#This Row],[Quantity]]&lt;=5,"1 to 5",orders[[#This Row],[Quantity]]&lt;=10,"6 to 10",orders[[#This Row],[Quantity]]&lt;=16,"11 to 16",orders[[#This Row],[Quantity]]&gt;16,"Above 16")</f>
        <v>1 to 5</v>
      </c>
    </row>
    <row r="1854" spans="1:16"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c r="P1854" t="str" cm="1">
        <f t="array" ref="P1854">_xlfn.IFS(orders[[#This Row],[Quantity]]&lt;=5,"1 to 5",orders[[#This Row],[Quantity]]&lt;=10,"6 to 10",orders[[#This Row],[Quantity]]&lt;=16,"11 to 16",orders[[#This Row],[Quantity]]&gt;16,"Above 16")</f>
        <v>1 to 5</v>
      </c>
    </row>
    <row r="1855" spans="1:16"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c r="P1855" t="str" cm="1">
        <f t="array" ref="P1855">_xlfn.IFS(orders[[#This Row],[Quantity]]&lt;=5,"1 to 5",orders[[#This Row],[Quantity]]&lt;=10,"6 to 10",orders[[#This Row],[Quantity]]&lt;=16,"11 to 16",orders[[#This Row],[Quantity]]&gt;16,"Above 16")</f>
        <v>1 to 5</v>
      </c>
    </row>
    <row r="1856" spans="1:16"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c r="P1856" t="str" cm="1">
        <f t="array" ref="P1856">_xlfn.IFS(orders[[#This Row],[Quantity]]&lt;=5,"1 to 5",orders[[#This Row],[Quantity]]&lt;=10,"6 to 10",orders[[#This Row],[Quantity]]&lt;=16,"11 to 16",orders[[#This Row],[Quantity]]&gt;16,"Above 16")</f>
        <v>1 to 5</v>
      </c>
    </row>
    <row r="1857" spans="1:16"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c r="P1857" t="str" cm="1">
        <f t="array" ref="P1857">_xlfn.IFS(orders[[#This Row],[Quantity]]&lt;=5,"1 to 5",orders[[#This Row],[Quantity]]&lt;=10,"6 to 10",orders[[#This Row],[Quantity]]&lt;=16,"11 to 16",orders[[#This Row],[Quantity]]&gt;16,"Above 16")</f>
        <v>1 to 5</v>
      </c>
    </row>
    <row r="1858" spans="1:16"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c r="P1858" t="str" cm="1">
        <f t="array" ref="P1858">_xlfn.IFS(orders[[#This Row],[Quantity]]&lt;=5,"1 to 5",orders[[#This Row],[Quantity]]&lt;=10,"6 to 10",orders[[#This Row],[Quantity]]&lt;=16,"11 to 16",orders[[#This Row],[Quantity]]&gt;16,"Above 16")</f>
        <v>6 to 10</v>
      </c>
    </row>
    <row r="1859" spans="1:16"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c r="P1859" t="str" cm="1">
        <f t="array" ref="P1859">_xlfn.IFS(orders[[#This Row],[Quantity]]&lt;=5,"1 to 5",orders[[#This Row],[Quantity]]&lt;=10,"6 to 10",orders[[#This Row],[Quantity]]&lt;=16,"11 to 16",orders[[#This Row],[Quantity]]&gt;16,"Above 16")</f>
        <v>6 to 10</v>
      </c>
    </row>
    <row r="1860" spans="1:16"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c r="P1860" t="str" cm="1">
        <f t="array" ref="P1860">_xlfn.IFS(orders[[#This Row],[Quantity]]&lt;=5,"1 to 5",orders[[#This Row],[Quantity]]&lt;=10,"6 to 10",orders[[#This Row],[Quantity]]&lt;=16,"11 to 16",orders[[#This Row],[Quantity]]&gt;16,"Above 16")</f>
        <v>6 to 10</v>
      </c>
    </row>
    <row r="1861" spans="1:16"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c r="P1861" t="str" cm="1">
        <f t="array" ref="P1861">_xlfn.IFS(orders[[#This Row],[Quantity]]&lt;=5,"1 to 5",orders[[#This Row],[Quantity]]&lt;=10,"6 to 10",orders[[#This Row],[Quantity]]&lt;=16,"11 to 16",orders[[#This Row],[Quantity]]&gt;16,"Above 16")</f>
        <v>1 to 5</v>
      </c>
    </row>
    <row r="1862" spans="1:16"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c r="P1862" t="str" cm="1">
        <f t="array" ref="P1862">_xlfn.IFS(orders[[#This Row],[Quantity]]&lt;=5,"1 to 5",orders[[#This Row],[Quantity]]&lt;=10,"6 to 10",orders[[#This Row],[Quantity]]&lt;=16,"11 to 16",orders[[#This Row],[Quantity]]&gt;16,"Above 16")</f>
        <v>1 to 5</v>
      </c>
    </row>
    <row r="1863" spans="1:16"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c r="P1863" t="str" cm="1">
        <f t="array" ref="P1863">_xlfn.IFS(orders[[#This Row],[Quantity]]&lt;=5,"1 to 5",orders[[#This Row],[Quantity]]&lt;=10,"6 to 10",orders[[#This Row],[Quantity]]&lt;=16,"11 to 16",orders[[#This Row],[Quantity]]&gt;16,"Above 16")</f>
        <v>1 to 5</v>
      </c>
    </row>
    <row r="1864" spans="1:16"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c r="P1864" t="str" cm="1">
        <f t="array" ref="P1864">_xlfn.IFS(orders[[#This Row],[Quantity]]&lt;=5,"1 to 5",orders[[#This Row],[Quantity]]&lt;=10,"6 to 10",orders[[#This Row],[Quantity]]&lt;=16,"11 to 16",orders[[#This Row],[Quantity]]&gt;16,"Above 16")</f>
        <v>1 to 5</v>
      </c>
    </row>
    <row r="1865" spans="1:16"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c r="P1865" t="str" cm="1">
        <f t="array" ref="P1865">_xlfn.IFS(orders[[#This Row],[Quantity]]&lt;=5,"1 to 5",orders[[#This Row],[Quantity]]&lt;=10,"6 to 10",orders[[#This Row],[Quantity]]&lt;=16,"11 to 16",orders[[#This Row],[Quantity]]&gt;16,"Above 16")</f>
        <v>1 to 5</v>
      </c>
    </row>
    <row r="1866" spans="1:16"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c r="P1866" t="str" cm="1">
        <f t="array" ref="P1866">_xlfn.IFS(orders[[#This Row],[Quantity]]&lt;=5,"1 to 5",orders[[#This Row],[Quantity]]&lt;=10,"6 to 10",orders[[#This Row],[Quantity]]&lt;=16,"11 to 16",orders[[#This Row],[Quantity]]&gt;16,"Above 16")</f>
        <v>1 to 5</v>
      </c>
    </row>
    <row r="1867" spans="1:16"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c r="P1867" t="str" cm="1">
        <f t="array" ref="P1867">_xlfn.IFS(orders[[#This Row],[Quantity]]&lt;=5,"1 to 5",orders[[#This Row],[Quantity]]&lt;=10,"6 to 10",orders[[#This Row],[Quantity]]&lt;=16,"11 to 16",orders[[#This Row],[Quantity]]&gt;16,"Above 16")</f>
        <v>Above 16</v>
      </c>
    </row>
    <row r="1868" spans="1:16"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c r="P1868" t="str" cm="1">
        <f t="array" ref="P1868">_xlfn.IFS(orders[[#This Row],[Quantity]]&lt;=5,"1 to 5",orders[[#This Row],[Quantity]]&lt;=10,"6 to 10",orders[[#This Row],[Quantity]]&lt;=16,"11 to 16",orders[[#This Row],[Quantity]]&gt;16,"Above 16")</f>
        <v>1 to 5</v>
      </c>
    </row>
    <row r="1869" spans="1:16"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c r="P1869" t="str" cm="1">
        <f t="array" ref="P1869">_xlfn.IFS(orders[[#This Row],[Quantity]]&lt;=5,"1 to 5",orders[[#This Row],[Quantity]]&lt;=10,"6 to 10",orders[[#This Row],[Quantity]]&lt;=16,"11 to 16",orders[[#This Row],[Quantity]]&gt;16,"Above 16")</f>
        <v>1 to 5</v>
      </c>
    </row>
    <row r="1870" spans="1:16"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c r="P1870" t="str" cm="1">
        <f t="array" ref="P1870">_xlfn.IFS(orders[[#This Row],[Quantity]]&lt;=5,"1 to 5",orders[[#This Row],[Quantity]]&lt;=10,"6 to 10",orders[[#This Row],[Quantity]]&lt;=16,"11 to 16",orders[[#This Row],[Quantity]]&gt;16,"Above 16")</f>
        <v>1 to 5</v>
      </c>
    </row>
    <row r="1871" spans="1:16"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c r="P1871" t="str" cm="1">
        <f t="array" ref="P1871">_xlfn.IFS(orders[[#This Row],[Quantity]]&lt;=5,"1 to 5",orders[[#This Row],[Quantity]]&lt;=10,"6 to 10",orders[[#This Row],[Quantity]]&lt;=16,"11 to 16",orders[[#This Row],[Quantity]]&gt;16,"Above 16")</f>
        <v>1 to 5</v>
      </c>
    </row>
    <row r="1872" spans="1:16"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c r="P1872" t="str" cm="1">
        <f t="array" ref="P1872">_xlfn.IFS(orders[[#This Row],[Quantity]]&lt;=5,"1 to 5",orders[[#This Row],[Quantity]]&lt;=10,"6 to 10",orders[[#This Row],[Quantity]]&lt;=16,"11 to 16",orders[[#This Row],[Quantity]]&gt;16,"Above 16")</f>
        <v>1 to 5</v>
      </c>
    </row>
    <row r="1873" spans="1:16"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c r="P1873" t="str" cm="1">
        <f t="array" ref="P1873">_xlfn.IFS(orders[[#This Row],[Quantity]]&lt;=5,"1 to 5",orders[[#This Row],[Quantity]]&lt;=10,"6 to 10",orders[[#This Row],[Quantity]]&lt;=16,"11 to 16",orders[[#This Row],[Quantity]]&gt;16,"Above 16")</f>
        <v>1 to 5</v>
      </c>
    </row>
    <row r="1874" spans="1:16"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c r="P1874" t="str" cm="1">
        <f t="array" ref="P1874">_xlfn.IFS(orders[[#This Row],[Quantity]]&lt;=5,"1 to 5",orders[[#This Row],[Quantity]]&lt;=10,"6 to 10",orders[[#This Row],[Quantity]]&lt;=16,"11 to 16",orders[[#This Row],[Quantity]]&gt;16,"Above 16")</f>
        <v>1 to 5</v>
      </c>
    </row>
    <row r="1875" spans="1:16"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c r="P1875" t="str" cm="1">
        <f t="array" ref="P1875">_xlfn.IFS(orders[[#This Row],[Quantity]]&lt;=5,"1 to 5",orders[[#This Row],[Quantity]]&lt;=10,"6 to 10",orders[[#This Row],[Quantity]]&lt;=16,"11 to 16",orders[[#This Row],[Quantity]]&gt;16,"Above 16")</f>
        <v>6 to 10</v>
      </c>
    </row>
    <row r="1876" spans="1:16"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c r="P1876" t="str" cm="1">
        <f t="array" ref="P1876">_xlfn.IFS(orders[[#This Row],[Quantity]]&lt;=5,"1 to 5",orders[[#This Row],[Quantity]]&lt;=10,"6 to 10",orders[[#This Row],[Quantity]]&lt;=16,"11 to 16",orders[[#This Row],[Quantity]]&gt;16,"Above 16")</f>
        <v>1 to 5</v>
      </c>
    </row>
    <row r="1877" spans="1:16"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c r="P1877" t="str" cm="1">
        <f t="array" ref="P1877">_xlfn.IFS(orders[[#This Row],[Quantity]]&lt;=5,"1 to 5",orders[[#This Row],[Quantity]]&lt;=10,"6 to 10",orders[[#This Row],[Quantity]]&lt;=16,"11 to 16",orders[[#This Row],[Quantity]]&gt;16,"Above 16")</f>
        <v>1 to 5</v>
      </c>
    </row>
    <row r="1878" spans="1:16"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c r="P1878" t="str" cm="1">
        <f t="array" ref="P1878">_xlfn.IFS(orders[[#This Row],[Quantity]]&lt;=5,"1 to 5",orders[[#This Row],[Quantity]]&lt;=10,"6 to 10",orders[[#This Row],[Quantity]]&lt;=16,"11 to 16",orders[[#This Row],[Quantity]]&gt;16,"Above 16")</f>
        <v>1 to 5</v>
      </c>
    </row>
    <row r="1879" spans="1:16"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c r="P1879" t="str" cm="1">
        <f t="array" ref="P1879">_xlfn.IFS(orders[[#This Row],[Quantity]]&lt;=5,"1 to 5",orders[[#This Row],[Quantity]]&lt;=10,"6 to 10",orders[[#This Row],[Quantity]]&lt;=16,"11 to 16",orders[[#This Row],[Quantity]]&gt;16,"Above 16")</f>
        <v>1 to 5</v>
      </c>
    </row>
    <row r="1880" spans="1:16"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c r="P1880" t="str" cm="1">
        <f t="array" ref="P1880">_xlfn.IFS(orders[[#This Row],[Quantity]]&lt;=5,"1 to 5",orders[[#This Row],[Quantity]]&lt;=10,"6 to 10",orders[[#This Row],[Quantity]]&lt;=16,"11 to 16",orders[[#This Row],[Quantity]]&gt;16,"Above 16")</f>
        <v>1 to 5</v>
      </c>
    </row>
    <row r="1881" spans="1:16"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c r="P1881" t="str" cm="1">
        <f t="array" ref="P1881">_xlfn.IFS(orders[[#This Row],[Quantity]]&lt;=5,"1 to 5",orders[[#This Row],[Quantity]]&lt;=10,"6 to 10",orders[[#This Row],[Quantity]]&lt;=16,"11 to 16",orders[[#This Row],[Quantity]]&gt;16,"Above 16")</f>
        <v>1 to 5</v>
      </c>
    </row>
    <row r="1882" spans="1:16"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c r="P1882" t="str" cm="1">
        <f t="array" ref="P1882">_xlfn.IFS(orders[[#This Row],[Quantity]]&lt;=5,"1 to 5",orders[[#This Row],[Quantity]]&lt;=10,"6 to 10",orders[[#This Row],[Quantity]]&lt;=16,"11 to 16",orders[[#This Row],[Quantity]]&gt;16,"Above 16")</f>
        <v>6 to 10</v>
      </c>
    </row>
    <row r="1883" spans="1:16"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c r="P1883" t="str" cm="1">
        <f t="array" ref="P1883">_xlfn.IFS(orders[[#This Row],[Quantity]]&lt;=5,"1 to 5",orders[[#This Row],[Quantity]]&lt;=10,"6 to 10",orders[[#This Row],[Quantity]]&lt;=16,"11 to 16",orders[[#This Row],[Quantity]]&gt;16,"Above 16")</f>
        <v>1 to 5</v>
      </c>
    </row>
    <row r="1884" spans="1:16"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c r="P1884" t="str" cm="1">
        <f t="array" ref="P1884">_xlfn.IFS(orders[[#This Row],[Quantity]]&lt;=5,"1 to 5",orders[[#This Row],[Quantity]]&lt;=10,"6 to 10",orders[[#This Row],[Quantity]]&lt;=16,"11 to 16",orders[[#This Row],[Quantity]]&gt;16,"Above 16")</f>
        <v>1 to 5</v>
      </c>
    </row>
    <row r="1885" spans="1:16"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c r="P1885" t="str" cm="1">
        <f t="array" ref="P1885">_xlfn.IFS(orders[[#This Row],[Quantity]]&lt;=5,"1 to 5",orders[[#This Row],[Quantity]]&lt;=10,"6 to 10",orders[[#This Row],[Quantity]]&lt;=16,"11 to 16",orders[[#This Row],[Quantity]]&gt;16,"Above 16")</f>
        <v>1 to 5</v>
      </c>
    </row>
    <row r="1886" spans="1:16"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c r="P1886" t="str" cm="1">
        <f t="array" ref="P1886">_xlfn.IFS(orders[[#This Row],[Quantity]]&lt;=5,"1 to 5",orders[[#This Row],[Quantity]]&lt;=10,"6 to 10",orders[[#This Row],[Quantity]]&lt;=16,"11 to 16",orders[[#This Row],[Quantity]]&gt;16,"Above 16")</f>
        <v>1 to 5</v>
      </c>
    </row>
    <row r="1887" spans="1:16"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c r="P1887" t="str" cm="1">
        <f t="array" ref="P1887">_xlfn.IFS(orders[[#This Row],[Quantity]]&lt;=5,"1 to 5",orders[[#This Row],[Quantity]]&lt;=10,"6 to 10",orders[[#This Row],[Quantity]]&lt;=16,"11 to 16",orders[[#This Row],[Quantity]]&gt;16,"Above 16")</f>
        <v>1 to 5</v>
      </c>
    </row>
    <row r="1888" spans="1:16"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c r="P1888" t="str" cm="1">
        <f t="array" ref="P1888">_xlfn.IFS(orders[[#This Row],[Quantity]]&lt;=5,"1 to 5",orders[[#This Row],[Quantity]]&lt;=10,"6 to 10",orders[[#This Row],[Quantity]]&lt;=16,"11 to 16",orders[[#This Row],[Quantity]]&gt;16,"Above 16")</f>
        <v>11 to 16</v>
      </c>
    </row>
    <row r="1889" spans="1:16"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c r="P1889" t="str" cm="1">
        <f t="array" ref="P1889">_xlfn.IFS(orders[[#This Row],[Quantity]]&lt;=5,"1 to 5",orders[[#This Row],[Quantity]]&lt;=10,"6 to 10",orders[[#This Row],[Quantity]]&lt;=16,"11 to 16",orders[[#This Row],[Quantity]]&gt;16,"Above 16")</f>
        <v>11 to 16</v>
      </c>
    </row>
    <row r="1890" spans="1:16"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c r="P1890" t="str" cm="1">
        <f t="array" ref="P1890">_xlfn.IFS(orders[[#This Row],[Quantity]]&lt;=5,"1 to 5",orders[[#This Row],[Quantity]]&lt;=10,"6 to 10",orders[[#This Row],[Quantity]]&lt;=16,"11 to 16",orders[[#This Row],[Quantity]]&gt;16,"Above 16")</f>
        <v>1 to 5</v>
      </c>
    </row>
    <row r="1891" spans="1:16"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c r="P1891" t="str" cm="1">
        <f t="array" ref="P1891">_xlfn.IFS(orders[[#This Row],[Quantity]]&lt;=5,"1 to 5",orders[[#This Row],[Quantity]]&lt;=10,"6 to 10",orders[[#This Row],[Quantity]]&lt;=16,"11 to 16",orders[[#This Row],[Quantity]]&gt;16,"Above 16")</f>
        <v>1 to 5</v>
      </c>
    </row>
    <row r="1892" spans="1:16"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c r="P1892" t="str" cm="1">
        <f t="array" ref="P1892">_xlfn.IFS(orders[[#This Row],[Quantity]]&lt;=5,"1 to 5",orders[[#This Row],[Quantity]]&lt;=10,"6 to 10",orders[[#This Row],[Quantity]]&lt;=16,"11 to 16",orders[[#This Row],[Quantity]]&gt;16,"Above 16")</f>
        <v>1 to 5</v>
      </c>
    </row>
    <row r="1893" spans="1:16"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c r="P1893" t="str" cm="1">
        <f t="array" ref="P1893">_xlfn.IFS(orders[[#This Row],[Quantity]]&lt;=5,"1 to 5",orders[[#This Row],[Quantity]]&lt;=10,"6 to 10",orders[[#This Row],[Quantity]]&lt;=16,"11 to 16",orders[[#This Row],[Quantity]]&gt;16,"Above 16")</f>
        <v>1 to 5</v>
      </c>
    </row>
    <row r="1894" spans="1:16"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c r="P1894" t="str" cm="1">
        <f t="array" ref="P1894">_xlfn.IFS(orders[[#This Row],[Quantity]]&lt;=5,"1 to 5",orders[[#This Row],[Quantity]]&lt;=10,"6 to 10",orders[[#This Row],[Quantity]]&lt;=16,"11 to 16",orders[[#This Row],[Quantity]]&gt;16,"Above 16")</f>
        <v>1 to 5</v>
      </c>
    </row>
    <row r="1895" spans="1:16"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c r="P1895" t="str" cm="1">
        <f t="array" ref="P1895">_xlfn.IFS(orders[[#This Row],[Quantity]]&lt;=5,"1 to 5",orders[[#This Row],[Quantity]]&lt;=10,"6 to 10",orders[[#This Row],[Quantity]]&lt;=16,"11 to 16",orders[[#This Row],[Quantity]]&gt;16,"Above 16")</f>
        <v>1 to 5</v>
      </c>
    </row>
    <row r="1896" spans="1:16"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c r="P1896" t="str" cm="1">
        <f t="array" ref="P1896">_xlfn.IFS(orders[[#This Row],[Quantity]]&lt;=5,"1 to 5",orders[[#This Row],[Quantity]]&lt;=10,"6 to 10",orders[[#This Row],[Quantity]]&lt;=16,"11 to 16",orders[[#This Row],[Quantity]]&gt;16,"Above 16")</f>
        <v>1 to 5</v>
      </c>
    </row>
    <row r="1897" spans="1:16"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c r="P1897" t="str" cm="1">
        <f t="array" ref="P1897">_xlfn.IFS(orders[[#This Row],[Quantity]]&lt;=5,"1 to 5",orders[[#This Row],[Quantity]]&lt;=10,"6 to 10",orders[[#This Row],[Quantity]]&lt;=16,"11 to 16",orders[[#This Row],[Quantity]]&gt;16,"Above 16")</f>
        <v>1 to 5</v>
      </c>
    </row>
    <row r="1898" spans="1:16"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c r="P1898" t="str" cm="1">
        <f t="array" ref="P1898">_xlfn.IFS(orders[[#This Row],[Quantity]]&lt;=5,"1 to 5",orders[[#This Row],[Quantity]]&lt;=10,"6 to 10",orders[[#This Row],[Quantity]]&lt;=16,"11 to 16",orders[[#This Row],[Quantity]]&gt;16,"Above 16")</f>
        <v>1 to 5</v>
      </c>
    </row>
    <row r="1899" spans="1:16"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c r="P1899" t="str" cm="1">
        <f t="array" ref="P1899">_xlfn.IFS(orders[[#This Row],[Quantity]]&lt;=5,"1 to 5",orders[[#This Row],[Quantity]]&lt;=10,"6 to 10",orders[[#This Row],[Quantity]]&lt;=16,"11 to 16",orders[[#This Row],[Quantity]]&gt;16,"Above 16")</f>
        <v>1 to 5</v>
      </c>
    </row>
    <row r="1900" spans="1:16"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c r="P1900" t="str" cm="1">
        <f t="array" ref="P1900">_xlfn.IFS(orders[[#This Row],[Quantity]]&lt;=5,"1 to 5",orders[[#This Row],[Quantity]]&lt;=10,"6 to 10",orders[[#This Row],[Quantity]]&lt;=16,"11 to 16",orders[[#This Row],[Quantity]]&gt;16,"Above 16")</f>
        <v>1 to 5</v>
      </c>
    </row>
    <row r="1901" spans="1:16"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c r="P1901" t="str" cm="1">
        <f t="array" ref="P1901">_xlfn.IFS(orders[[#This Row],[Quantity]]&lt;=5,"1 to 5",orders[[#This Row],[Quantity]]&lt;=10,"6 to 10",orders[[#This Row],[Quantity]]&lt;=16,"11 to 16",orders[[#This Row],[Quantity]]&gt;16,"Above 16")</f>
        <v>Above 16</v>
      </c>
    </row>
    <row r="1902" spans="1:16"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c r="P1902" t="str" cm="1">
        <f t="array" ref="P1902">_xlfn.IFS(orders[[#This Row],[Quantity]]&lt;=5,"1 to 5",orders[[#This Row],[Quantity]]&lt;=10,"6 to 10",orders[[#This Row],[Quantity]]&lt;=16,"11 to 16",orders[[#This Row],[Quantity]]&gt;16,"Above 16")</f>
        <v>1 to 5</v>
      </c>
    </row>
    <row r="1903" spans="1:16"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c r="P1903" t="str" cm="1">
        <f t="array" ref="P1903">_xlfn.IFS(orders[[#This Row],[Quantity]]&lt;=5,"1 to 5",orders[[#This Row],[Quantity]]&lt;=10,"6 to 10",orders[[#This Row],[Quantity]]&lt;=16,"11 to 16",orders[[#This Row],[Quantity]]&gt;16,"Above 16")</f>
        <v>1 to 5</v>
      </c>
    </row>
    <row r="1904" spans="1:16"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c r="P1904" t="str" cm="1">
        <f t="array" ref="P1904">_xlfn.IFS(orders[[#This Row],[Quantity]]&lt;=5,"1 to 5",orders[[#This Row],[Quantity]]&lt;=10,"6 to 10",orders[[#This Row],[Quantity]]&lt;=16,"11 to 16",orders[[#This Row],[Quantity]]&gt;16,"Above 16")</f>
        <v>1 to 5</v>
      </c>
    </row>
    <row r="1905" spans="1:16"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c r="P1905" t="str" cm="1">
        <f t="array" ref="P1905">_xlfn.IFS(orders[[#This Row],[Quantity]]&lt;=5,"1 to 5",orders[[#This Row],[Quantity]]&lt;=10,"6 to 10",orders[[#This Row],[Quantity]]&lt;=16,"11 to 16",orders[[#This Row],[Quantity]]&gt;16,"Above 16")</f>
        <v>1 to 5</v>
      </c>
    </row>
    <row r="1906" spans="1:16"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c r="P1906" t="str" cm="1">
        <f t="array" ref="P1906">_xlfn.IFS(orders[[#This Row],[Quantity]]&lt;=5,"1 to 5",orders[[#This Row],[Quantity]]&lt;=10,"6 to 10",orders[[#This Row],[Quantity]]&lt;=16,"11 to 16",orders[[#This Row],[Quantity]]&gt;16,"Above 16")</f>
        <v>1 to 5</v>
      </c>
    </row>
    <row r="1907" spans="1:16"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c r="P1907" t="str" cm="1">
        <f t="array" ref="P1907">_xlfn.IFS(orders[[#This Row],[Quantity]]&lt;=5,"1 to 5",orders[[#This Row],[Quantity]]&lt;=10,"6 to 10",orders[[#This Row],[Quantity]]&lt;=16,"11 to 16",orders[[#This Row],[Quantity]]&gt;16,"Above 16")</f>
        <v>1 to 5</v>
      </c>
    </row>
    <row r="1908" spans="1:16"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c r="P1908" t="str" cm="1">
        <f t="array" ref="P1908">_xlfn.IFS(orders[[#This Row],[Quantity]]&lt;=5,"1 to 5",orders[[#This Row],[Quantity]]&lt;=10,"6 to 10",orders[[#This Row],[Quantity]]&lt;=16,"11 to 16",orders[[#This Row],[Quantity]]&gt;16,"Above 16")</f>
        <v>1 to 5</v>
      </c>
    </row>
    <row r="1909" spans="1:16"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c r="P1909" t="str" cm="1">
        <f t="array" ref="P1909">_xlfn.IFS(orders[[#This Row],[Quantity]]&lt;=5,"1 to 5",orders[[#This Row],[Quantity]]&lt;=10,"6 to 10",orders[[#This Row],[Quantity]]&lt;=16,"11 to 16",orders[[#This Row],[Quantity]]&gt;16,"Above 16")</f>
        <v>1 to 5</v>
      </c>
    </row>
    <row r="1910" spans="1:16"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c r="P1910" t="str" cm="1">
        <f t="array" ref="P1910">_xlfn.IFS(orders[[#This Row],[Quantity]]&lt;=5,"1 to 5",orders[[#This Row],[Quantity]]&lt;=10,"6 to 10",orders[[#This Row],[Quantity]]&lt;=16,"11 to 16",orders[[#This Row],[Quantity]]&gt;16,"Above 16")</f>
        <v>1 to 5</v>
      </c>
    </row>
    <row r="1911" spans="1:16"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c r="P1911" t="str" cm="1">
        <f t="array" ref="P1911">_xlfn.IFS(orders[[#This Row],[Quantity]]&lt;=5,"1 to 5",orders[[#This Row],[Quantity]]&lt;=10,"6 to 10",orders[[#This Row],[Quantity]]&lt;=16,"11 to 16",orders[[#This Row],[Quantity]]&gt;16,"Above 16")</f>
        <v>11 to 16</v>
      </c>
    </row>
    <row r="1912" spans="1:16"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c r="P1912" t="str" cm="1">
        <f t="array" ref="P1912">_xlfn.IFS(orders[[#This Row],[Quantity]]&lt;=5,"1 to 5",orders[[#This Row],[Quantity]]&lt;=10,"6 to 10",orders[[#This Row],[Quantity]]&lt;=16,"11 to 16",orders[[#This Row],[Quantity]]&gt;16,"Above 16")</f>
        <v>1 to 5</v>
      </c>
    </row>
    <row r="1913" spans="1:16"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c r="P1913" t="str" cm="1">
        <f t="array" ref="P1913">_xlfn.IFS(orders[[#This Row],[Quantity]]&lt;=5,"1 to 5",orders[[#This Row],[Quantity]]&lt;=10,"6 to 10",orders[[#This Row],[Quantity]]&lt;=16,"11 to 16",orders[[#This Row],[Quantity]]&gt;16,"Above 16")</f>
        <v>1 to 5</v>
      </c>
    </row>
    <row r="1914" spans="1:16"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c r="P1914" t="str" cm="1">
        <f t="array" ref="P1914">_xlfn.IFS(orders[[#This Row],[Quantity]]&lt;=5,"1 to 5",orders[[#This Row],[Quantity]]&lt;=10,"6 to 10",orders[[#This Row],[Quantity]]&lt;=16,"11 to 16",orders[[#This Row],[Quantity]]&gt;16,"Above 16")</f>
        <v>1 to 5</v>
      </c>
    </row>
    <row r="1915" spans="1:16"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c r="P1915" t="str" cm="1">
        <f t="array" ref="P1915">_xlfn.IFS(orders[[#This Row],[Quantity]]&lt;=5,"1 to 5",orders[[#This Row],[Quantity]]&lt;=10,"6 to 10",orders[[#This Row],[Quantity]]&lt;=16,"11 to 16",orders[[#This Row],[Quantity]]&gt;16,"Above 16")</f>
        <v>1 to 5</v>
      </c>
    </row>
    <row r="1916" spans="1:16"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c r="P1916" t="str" cm="1">
        <f t="array" ref="P1916">_xlfn.IFS(orders[[#This Row],[Quantity]]&lt;=5,"1 to 5",orders[[#This Row],[Quantity]]&lt;=10,"6 to 10",orders[[#This Row],[Quantity]]&lt;=16,"11 to 16",orders[[#This Row],[Quantity]]&gt;16,"Above 16")</f>
        <v>1 to 5</v>
      </c>
    </row>
    <row r="1917" spans="1:16"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c r="P1917" t="str" cm="1">
        <f t="array" ref="P1917">_xlfn.IFS(orders[[#This Row],[Quantity]]&lt;=5,"1 to 5",orders[[#This Row],[Quantity]]&lt;=10,"6 to 10",orders[[#This Row],[Quantity]]&lt;=16,"11 to 16",orders[[#This Row],[Quantity]]&gt;16,"Above 16")</f>
        <v>1 to 5</v>
      </c>
    </row>
    <row r="1918" spans="1:16"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c r="P1918" t="str" cm="1">
        <f t="array" ref="P1918">_xlfn.IFS(orders[[#This Row],[Quantity]]&lt;=5,"1 to 5",orders[[#This Row],[Quantity]]&lt;=10,"6 to 10",orders[[#This Row],[Quantity]]&lt;=16,"11 to 16",orders[[#This Row],[Quantity]]&gt;16,"Above 16")</f>
        <v>1 to 5</v>
      </c>
    </row>
    <row r="1919" spans="1:16"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c r="P1919" t="str" cm="1">
        <f t="array" ref="P1919">_xlfn.IFS(orders[[#This Row],[Quantity]]&lt;=5,"1 to 5",orders[[#This Row],[Quantity]]&lt;=10,"6 to 10",orders[[#This Row],[Quantity]]&lt;=16,"11 to 16",orders[[#This Row],[Quantity]]&gt;16,"Above 16")</f>
        <v>1 to 5</v>
      </c>
    </row>
    <row r="1920" spans="1:16"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c r="P1920" t="str" cm="1">
        <f t="array" ref="P1920">_xlfn.IFS(orders[[#This Row],[Quantity]]&lt;=5,"1 to 5",orders[[#This Row],[Quantity]]&lt;=10,"6 to 10",orders[[#This Row],[Quantity]]&lt;=16,"11 to 16",orders[[#This Row],[Quantity]]&gt;16,"Above 16")</f>
        <v>1 to 5</v>
      </c>
    </row>
    <row r="1921" spans="1:16"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c r="P1921" t="str" cm="1">
        <f t="array" ref="P1921">_xlfn.IFS(orders[[#This Row],[Quantity]]&lt;=5,"1 to 5",orders[[#This Row],[Quantity]]&lt;=10,"6 to 10",orders[[#This Row],[Quantity]]&lt;=16,"11 to 16",orders[[#This Row],[Quantity]]&gt;16,"Above 16")</f>
        <v>1 to 5</v>
      </c>
    </row>
    <row r="1922" spans="1:16"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c r="P1922" t="str" cm="1">
        <f t="array" ref="P1922">_xlfn.IFS(orders[[#This Row],[Quantity]]&lt;=5,"1 to 5",orders[[#This Row],[Quantity]]&lt;=10,"6 to 10",orders[[#This Row],[Quantity]]&lt;=16,"11 to 16",orders[[#This Row],[Quantity]]&gt;16,"Above 16")</f>
        <v>1 to 5</v>
      </c>
    </row>
    <row r="1923" spans="1:16"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c r="P1923" t="str" cm="1">
        <f t="array" ref="P1923">_xlfn.IFS(orders[[#This Row],[Quantity]]&lt;=5,"1 to 5",orders[[#This Row],[Quantity]]&lt;=10,"6 to 10",orders[[#This Row],[Quantity]]&lt;=16,"11 to 16",orders[[#This Row],[Quantity]]&gt;16,"Above 16")</f>
        <v>1 to 5</v>
      </c>
    </row>
    <row r="1924" spans="1:16"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c r="P1924" t="str" cm="1">
        <f t="array" ref="P1924">_xlfn.IFS(orders[[#This Row],[Quantity]]&lt;=5,"1 to 5",orders[[#This Row],[Quantity]]&lt;=10,"6 to 10",orders[[#This Row],[Quantity]]&lt;=16,"11 to 16",orders[[#This Row],[Quantity]]&gt;16,"Above 16")</f>
        <v>6 to 10</v>
      </c>
    </row>
    <row r="1925" spans="1:16"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c r="P1925" t="str" cm="1">
        <f t="array" ref="P1925">_xlfn.IFS(orders[[#This Row],[Quantity]]&lt;=5,"1 to 5",orders[[#This Row],[Quantity]]&lt;=10,"6 to 10",orders[[#This Row],[Quantity]]&lt;=16,"11 to 16",orders[[#This Row],[Quantity]]&gt;16,"Above 16")</f>
        <v>1 to 5</v>
      </c>
    </row>
    <row r="1926" spans="1:16"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c r="P1926" t="str" cm="1">
        <f t="array" ref="P1926">_xlfn.IFS(orders[[#This Row],[Quantity]]&lt;=5,"1 to 5",orders[[#This Row],[Quantity]]&lt;=10,"6 to 10",orders[[#This Row],[Quantity]]&lt;=16,"11 to 16",orders[[#This Row],[Quantity]]&gt;16,"Above 16")</f>
        <v>1 to 5</v>
      </c>
    </row>
    <row r="1927" spans="1:16"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c r="P1927" t="str" cm="1">
        <f t="array" ref="P1927">_xlfn.IFS(orders[[#This Row],[Quantity]]&lt;=5,"1 to 5",orders[[#This Row],[Quantity]]&lt;=10,"6 to 10",orders[[#This Row],[Quantity]]&lt;=16,"11 to 16",orders[[#This Row],[Quantity]]&gt;16,"Above 16")</f>
        <v>1 to 5</v>
      </c>
    </row>
    <row r="1928" spans="1:16"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c r="P1928" t="str" cm="1">
        <f t="array" ref="P1928">_xlfn.IFS(orders[[#This Row],[Quantity]]&lt;=5,"1 to 5",orders[[#This Row],[Quantity]]&lt;=10,"6 to 10",orders[[#This Row],[Quantity]]&lt;=16,"11 to 16",orders[[#This Row],[Quantity]]&gt;16,"Above 16")</f>
        <v>1 to 5</v>
      </c>
    </row>
    <row r="1929" spans="1:16"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c r="P1929" t="str" cm="1">
        <f t="array" ref="P1929">_xlfn.IFS(orders[[#This Row],[Quantity]]&lt;=5,"1 to 5",orders[[#This Row],[Quantity]]&lt;=10,"6 to 10",orders[[#This Row],[Quantity]]&lt;=16,"11 to 16",orders[[#This Row],[Quantity]]&gt;16,"Above 16")</f>
        <v>Above 16</v>
      </c>
    </row>
    <row r="1930" spans="1:16"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c r="P1930" t="str" cm="1">
        <f t="array" ref="P1930">_xlfn.IFS(orders[[#This Row],[Quantity]]&lt;=5,"1 to 5",orders[[#This Row],[Quantity]]&lt;=10,"6 to 10",orders[[#This Row],[Quantity]]&lt;=16,"11 to 16",orders[[#This Row],[Quantity]]&gt;16,"Above 16")</f>
        <v>1 to 5</v>
      </c>
    </row>
    <row r="1931" spans="1:16"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c r="P1931" t="str" cm="1">
        <f t="array" ref="P1931">_xlfn.IFS(orders[[#This Row],[Quantity]]&lt;=5,"1 to 5",orders[[#This Row],[Quantity]]&lt;=10,"6 to 10",orders[[#This Row],[Quantity]]&lt;=16,"11 to 16",orders[[#This Row],[Quantity]]&gt;16,"Above 16")</f>
        <v>1 to 5</v>
      </c>
    </row>
    <row r="1932" spans="1:16"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c r="P1932" t="str" cm="1">
        <f t="array" ref="P1932">_xlfn.IFS(orders[[#This Row],[Quantity]]&lt;=5,"1 to 5",orders[[#This Row],[Quantity]]&lt;=10,"6 to 10",orders[[#This Row],[Quantity]]&lt;=16,"11 to 16",orders[[#This Row],[Quantity]]&gt;16,"Above 16")</f>
        <v>1 to 5</v>
      </c>
    </row>
    <row r="1933" spans="1:16"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c r="P1933" t="str" cm="1">
        <f t="array" ref="P1933">_xlfn.IFS(orders[[#This Row],[Quantity]]&lt;=5,"1 to 5",orders[[#This Row],[Quantity]]&lt;=10,"6 to 10",orders[[#This Row],[Quantity]]&lt;=16,"11 to 16",orders[[#This Row],[Quantity]]&gt;16,"Above 16")</f>
        <v>6 to 10</v>
      </c>
    </row>
    <row r="1934" spans="1:16"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c r="P1934" t="str" cm="1">
        <f t="array" ref="P1934">_xlfn.IFS(orders[[#This Row],[Quantity]]&lt;=5,"1 to 5",orders[[#This Row],[Quantity]]&lt;=10,"6 to 10",orders[[#This Row],[Quantity]]&lt;=16,"11 to 16",orders[[#This Row],[Quantity]]&gt;16,"Above 16")</f>
        <v>1 to 5</v>
      </c>
    </row>
    <row r="1935" spans="1:16"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c r="P1935" t="str" cm="1">
        <f t="array" ref="P1935">_xlfn.IFS(orders[[#This Row],[Quantity]]&lt;=5,"1 to 5",orders[[#This Row],[Quantity]]&lt;=10,"6 to 10",orders[[#This Row],[Quantity]]&lt;=16,"11 to 16",orders[[#This Row],[Quantity]]&gt;16,"Above 16")</f>
        <v>1 to 5</v>
      </c>
    </row>
    <row r="1936" spans="1:16"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c r="P1936" t="str" cm="1">
        <f t="array" ref="P1936">_xlfn.IFS(orders[[#This Row],[Quantity]]&lt;=5,"1 to 5",orders[[#This Row],[Quantity]]&lt;=10,"6 to 10",orders[[#This Row],[Quantity]]&lt;=16,"11 to 16",orders[[#This Row],[Quantity]]&gt;16,"Above 16")</f>
        <v>1 to 5</v>
      </c>
    </row>
    <row r="1937" spans="1:16"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c r="P1937" t="str" cm="1">
        <f t="array" ref="P1937">_xlfn.IFS(orders[[#This Row],[Quantity]]&lt;=5,"1 to 5",orders[[#This Row],[Quantity]]&lt;=10,"6 to 10",orders[[#This Row],[Quantity]]&lt;=16,"11 to 16",orders[[#This Row],[Quantity]]&gt;16,"Above 16")</f>
        <v>1 to 5</v>
      </c>
    </row>
    <row r="1938" spans="1:16"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c r="P1938" t="str" cm="1">
        <f t="array" ref="P1938">_xlfn.IFS(orders[[#This Row],[Quantity]]&lt;=5,"1 to 5",orders[[#This Row],[Quantity]]&lt;=10,"6 to 10",orders[[#This Row],[Quantity]]&lt;=16,"11 to 16",orders[[#This Row],[Quantity]]&gt;16,"Above 16")</f>
        <v>1 to 5</v>
      </c>
    </row>
    <row r="1939" spans="1:16"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c r="P1939" t="str" cm="1">
        <f t="array" ref="P1939">_xlfn.IFS(orders[[#This Row],[Quantity]]&lt;=5,"1 to 5",orders[[#This Row],[Quantity]]&lt;=10,"6 to 10",orders[[#This Row],[Quantity]]&lt;=16,"11 to 16",orders[[#This Row],[Quantity]]&gt;16,"Above 16")</f>
        <v>6 to 10</v>
      </c>
    </row>
    <row r="1940" spans="1:16"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c r="P1940" t="str" cm="1">
        <f t="array" ref="P1940">_xlfn.IFS(orders[[#This Row],[Quantity]]&lt;=5,"1 to 5",orders[[#This Row],[Quantity]]&lt;=10,"6 to 10",orders[[#This Row],[Quantity]]&lt;=16,"11 to 16",orders[[#This Row],[Quantity]]&gt;16,"Above 16")</f>
        <v>1 to 5</v>
      </c>
    </row>
    <row r="1941" spans="1:16"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c r="P1941" t="str" cm="1">
        <f t="array" ref="P1941">_xlfn.IFS(orders[[#This Row],[Quantity]]&lt;=5,"1 to 5",orders[[#This Row],[Quantity]]&lt;=10,"6 to 10",orders[[#This Row],[Quantity]]&lt;=16,"11 to 16",orders[[#This Row],[Quantity]]&gt;16,"Above 16")</f>
        <v>11 to 16</v>
      </c>
    </row>
    <row r="1942" spans="1:16"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c r="P1942" t="str" cm="1">
        <f t="array" ref="P1942">_xlfn.IFS(orders[[#This Row],[Quantity]]&lt;=5,"1 to 5",orders[[#This Row],[Quantity]]&lt;=10,"6 to 10",orders[[#This Row],[Quantity]]&lt;=16,"11 to 16",orders[[#This Row],[Quantity]]&gt;16,"Above 16")</f>
        <v>6 to 10</v>
      </c>
    </row>
    <row r="1943" spans="1:16"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c r="P1943" t="str" cm="1">
        <f t="array" ref="P1943">_xlfn.IFS(orders[[#This Row],[Quantity]]&lt;=5,"1 to 5",orders[[#This Row],[Quantity]]&lt;=10,"6 to 10",orders[[#This Row],[Quantity]]&lt;=16,"11 to 16",orders[[#This Row],[Quantity]]&gt;16,"Above 16")</f>
        <v>1 to 5</v>
      </c>
    </row>
    <row r="1944" spans="1:16"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c r="P1944" t="str" cm="1">
        <f t="array" ref="P1944">_xlfn.IFS(orders[[#This Row],[Quantity]]&lt;=5,"1 to 5",orders[[#This Row],[Quantity]]&lt;=10,"6 to 10",orders[[#This Row],[Quantity]]&lt;=16,"11 to 16",orders[[#This Row],[Quantity]]&gt;16,"Above 16")</f>
        <v>1 to 5</v>
      </c>
    </row>
    <row r="1945" spans="1:16"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c r="P1945" t="str" cm="1">
        <f t="array" ref="P1945">_xlfn.IFS(orders[[#This Row],[Quantity]]&lt;=5,"1 to 5",orders[[#This Row],[Quantity]]&lt;=10,"6 to 10",orders[[#This Row],[Quantity]]&lt;=16,"11 to 16",orders[[#This Row],[Quantity]]&gt;16,"Above 16")</f>
        <v>1 to 5</v>
      </c>
    </row>
    <row r="1946" spans="1:16"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c r="P1946" t="str" cm="1">
        <f t="array" ref="P1946">_xlfn.IFS(orders[[#This Row],[Quantity]]&lt;=5,"1 to 5",orders[[#This Row],[Quantity]]&lt;=10,"6 to 10",orders[[#This Row],[Quantity]]&lt;=16,"11 to 16",orders[[#This Row],[Quantity]]&gt;16,"Above 16")</f>
        <v>1 to 5</v>
      </c>
    </row>
    <row r="1947" spans="1:16"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c r="P1947" t="str" cm="1">
        <f t="array" ref="P1947">_xlfn.IFS(orders[[#This Row],[Quantity]]&lt;=5,"1 to 5",orders[[#This Row],[Quantity]]&lt;=10,"6 to 10",orders[[#This Row],[Quantity]]&lt;=16,"11 to 16",orders[[#This Row],[Quantity]]&gt;16,"Above 16")</f>
        <v>6 to 10</v>
      </c>
    </row>
    <row r="1948" spans="1:16"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c r="P1948" t="str" cm="1">
        <f t="array" ref="P1948">_xlfn.IFS(orders[[#This Row],[Quantity]]&lt;=5,"1 to 5",orders[[#This Row],[Quantity]]&lt;=10,"6 to 10",orders[[#This Row],[Quantity]]&lt;=16,"11 to 16",orders[[#This Row],[Quantity]]&gt;16,"Above 16")</f>
        <v>1 to 5</v>
      </c>
    </row>
    <row r="1949" spans="1:16"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c r="P1949" t="str" cm="1">
        <f t="array" ref="P1949">_xlfn.IFS(orders[[#This Row],[Quantity]]&lt;=5,"1 to 5",orders[[#This Row],[Quantity]]&lt;=10,"6 to 10",orders[[#This Row],[Quantity]]&lt;=16,"11 to 16",orders[[#This Row],[Quantity]]&gt;16,"Above 16")</f>
        <v>1 to 5</v>
      </c>
    </row>
    <row r="1950" spans="1:16"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c r="P1950" t="str" cm="1">
        <f t="array" ref="P1950">_xlfn.IFS(orders[[#This Row],[Quantity]]&lt;=5,"1 to 5",orders[[#This Row],[Quantity]]&lt;=10,"6 to 10",orders[[#This Row],[Quantity]]&lt;=16,"11 to 16",orders[[#This Row],[Quantity]]&gt;16,"Above 16")</f>
        <v>1 to 5</v>
      </c>
    </row>
    <row r="1951" spans="1:16"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c r="P1951" t="str" cm="1">
        <f t="array" ref="P1951">_xlfn.IFS(orders[[#This Row],[Quantity]]&lt;=5,"1 to 5",orders[[#This Row],[Quantity]]&lt;=10,"6 to 10",orders[[#This Row],[Quantity]]&lt;=16,"11 to 16",orders[[#This Row],[Quantity]]&gt;16,"Above 16")</f>
        <v>11 to 16</v>
      </c>
    </row>
    <row r="1952" spans="1:16"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c r="P1952" t="str" cm="1">
        <f t="array" ref="P1952">_xlfn.IFS(orders[[#This Row],[Quantity]]&lt;=5,"1 to 5",orders[[#This Row],[Quantity]]&lt;=10,"6 to 10",orders[[#This Row],[Quantity]]&lt;=16,"11 to 16",orders[[#This Row],[Quantity]]&gt;16,"Above 16")</f>
        <v>Above 16</v>
      </c>
    </row>
    <row r="1953" spans="1:16"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c r="P1953" t="str" cm="1">
        <f t="array" ref="P1953">_xlfn.IFS(orders[[#This Row],[Quantity]]&lt;=5,"1 to 5",orders[[#This Row],[Quantity]]&lt;=10,"6 to 10",orders[[#This Row],[Quantity]]&lt;=16,"11 to 16",orders[[#This Row],[Quantity]]&gt;16,"Above 16")</f>
        <v>1 to 5</v>
      </c>
    </row>
    <row r="1954" spans="1:16"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c r="P1954" t="str" cm="1">
        <f t="array" ref="P1954">_xlfn.IFS(orders[[#This Row],[Quantity]]&lt;=5,"1 to 5",orders[[#This Row],[Quantity]]&lt;=10,"6 to 10",orders[[#This Row],[Quantity]]&lt;=16,"11 to 16",orders[[#This Row],[Quantity]]&gt;16,"Above 16")</f>
        <v>6 to 10</v>
      </c>
    </row>
    <row r="1955" spans="1:16"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c r="P1955" t="str" cm="1">
        <f t="array" ref="P1955">_xlfn.IFS(orders[[#This Row],[Quantity]]&lt;=5,"1 to 5",orders[[#This Row],[Quantity]]&lt;=10,"6 to 10",orders[[#This Row],[Quantity]]&lt;=16,"11 to 16",orders[[#This Row],[Quantity]]&gt;16,"Above 16")</f>
        <v>6 to 10</v>
      </c>
    </row>
    <row r="1956" spans="1:16"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c r="P1956" t="str" cm="1">
        <f t="array" ref="P1956">_xlfn.IFS(orders[[#This Row],[Quantity]]&lt;=5,"1 to 5",orders[[#This Row],[Quantity]]&lt;=10,"6 to 10",orders[[#This Row],[Quantity]]&lt;=16,"11 to 16",orders[[#This Row],[Quantity]]&gt;16,"Above 16")</f>
        <v>1 to 5</v>
      </c>
    </row>
    <row r="1957" spans="1:16"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c r="P1957" t="str" cm="1">
        <f t="array" ref="P1957">_xlfn.IFS(orders[[#This Row],[Quantity]]&lt;=5,"1 to 5",orders[[#This Row],[Quantity]]&lt;=10,"6 to 10",orders[[#This Row],[Quantity]]&lt;=16,"11 to 16",orders[[#This Row],[Quantity]]&gt;16,"Above 16")</f>
        <v>1 to 5</v>
      </c>
    </row>
    <row r="1958" spans="1:16"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c r="P1958" t="str" cm="1">
        <f t="array" ref="P1958">_xlfn.IFS(orders[[#This Row],[Quantity]]&lt;=5,"1 to 5",orders[[#This Row],[Quantity]]&lt;=10,"6 to 10",orders[[#This Row],[Quantity]]&lt;=16,"11 to 16",orders[[#This Row],[Quantity]]&gt;16,"Above 16")</f>
        <v>1 to 5</v>
      </c>
    </row>
    <row r="1959" spans="1:16"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c r="P1959" t="str" cm="1">
        <f t="array" ref="P1959">_xlfn.IFS(orders[[#This Row],[Quantity]]&lt;=5,"1 to 5",orders[[#This Row],[Quantity]]&lt;=10,"6 to 10",orders[[#This Row],[Quantity]]&lt;=16,"11 to 16",orders[[#This Row],[Quantity]]&gt;16,"Above 16")</f>
        <v>1 to 5</v>
      </c>
    </row>
    <row r="1960" spans="1:16"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c r="P1960" t="str" cm="1">
        <f t="array" ref="P1960">_xlfn.IFS(orders[[#This Row],[Quantity]]&lt;=5,"1 to 5",orders[[#This Row],[Quantity]]&lt;=10,"6 to 10",orders[[#This Row],[Quantity]]&lt;=16,"11 to 16",orders[[#This Row],[Quantity]]&gt;16,"Above 16")</f>
        <v>1 to 5</v>
      </c>
    </row>
    <row r="1961" spans="1:16"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c r="P1961" t="str" cm="1">
        <f t="array" ref="P1961">_xlfn.IFS(orders[[#This Row],[Quantity]]&lt;=5,"1 to 5",orders[[#This Row],[Quantity]]&lt;=10,"6 to 10",orders[[#This Row],[Quantity]]&lt;=16,"11 to 16",orders[[#This Row],[Quantity]]&gt;16,"Above 16")</f>
        <v>11 to 16</v>
      </c>
    </row>
    <row r="1962" spans="1:16"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c r="P1962" t="str" cm="1">
        <f t="array" ref="P1962">_xlfn.IFS(orders[[#This Row],[Quantity]]&lt;=5,"1 to 5",orders[[#This Row],[Quantity]]&lt;=10,"6 to 10",orders[[#This Row],[Quantity]]&lt;=16,"11 to 16",orders[[#This Row],[Quantity]]&gt;16,"Above 16")</f>
        <v>1 to 5</v>
      </c>
    </row>
    <row r="1963" spans="1:16"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c r="P1963" t="str" cm="1">
        <f t="array" ref="P1963">_xlfn.IFS(orders[[#This Row],[Quantity]]&lt;=5,"1 to 5",orders[[#This Row],[Quantity]]&lt;=10,"6 to 10",orders[[#This Row],[Quantity]]&lt;=16,"11 to 16",orders[[#This Row],[Quantity]]&gt;16,"Above 16")</f>
        <v>Above 16</v>
      </c>
    </row>
    <row r="1964" spans="1:16"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c r="P1964" t="str" cm="1">
        <f t="array" ref="P1964">_xlfn.IFS(orders[[#This Row],[Quantity]]&lt;=5,"1 to 5",orders[[#This Row],[Quantity]]&lt;=10,"6 to 10",orders[[#This Row],[Quantity]]&lt;=16,"11 to 16",orders[[#This Row],[Quantity]]&gt;16,"Above 16")</f>
        <v>Above 16</v>
      </c>
    </row>
    <row r="1965" spans="1:16"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c r="P1965" t="str" cm="1">
        <f t="array" ref="P1965">_xlfn.IFS(orders[[#This Row],[Quantity]]&lt;=5,"1 to 5",orders[[#This Row],[Quantity]]&lt;=10,"6 to 10",orders[[#This Row],[Quantity]]&lt;=16,"11 to 16",orders[[#This Row],[Quantity]]&gt;16,"Above 16")</f>
        <v>1 to 5</v>
      </c>
    </row>
    <row r="1966" spans="1:16"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c r="P1966" t="str" cm="1">
        <f t="array" ref="P1966">_xlfn.IFS(orders[[#This Row],[Quantity]]&lt;=5,"1 to 5",orders[[#This Row],[Quantity]]&lt;=10,"6 to 10",orders[[#This Row],[Quantity]]&lt;=16,"11 to 16",orders[[#This Row],[Quantity]]&gt;16,"Above 16")</f>
        <v>1 to 5</v>
      </c>
    </row>
    <row r="1967" spans="1:16"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c r="P1967" t="str" cm="1">
        <f t="array" ref="P1967">_xlfn.IFS(orders[[#This Row],[Quantity]]&lt;=5,"1 to 5",orders[[#This Row],[Quantity]]&lt;=10,"6 to 10",orders[[#This Row],[Quantity]]&lt;=16,"11 to 16",orders[[#This Row],[Quantity]]&gt;16,"Above 16")</f>
        <v>6 to 10</v>
      </c>
    </row>
    <row r="1968" spans="1:16"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c r="P1968" t="str" cm="1">
        <f t="array" ref="P1968">_xlfn.IFS(orders[[#This Row],[Quantity]]&lt;=5,"1 to 5",orders[[#This Row],[Quantity]]&lt;=10,"6 to 10",orders[[#This Row],[Quantity]]&lt;=16,"11 to 16",orders[[#This Row],[Quantity]]&gt;16,"Above 16")</f>
        <v>11 to 16</v>
      </c>
    </row>
    <row r="1969" spans="1:16"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c r="P1969" t="str" cm="1">
        <f t="array" ref="P1969">_xlfn.IFS(orders[[#This Row],[Quantity]]&lt;=5,"1 to 5",orders[[#This Row],[Quantity]]&lt;=10,"6 to 10",orders[[#This Row],[Quantity]]&lt;=16,"11 to 16",orders[[#This Row],[Quantity]]&gt;16,"Above 16")</f>
        <v>1 to 5</v>
      </c>
    </row>
    <row r="1970" spans="1:16"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c r="P1970" t="str" cm="1">
        <f t="array" ref="P1970">_xlfn.IFS(orders[[#This Row],[Quantity]]&lt;=5,"1 to 5",orders[[#This Row],[Quantity]]&lt;=10,"6 to 10",orders[[#This Row],[Quantity]]&lt;=16,"11 to 16",orders[[#This Row],[Quantity]]&gt;16,"Above 16")</f>
        <v>1 to 5</v>
      </c>
    </row>
    <row r="1971" spans="1:16"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c r="P1971" t="str" cm="1">
        <f t="array" ref="P1971">_xlfn.IFS(orders[[#This Row],[Quantity]]&lt;=5,"1 to 5",orders[[#This Row],[Quantity]]&lt;=10,"6 to 10",orders[[#This Row],[Quantity]]&lt;=16,"11 to 16",orders[[#This Row],[Quantity]]&gt;16,"Above 16")</f>
        <v>1 to 5</v>
      </c>
    </row>
    <row r="1972" spans="1:16"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c r="P1972" t="str" cm="1">
        <f t="array" ref="P1972">_xlfn.IFS(orders[[#This Row],[Quantity]]&lt;=5,"1 to 5",orders[[#This Row],[Quantity]]&lt;=10,"6 to 10",orders[[#This Row],[Quantity]]&lt;=16,"11 to 16",orders[[#This Row],[Quantity]]&gt;16,"Above 16")</f>
        <v>1 to 5</v>
      </c>
    </row>
    <row r="1973" spans="1:16"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c r="P1973" t="str" cm="1">
        <f t="array" ref="P1973">_xlfn.IFS(orders[[#This Row],[Quantity]]&lt;=5,"1 to 5",orders[[#This Row],[Quantity]]&lt;=10,"6 to 10",orders[[#This Row],[Quantity]]&lt;=16,"11 to 16",orders[[#This Row],[Quantity]]&gt;16,"Above 16")</f>
        <v>1 to 5</v>
      </c>
    </row>
    <row r="1974" spans="1:16"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c r="P1974" t="str" cm="1">
        <f t="array" ref="P1974">_xlfn.IFS(orders[[#This Row],[Quantity]]&lt;=5,"1 to 5",orders[[#This Row],[Quantity]]&lt;=10,"6 to 10",orders[[#This Row],[Quantity]]&lt;=16,"11 to 16",orders[[#This Row],[Quantity]]&gt;16,"Above 16")</f>
        <v>1 to 5</v>
      </c>
    </row>
    <row r="1975" spans="1:16"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c r="P1975" t="str" cm="1">
        <f t="array" ref="P1975">_xlfn.IFS(orders[[#This Row],[Quantity]]&lt;=5,"1 to 5",orders[[#This Row],[Quantity]]&lt;=10,"6 to 10",orders[[#This Row],[Quantity]]&lt;=16,"11 to 16",orders[[#This Row],[Quantity]]&gt;16,"Above 16")</f>
        <v>1 to 5</v>
      </c>
    </row>
    <row r="1976" spans="1:16"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c r="P1976" t="str" cm="1">
        <f t="array" ref="P1976">_xlfn.IFS(orders[[#This Row],[Quantity]]&lt;=5,"1 to 5",orders[[#This Row],[Quantity]]&lt;=10,"6 to 10",orders[[#This Row],[Quantity]]&lt;=16,"11 to 16",orders[[#This Row],[Quantity]]&gt;16,"Above 16")</f>
        <v>1 to 5</v>
      </c>
    </row>
    <row r="1977" spans="1:16"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c r="P1977" t="str" cm="1">
        <f t="array" ref="P1977">_xlfn.IFS(orders[[#This Row],[Quantity]]&lt;=5,"1 to 5",orders[[#This Row],[Quantity]]&lt;=10,"6 to 10",orders[[#This Row],[Quantity]]&lt;=16,"11 to 16",orders[[#This Row],[Quantity]]&gt;16,"Above 16")</f>
        <v>1 to 5</v>
      </c>
    </row>
    <row r="1978" spans="1:16"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c r="P1978" t="str" cm="1">
        <f t="array" ref="P1978">_xlfn.IFS(orders[[#This Row],[Quantity]]&lt;=5,"1 to 5",orders[[#This Row],[Quantity]]&lt;=10,"6 to 10",orders[[#This Row],[Quantity]]&lt;=16,"11 to 16",orders[[#This Row],[Quantity]]&gt;16,"Above 16")</f>
        <v>1 to 5</v>
      </c>
    </row>
    <row r="1979" spans="1:16"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c r="P1979" t="str" cm="1">
        <f t="array" ref="P1979">_xlfn.IFS(orders[[#This Row],[Quantity]]&lt;=5,"1 to 5",orders[[#This Row],[Quantity]]&lt;=10,"6 to 10",orders[[#This Row],[Quantity]]&lt;=16,"11 to 16",orders[[#This Row],[Quantity]]&gt;16,"Above 16")</f>
        <v>1 to 5</v>
      </c>
    </row>
    <row r="1980" spans="1:16"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c r="P1980" t="str" cm="1">
        <f t="array" ref="P1980">_xlfn.IFS(orders[[#This Row],[Quantity]]&lt;=5,"1 to 5",orders[[#This Row],[Quantity]]&lt;=10,"6 to 10",orders[[#This Row],[Quantity]]&lt;=16,"11 to 16",orders[[#This Row],[Quantity]]&gt;16,"Above 16")</f>
        <v>1 to 5</v>
      </c>
    </row>
    <row r="1981" spans="1:16"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c r="P1981" t="str" cm="1">
        <f t="array" ref="P1981">_xlfn.IFS(orders[[#This Row],[Quantity]]&lt;=5,"1 to 5",orders[[#This Row],[Quantity]]&lt;=10,"6 to 10",orders[[#This Row],[Quantity]]&lt;=16,"11 to 16",orders[[#This Row],[Quantity]]&gt;16,"Above 16")</f>
        <v>6 to 10</v>
      </c>
    </row>
    <row r="1982" spans="1:16"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c r="P1982" t="str" cm="1">
        <f t="array" ref="P1982">_xlfn.IFS(orders[[#This Row],[Quantity]]&lt;=5,"1 to 5",orders[[#This Row],[Quantity]]&lt;=10,"6 to 10",orders[[#This Row],[Quantity]]&lt;=16,"11 to 16",orders[[#This Row],[Quantity]]&gt;16,"Above 16")</f>
        <v>1 to 5</v>
      </c>
    </row>
    <row r="1983" spans="1:16"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c r="P1983" t="str" cm="1">
        <f t="array" ref="P1983">_xlfn.IFS(orders[[#This Row],[Quantity]]&lt;=5,"1 to 5",orders[[#This Row],[Quantity]]&lt;=10,"6 to 10",orders[[#This Row],[Quantity]]&lt;=16,"11 to 16",orders[[#This Row],[Quantity]]&gt;16,"Above 16")</f>
        <v>1 to 5</v>
      </c>
    </row>
    <row r="1984" spans="1:16"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c r="P1984" t="str" cm="1">
        <f t="array" ref="P1984">_xlfn.IFS(orders[[#This Row],[Quantity]]&lt;=5,"1 to 5",orders[[#This Row],[Quantity]]&lt;=10,"6 to 10",orders[[#This Row],[Quantity]]&lt;=16,"11 to 16",orders[[#This Row],[Quantity]]&gt;16,"Above 16")</f>
        <v>1 to 5</v>
      </c>
    </row>
    <row r="1985" spans="1:16"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c r="P1985" t="str" cm="1">
        <f t="array" ref="P1985">_xlfn.IFS(orders[[#This Row],[Quantity]]&lt;=5,"1 to 5",orders[[#This Row],[Quantity]]&lt;=10,"6 to 10",orders[[#This Row],[Quantity]]&lt;=16,"11 to 16",orders[[#This Row],[Quantity]]&gt;16,"Above 16")</f>
        <v>1 to 5</v>
      </c>
    </row>
    <row r="1986" spans="1:16"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c r="P1986" t="str" cm="1">
        <f t="array" ref="P1986">_xlfn.IFS(orders[[#This Row],[Quantity]]&lt;=5,"1 to 5",orders[[#This Row],[Quantity]]&lt;=10,"6 to 10",orders[[#This Row],[Quantity]]&lt;=16,"11 to 16",orders[[#This Row],[Quantity]]&gt;16,"Above 16")</f>
        <v>1 to 5</v>
      </c>
    </row>
    <row r="1987" spans="1:16"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c r="P1987" t="str" cm="1">
        <f t="array" ref="P1987">_xlfn.IFS(orders[[#This Row],[Quantity]]&lt;=5,"1 to 5",orders[[#This Row],[Quantity]]&lt;=10,"6 to 10",orders[[#This Row],[Quantity]]&lt;=16,"11 to 16",orders[[#This Row],[Quantity]]&gt;16,"Above 16")</f>
        <v>1 to 5</v>
      </c>
    </row>
    <row r="1988" spans="1:16"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c r="P1988" t="str" cm="1">
        <f t="array" ref="P1988">_xlfn.IFS(orders[[#This Row],[Quantity]]&lt;=5,"1 to 5",orders[[#This Row],[Quantity]]&lt;=10,"6 to 10",orders[[#This Row],[Quantity]]&lt;=16,"11 to 16",orders[[#This Row],[Quantity]]&gt;16,"Above 16")</f>
        <v>1 to 5</v>
      </c>
    </row>
    <row r="1989" spans="1:16"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c r="P1989" t="str" cm="1">
        <f t="array" ref="P1989">_xlfn.IFS(orders[[#This Row],[Quantity]]&lt;=5,"1 to 5",orders[[#This Row],[Quantity]]&lt;=10,"6 to 10",orders[[#This Row],[Quantity]]&lt;=16,"11 to 16",orders[[#This Row],[Quantity]]&gt;16,"Above 16")</f>
        <v>1 to 5</v>
      </c>
    </row>
    <row r="1990" spans="1:16"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c r="P1990" t="str" cm="1">
        <f t="array" ref="P1990">_xlfn.IFS(orders[[#This Row],[Quantity]]&lt;=5,"1 to 5",orders[[#This Row],[Quantity]]&lt;=10,"6 to 10",orders[[#This Row],[Quantity]]&lt;=16,"11 to 16",orders[[#This Row],[Quantity]]&gt;16,"Above 16")</f>
        <v>1 to 5</v>
      </c>
    </row>
    <row r="1991" spans="1:16"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c r="P1991" t="str" cm="1">
        <f t="array" ref="P1991">_xlfn.IFS(orders[[#This Row],[Quantity]]&lt;=5,"1 to 5",orders[[#This Row],[Quantity]]&lt;=10,"6 to 10",orders[[#This Row],[Quantity]]&lt;=16,"11 to 16",orders[[#This Row],[Quantity]]&gt;16,"Above 16")</f>
        <v>1 to 5</v>
      </c>
    </row>
    <row r="1992" spans="1:16"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c r="P1992" t="str" cm="1">
        <f t="array" ref="P1992">_xlfn.IFS(orders[[#This Row],[Quantity]]&lt;=5,"1 to 5",orders[[#This Row],[Quantity]]&lt;=10,"6 to 10",orders[[#This Row],[Quantity]]&lt;=16,"11 to 16",orders[[#This Row],[Quantity]]&gt;16,"Above 16")</f>
        <v>1 to 5</v>
      </c>
    </row>
    <row r="1993" spans="1:16"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c r="P1993" t="str" cm="1">
        <f t="array" ref="P1993">_xlfn.IFS(orders[[#This Row],[Quantity]]&lt;=5,"1 to 5",orders[[#This Row],[Quantity]]&lt;=10,"6 to 10",orders[[#This Row],[Quantity]]&lt;=16,"11 to 16",orders[[#This Row],[Quantity]]&gt;16,"Above 16")</f>
        <v>11 to 16</v>
      </c>
    </row>
    <row r="1994" spans="1:16"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c r="P1994" t="str" cm="1">
        <f t="array" ref="P1994">_xlfn.IFS(orders[[#This Row],[Quantity]]&lt;=5,"1 to 5",orders[[#This Row],[Quantity]]&lt;=10,"6 to 10",orders[[#This Row],[Quantity]]&lt;=16,"11 to 16",orders[[#This Row],[Quantity]]&gt;16,"Above 16")</f>
        <v>1 to 5</v>
      </c>
    </row>
    <row r="1995" spans="1:16"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c r="P1995" t="str" cm="1">
        <f t="array" ref="P1995">_xlfn.IFS(orders[[#This Row],[Quantity]]&lt;=5,"1 to 5",orders[[#This Row],[Quantity]]&lt;=10,"6 to 10",orders[[#This Row],[Quantity]]&lt;=16,"11 to 16",orders[[#This Row],[Quantity]]&gt;16,"Above 16")</f>
        <v>1 to 5</v>
      </c>
    </row>
    <row r="1996" spans="1:16"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c r="P1996" t="str" cm="1">
        <f t="array" ref="P1996">_xlfn.IFS(orders[[#This Row],[Quantity]]&lt;=5,"1 to 5",orders[[#This Row],[Quantity]]&lt;=10,"6 to 10",orders[[#This Row],[Quantity]]&lt;=16,"11 to 16",orders[[#This Row],[Quantity]]&gt;16,"Above 16")</f>
        <v>1 to 5</v>
      </c>
    </row>
    <row r="1997" spans="1:16"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c r="P1997" t="str" cm="1">
        <f t="array" ref="P1997">_xlfn.IFS(orders[[#This Row],[Quantity]]&lt;=5,"1 to 5",orders[[#This Row],[Quantity]]&lt;=10,"6 to 10",orders[[#This Row],[Quantity]]&lt;=16,"11 to 16",orders[[#This Row],[Quantity]]&gt;16,"Above 16")</f>
        <v>6 to 10</v>
      </c>
    </row>
    <row r="1998" spans="1:16"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c r="P1998" t="str" cm="1">
        <f t="array" ref="P1998">_xlfn.IFS(orders[[#This Row],[Quantity]]&lt;=5,"1 to 5",orders[[#This Row],[Quantity]]&lt;=10,"6 to 10",orders[[#This Row],[Quantity]]&lt;=16,"11 to 16",orders[[#This Row],[Quantity]]&gt;16,"Above 16")</f>
        <v>6 to 10</v>
      </c>
    </row>
    <row r="1999" spans="1:16"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c r="P1999" t="str" cm="1">
        <f t="array" ref="P1999">_xlfn.IFS(orders[[#This Row],[Quantity]]&lt;=5,"1 to 5",orders[[#This Row],[Quantity]]&lt;=10,"6 to 10",orders[[#This Row],[Quantity]]&lt;=16,"11 to 16",orders[[#This Row],[Quantity]]&gt;16,"Above 16")</f>
        <v>1 to 5</v>
      </c>
    </row>
    <row r="2000" spans="1:16"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c r="P2000" t="str" cm="1">
        <f t="array" ref="P2000">_xlfn.IFS(orders[[#This Row],[Quantity]]&lt;=5,"1 to 5",orders[[#This Row],[Quantity]]&lt;=10,"6 to 10",orders[[#This Row],[Quantity]]&lt;=16,"11 to 16",orders[[#This Row],[Quantity]]&gt;16,"Above 16")</f>
        <v>6 to 10</v>
      </c>
    </row>
    <row r="2001" spans="1:16"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c r="P2001" t="str" cm="1">
        <f t="array" ref="P2001">_xlfn.IFS(orders[[#This Row],[Quantity]]&lt;=5,"1 to 5",orders[[#This Row],[Quantity]]&lt;=10,"6 to 10",orders[[#This Row],[Quantity]]&lt;=16,"11 to 16",orders[[#This Row],[Quantity]]&gt;16,"Above 16")</f>
        <v>11 to 16</v>
      </c>
    </row>
    <row r="2002" spans="1:16"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c r="P2002" t="str" cm="1">
        <f t="array" ref="P2002">_xlfn.IFS(orders[[#This Row],[Quantity]]&lt;=5,"1 to 5",orders[[#This Row],[Quantity]]&lt;=10,"6 to 10",orders[[#This Row],[Quantity]]&lt;=16,"11 to 16",orders[[#This Row],[Quantity]]&gt;16,"Above 16")</f>
        <v>1 to 5</v>
      </c>
    </row>
    <row r="2003" spans="1:16"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c r="P2003" t="str" cm="1">
        <f t="array" ref="P2003">_xlfn.IFS(orders[[#This Row],[Quantity]]&lt;=5,"1 to 5",orders[[#This Row],[Quantity]]&lt;=10,"6 to 10",orders[[#This Row],[Quantity]]&lt;=16,"11 to 16",orders[[#This Row],[Quantity]]&gt;16,"Above 16")</f>
        <v>6 to 10</v>
      </c>
    </row>
    <row r="2004" spans="1:16"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c r="P2004" t="str" cm="1">
        <f t="array" ref="P2004">_xlfn.IFS(orders[[#This Row],[Quantity]]&lt;=5,"1 to 5",orders[[#This Row],[Quantity]]&lt;=10,"6 to 10",orders[[#This Row],[Quantity]]&lt;=16,"11 to 16",orders[[#This Row],[Quantity]]&gt;16,"Above 16")</f>
        <v>11 to 16</v>
      </c>
    </row>
    <row r="2005" spans="1:16"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c r="P2005" t="str" cm="1">
        <f t="array" ref="P2005">_xlfn.IFS(orders[[#This Row],[Quantity]]&lt;=5,"1 to 5",orders[[#This Row],[Quantity]]&lt;=10,"6 to 10",orders[[#This Row],[Quantity]]&lt;=16,"11 to 16",orders[[#This Row],[Quantity]]&gt;16,"Above 16")</f>
        <v>1 to 5</v>
      </c>
    </row>
    <row r="2006" spans="1:16"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c r="P2006" t="str" cm="1">
        <f t="array" ref="P2006">_xlfn.IFS(orders[[#This Row],[Quantity]]&lt;=5,"1 to 5",orders[[#This Row],[Quantity]]&lt;=10,"6 to 10",orders[[#This Row],[Quantity]]&lt;=16,"11 to 16",orders[[#This Row],[Quantity]]&gt;16,"Above 16")</f>
        <v>1 to 5</v>
      </c>
    </row>
    <row r="2007" spans="1:16"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c r="P2007" t="str" cm="1">
        <f t="array" ref="P2007">_xlfn.IFS(orders[[#This Row],[Quantity]]&lt;=5,"1 to 5",orders[[#This Row],[Quantity]]&lt;=10,"6 to 10",orders[[#This Row],[Quantity]]&lt;=16,"11 to 16",orders[[#This Row],[Quantity]]&gt;16,"Above 16")</f>
        <v>1 to 5</v>
      </c>
    </row>
    <row r="2008" spans="1:16"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c r="P2008" t="str" cm="1">
        <f t="array" ref="P2008">_xlfn.IFS(orders[[#This Row],[Quantity]]&lt;=5,"1 to 5",orders[[#This Row],[Quantity]]&lt;=10,"6 to 10",orders[[#This Row],[Quantity]]&lt;=16,"11 to 16",orders[[#This Row],[Quantity]]&gt;16,"Above 16")</f>
        <v>1 to 5</v>
      </c>
    </row>
    <row r="2009" spans="1:16"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c r="P2009" t="str" cm="1">
        <f t="array" ref="P2009">_xlfn.IFS(orders[[#This Row],[Quantity]]&lt;=5,"1 to 5",orders[[#This Row],[Quantity]]&lt;=10,"6 to 10",orders[[#This Row],[Quantity]]&lt;=16,"11 to 16",orders[[#This Row],[Quantity]]&gt;16,"Above 16")</f>
        <v>1 to 5</v>
      </c>
    </row>
    <row r="2010" spans="1:16"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c r="P2010" t="str" cm="1">
        <f t="array" ref="P2010">_xlfn.IFS(orders[[#This Row],[Quantity]]&lt;=5,"1 to 5",orders[[#This Row],[Quantity]]&lt;=10,"6 to 10",orders[[#This Row],[Quantity]]&lt;=16,"11 to 16",orders[[#This Row],[Quantity]]&gt;16,"Above 16")</f>
        <v>1 to 5</v>
      </c>
    </row>
    <row r="2011" spans="1:16"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c r="P2011" t="str" cm="1">
        <f t="array" ref="P2011">_xlfn.IFS(orders[[#This Row],[Quantity]]&lt;=5,"1 to 5",orders[[#This Row],[Quantity]]&lt;=10,"6 to 10",orders[[#This Row],[Quantity]]&lt;=16,"11 to 16",orders[[#This Row],[Quantity]]&gt;16,"Above 16")</f>
        <v>1 to 5</v>
      </c>
    </row>
    <row r="2012" spans="1:16"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c r="P2012" t="str" cm="1">
        <f t="array" ref="P2012">_xlfn.IFS(orders[[#This Row],[Quantity]]&lt;=5,"1 to 5",orders[[#This Row],[Quantity]]&lt;=10,"6 to 10",orders[[#This Row],[Quantity]]&lt;=16,"11 to 16",orders[[#This Row],[Quantity]]&gt;16,"Above 16")</f>
        <v>1 to 5</v>
      </c>
    </row>
    <row r="2013" spans="1:16"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c r="P2013" t="str" cm="1">
        <f t="array" ref="P2013">_xlfn.IFS(orders[[#This Row],[Quantity]]&lt;=5,"1 to 5",orders[[#This Row],[Quantity]]&lt;=10,"6 to 10",orders[[#This Row],[Quantity]]&lt;=16,"11 to 16",orders[[#This Row],[Quantity]]&gt;16,"Above 16")</f>
        <v>6 to 10</v>
      </c>
    </row>
    <row r="2014" spans="1:16"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c r="P2014" t="str" cm="1">
        <f t="array" ref="P2014">_xlfn.IFS(orders[[#This Row],[Quantity]]&lt;=5,"1 to 5",orders[[#This Row],[Quantity]]&lt;=10,"6 to 10",orders[[#This Row],[Quantity]]&lt;=16,"11 to 16",orders[[#This Row],[Quantity]]&gt;16,"Above 16")</f>
        <v>1 to 5</v>
      </c>
    </row>
    <row r="2015" spans="1:16"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c r="P2015" t="str" cm="1">
        <f t="array" ref="P2015">_xlfn.IFS(orders[[#This Row],[Quantity]]&lt;=5,"1 to 5",orders[[#This Row],[Quantity]]&lt;=10,"6 to 10",orders[[#This Row],[Quantity]]&lt;=16,"11 to 16",orders[[#This Row],[Quantity]]&gt;16,"Above 16")</f>
        <v>1 to 5</v>
      </c>
    </row>
    <row r="2016" spans="1:16"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c r="P2016" t="str" cm="1">
        <f t="array" ref="P2016">_xlfn.IFS(orders[[#This Row],[Quantity]]&lt;=5,"1 to 5",orders[[#This Row],[Quantity]]&lt;=10,"6 to 10",orders[[#This Row],[Quantity]]&lt;=16,"11 to 16",orders[[#This Row],[Quantity]]&gt;16,"Above 16")</f>
        <v>1 to 5</v>
      </c>
    </row>
    <row r="2017" spans="1:16"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c r="P2017" t="str" cm="1">
        <f t="array" ref="P2017">_xlfn.IFS(orders[[#This Row],[Quantity]]&lt;=5,"1 to 5",orders[[#This Row],[Quantity]]&lt;=10,"6 to 10",orders[[#This Row],[Quantity]]&lt;=16,"11 to 16",orders[[#This Row],[Quantity]]&gt;16,"Above 16")</f>
        <v>1 to 5</v>
      </c>
    </row>
    <row r="2018" spans="1:16"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c r="P2018" t="str" cm="1">
        <f t="array" ref="P2018">_xlfn.IFS(orders[[#This Row],[Quantity]]&lt;=5,"1 to 5",orders[[#This Row],[Quantity]]&lt;=10,"6 to 10",orders[[#This Row],[Quantity]]&lt;=16,"11 to 16",orders[[#This Row],[Quantity]]&gt;16,"Above 16")</f>
        <v>1 to 5</v>
      </c>
    </row>
    <row r="2019" spans="1:16"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c r="P2019" t="str" cm="1">
        <f t="array" ref="P2019">_xlfn.IFS(orders[[#This Row],[Quantity]]&lt;=5,"1 to 5",orders[[#This Row],[Quantity]]&lt;=10,"6 to 10",orders[[#This Row],[Quantity]]&lt;=16,"11 to 16",orders[[#This Row],[Quantity]]&gt;16,"Above 16")</f>
        <v>6 to 10</v>
      </c>
    </row>
    <row r="2020" spans="1:16"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c r="P2020" t="str" cm="1">
        <f t="array" ref="P2020">_xlfn.IFS(orders[[#This Row],[Quantity]]&lt;=5,"1 to 5",orders[[#This Row],[Quantity]]&lt;=10,"6 to 10",orders[[#This Row],[Quantity]]&lt;=16,"11 to 16",orders[[#This Row],[Quantity]]&gt;16,"Above 16")</f>
        <v>6 to 10</v>
      </c>
    </row>
    <row r="2021" spans="1:16"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c r="P2021" t="str" cm="1">
        <f t="array" ref="P2021">_xlfn.IFS(orders[[#This Row],[Quantity]]&lt;=5,"1 to 5",orders[[#This Row],[Quantity]]&lt;=10,"6 to 10",orders[[#This Row],[Quantity]]&lt;=16,"11 to 16",orders[[#This Row],[Quantity]]&gt;16,"Above 16")</f>
        <v>11 to 16</v>
      </c>
    </row>
    <row r="2022" spans="1:16"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c r="P2022" t="str" cm="1">
        <f t="array" ref="P2022">_xlfn.IFS(orders[[#This Row],[Quantity]]&lt;=5,"1 to 5",orders[[#This Row],[Quantity]]&lt;=10,"6 to 10",orders[[#This Row],[Quantity]]&lt;=16,"11 to 16",orders[[#This Row],[Quantity]]&gt;16,"Above 16")</f>
        <v>6 to 10</v>
      </c>
    </row>
    <row r="2023" spans="1:16"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c r="P2023" t="str" cm="1">
        <f t="array" ref="P2023">_xlfn.IFS(orders[[#This Row],[Quantity]]&lt;=5,"1 to 5",orders[[#This Row],[Quantity]]&lt;=10,"6 to 10",orders[[#This Row],[Quantity]]&lt;=16,"11 to 16",orders[[#This Row],[Quantity]]&gt;16,"Above 16")</f>
        <v>1 to 5</v>
      </c>
    </row>
    <row r="2024" spans="1:16"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c r="P2024" t="str" cm="1">
        <f t="array" ref="P2024">_xlfn.IFS(orders[[#This Row],[Quantity]]&lt;=5,"1 to 5",orders[[#This Row],[Quantity]]&lt;=10,"6 to 10",orders[[#This Row],[Quantity]]&lt;=16,"11 to 16",orders[[#This Row],[Quantity]]&gt;16,"Above 16")</f>
        <v>6 to 10</v>
      </c>
    </row>
    <row r="2025" spans="1:16"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c r="P2025" t="str" cm="1">
        <f t="array" ref="P2025">_xlfn.IFS(orders[[#This Row],[Quantity]]&lt;=5,"1 to 5",orders[[#This Row],[Quantity]]&lt;=10,"6 to 10",orders[[#This Row],[Quantity]]&lt;=16,"11 to 16",orders[[#This Row],[Quantity]]&gt;16,"Above 16")</f>
        <v>1 to 5</v>
      </c>
    </row>
    <row r="2026" spans="1:16"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c r="P2026" t="str" cm="1">
        <f t="array" ref="P2026">_xlfn.IFS(orders[[#This Row],[Quantity]]&lt;=5,"1 to 5",orders[[#This Row],[Quantity]]&lt;=10,"6 to 10",orders[[#This Row],[Quantity]]&lt;=16,"11 to 16",orders[[#This Row],[Quantity]]&gt;16,"Above 16")</f>
        <v>1 to 5</v>
      </c>
    </row>
    <row r="2027" spans="1:16"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c r="P2027" t="str" cm="1">
        <f t="array" ref="P2027">_xlfn.IFS(orders[[#This Row],[Quantity]]&lt;=5,"1 to 5",orders[[#This Row],[Quantity]]&lt;=10,"6 to 10",orders[[#This Row],[Quantity]]&lt;=16,"11 to 16",orders[[#This Row],[Quantity]]&gt;16,"Above 16")</f>
        <v>1 to 5</v>
      </c>
    </row>
    <row r="2028" spans="1:16"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c r="P2028" t="str" cm="1">
        <f t="array" ref="P2028">_xlfn.IFS(orders[[#This Row],[Quantity]]&lt;=5,"1 to 5",orders[[#This Row],[Quantity]]&lt;=10,"6 to 10",orders[[#This Row],[Quantity]]&lt;=16,"11 to 16",orders[[#This Row],[Quantity]]&gt;16,"Above 16")</f>
        <v>1 to 5</v>
      </c>
    </row>
    <row r="2029" spans="1:16"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c r="P2029" t="str" cm="1">
        <f t="array" ref="P2029">_xlfn.IFS(orders[[#This Row],[Quantity]]&lt;=5,"1 to 5",orders[[#This Row],[Quantity]]&lt;=10,"6 to 10",orders[[#This Row],[Quantity]]&lt;=16,"11 to 16",orders[[#This Row],[Quantity]]&gt;16,"Above 16")</f>
        <v>1 to 5</v>
      </c>
    </row>
    <row r="2030" spans="1:16"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c r="P2030" t="str" cm="1">
        <f t="array" ref="P2030">_xlfn.IFS(orders[[#This Row],[Quantity]]&lt;=5,"1 to 5",orders[[#This Row],[Quantity]]&lt;=10,"6 to 10",orders[[#This Row],[Quantity]]&lt;=16,"11 to 16",orders[[#This Row],[Quantity]]&gt;16,"Above 16")</f>
        <v>6 to 10</v>
      </c>
    </row>
    <row r="2031" spans="1:16"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c r="P2031" t="str" cm="1">
        <f t="array" ref="P2031">_xlfn.IFS(orders[[#This Row],[Quantity]]&lt;=5,"1 to 5",orders[[#This Row],[Quantity]]&lt;=10,"6 to 10",orders[[#This Row],[Quantity]]&lt;=16,"11 to 16",orders[[#This Row],[Quantity]]&gt;16,"Above 16")</f>
        <v>1 to 5</v>
      </c>
    </row>
    <row r="2032" spans="1:16"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c r="P2032" t="str" cm="1">
        <f t="array" ref="P2032">_xlfn.IFS(orders[[#This Row],[Quantity]]&lt;=5,"1 to 5",orders[[#This Row],[Quantity]]&lt;=10,"6 to 10",orders[[#This Row],[Quantity]]&lt;=16,"11 to 16",orders[[#This Row],[Quantity]]&gt;16,"Above 16")</f>
        <v>1 to 5</v>
      </c>
    </row>
    <row r="2033" spans="1:16"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c r="P2033" t="str" cm="1">
        <f t="array" ref="P2033">_xlfn.IFS(orders[[#This Row],[Quantity]]&lt;=5,"1 to 5",orders[[#This Row],[Quantity]]&lt;=10,"6 to 10",orders[[#This Row],[Quantity]]&lt;=16,"11 to 16",orders[[#This Row],[Quantity]]&gt;16,"Above 16")</f>
        <v>1 to 5</v>
      </c>
    </row>
    <row r="2034" spans="1:16"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c r="P2034" t="str" cm="1">
        <f t="array" ref="P2034">_xlfn.IFS(orders[[#This Row],[Quantity]]&lt;=5,"1 to 5",orders[[#This Row],[Quantity]]&lt;=10,"6 to 10",orders[[#This Row],[Quantity]]&lt;=16,"11 to 16",orders[[#This Row],[Quantity]]&gt;16,"Above 16")</f>
        <v>6 to 10</v>
      </c>
    </row>
    <row r="2035" spans="1:16"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c r="P2035" t="str" cm="1">
        <f t="array" ref="P2035">_xlfn.IFS(orders[[#This Row],[Quantity]]&lt;=5,"1 to 5",orders[[#This Row],[Quantity]]&lt;=10,"6 to 10",orders[[#This Row],[Quantity]]&lt;=16,"11 to 16",orders[[#This Row],[Quantity]]&gt;16,"Above 16")</f>
        <v>1 to 5</v>
      </c>
    </row>
    <row r="2036" spans="1:16"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c r="P2036" t="str" cm="1">
        <f t="array" ref="P2036">_xlfn.IFS(orders[[#This Row],[Quantity]]&lt;=5,"1 to 5",orders[[#This Row],[Quantity]]&lt;=10,"6 to 10",orders[[#This Row],[Quantity]]&lt;=16,"11 to 16",orders[[#This Row],[Quantity]]&gt;16,"Above 16")</f>
        <v>1 to 5</v>
      </c>
    </row>
    <row r="2037" spans="1:16"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c r="P2037" t="str" cm="1">
        <f t="array" ref="P2037">_xlfn.IFS(orders[[#This Row],[Quantity]]&lt;=5,"1 to 5",orders[[#This Row],[Quantity]]&lt;=10,"6 to 10",orders[[#This Row],[Quantity]]&lt;=16,"11 to 16",orders[[#This Row],[Quantity]]&gt;16,"Above 16")</f>
        <v>1 to 5</v>
      </c>
    </row>
    <row r="2038" spans="1:16"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c r="P2038" t="str" cm="1">
        <f t="array" ref="P2038">_xlfn.IFS(orders[[#This Row],[Quantity]]&lt;=5,"1 to 5",orders[[#This Row],[Quantity]]&lt;=10,"6 to 10",orders[[#This Row],[Quantity]]&lt;=16,"11 to 16",orders[[#This Row],[Quantity]]&gt;16,"Above 16")</f>
        <v>1 to 5</v>
      </c>
    </row>
    <row r="2039" spans="1:16"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c r="P2039" t="str" cm="1">
        <f t="array" ref="P2039">_xlfn.IFS(orders[[#This Row],[Quantity]]&lt;=5,"1 to 5",orders[[#This Row],[Quantity]]&lt;=10,"6 to 10",orders[[#This Row],[Quantity]]&lt;=16,"11 to 16",orders[[#This Row],[Quantity]]&gt;16,"Above 16")</f>
        <v>1 to 5</v>
      </c>
    </row>
    <row r="2040" spans="1:16"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c r="P2040" t="str" cm="1">
        <f t="array" ref="P2040">_xlfn.IFS(orders[[#This Row],[Quantity]]&lt;=5,"1 to 5",orders[[#This Row],[Quantity]]&lt;=10,"6 to 10",orders[[#This Row],[Quantity]]&lt;=16,"11 to 16",orders[[#This Row],[Quantity]]&gt;16,"Above 16")</f>
        <v>1 to 5</v>
      </c>
    </row>
    <row r="2041" spans="1:16"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c r="P2041" t="str" cm="1">
        <f t="array" ref="P2041">_xlfn.IFS(orders[[#This Row],[Quantity]]&lt;=5,"1 to 5",orders[[#This Row],[Quantity]]&lt;=10,"6 to 10",orders[[#This Row],[Quantity]]&lt;=16,"11 to 16",orders[[#This Row],[Quantity]]&gt;16,"Above 16")</f>
        <v>1 to 5</v>
      </c>
    </row>
    <row r="2042" spans="1:16"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c r="P2042" t="str" cm="1">
        <f t="array" ref="P2042">_xlfn.IFS(orders[[#This Row],[Quantity]]&lt;=5,"1 to 5",orders[[#This Row],[Quantity]]&lt;=10,"6 to 10",orders[[#This Row],[Quantity]]&lt;=16,"11 to 16",orders[[#This Row],[Quantity]]&gt;16,"Above 16")</f>
        <v>6 to 10</v>
      </c>
    </row>
    <row r="2043" spans="1:16"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c r="P2043" t="str" cm="1">
        <f t="array" ref="P2043">_xlfn.IFS(orders[[#This Row],[Quantity]]&lt;=5,"1 to 5",orders[[#This Row],[Quantity]]&lt;=10,"6 to 10",orders[[#This Row],[Quantity]]&lt;=16,"11 to 16",orders[[#This Row],[Quantity]]&gt;16,"Above 16")</f>
        <v>6 to 10</v>
      </c>
    </row>
    <row r="2044" spans="1:16"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c r="P2044" t="str" cm="1">
        <f t="array" ref="P2044">_xlfn.IFS(orders[[#This Row],[Quantity]]&lt;=5,"1 to 5",orders[[#This Row],[Quantity]]&lt;=10,"6 to 10",orders[[#This Row],[Quantity]]&lt;=16,"11 to 16",orders[[#This Row],[Quantity]]&gt;16,"Above 16")</f>
        <v>1 to 5</v>
      </c>
    </row>
    <row r="2045" spans="1:16"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c r="P2045" t="str" cm="1">
        <f t="array" ref="P2045">_xlfn.IFS(orders[[#This Row],[Quantity]]&lt;=5,"1 to 5",orders[[#This Row],[Quantity]]&lt;=10,"6 to 10",orders[[#This Row],[Quantity]]&lt;=16,"11 to 16",orders[[#This Row],[Quantity]]&gt;16,"Above 16")</f>
        <v>11 to 16</v>
      </c>
    </row>
    <row r="2046" spans="1:16"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c r="P2046" t="str" cm="1">
        <f t="array" ref="P2046">_xlfn.IFS(orders[[#This Row],[Quantity]]&lt;=5,"1 to 5",orders[[#This Row],[Quantity]]&lt;=10,"6 to 10",orders[[#This Row],[Quantity]]&lt;=16,"11 to 16",orders[[#This Row],[Quantity]]&gt;16,"Above 16")</f>
        <v>1 to 5</v>
      </c>
    </row>
    <row r="2047" spans="1:16"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c r="P2047" t="str" cm="1">
        <f t="array" ref="P2047">_xlfn.IFS(orders[[#This Row],[Quantity]]&lt;=5,"1 to 5",orders[[#This Row],[Quantity]]&lt;=10,"6 to 10",orders[[#This Row],[Quantity]]&lt;=16,"11 to 16",orders[[#This Row],[Quantity]]&gt;16,"Above 16")</f>
        <v>1 to 5</v>
      </c>
    </row>
    <row r="2048" spans="1:16"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c r="P2048" t="str" cm="1">
        <f t="array" ref="P2048">_xlfn.IFS(orders[[#This Row],[Quantity]]&lt;=5,"1 to 5",orders[[#This Row],[Quantity]]&lt;=10,"6 to 10",orders[[#This Row],[Quantity]]&lt;=16,"11 to 16",orders[[#This Row],[Quantity]]&gt;16,"Above 16")</f>
        <v>1 to 5</v>
      </c>
    </row>
    <row r="2049" spans="1:16"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c r="P2049" t="str" cm="1">
        <f t="array" ref="P2049">_xlfn.IFS(orders[[#This Row],[Quantity]]&lt;=5,"1 to 5",orders[[#This Row],[Quantity]]&lt;=10,"6 to 10",orders[[#This Row],[Quantity]]&lt;=16,"11 to 16",orders[[#This Row],[Quantity]]&gt;16,"Above 16")</f>
        <v>1 to 5</v>
      </c>
    </row>
    <row r="2050" spans="1:16"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c r="P2050" t="str" cm="1">
        <f t="array" ref="P2050">_xlfn.IFS(orders[[#This Row],[Quantity]]&lt;=5,"1 to 5",orders[[#This Row],[Quantity]]&lt;=10,"6 to 10",orders[[#This Row],[Quantity]]&lt;=16,"11 to 16",orders[[#This Row],[Quantity]]&gt;16,"Above 16")</f>
        <v>6 to 10</v>
      </c>
    </row>
    <row r="2051" spans="1:16"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c r="P2051" t="str" cm="1">
        <f t="array" ref="P2051">_xlfn.IFS(orders[[#This Row],[Quantity]]&lt;=5,"1 to 5",orders[[#This Row],[Quantity]]&lt;=10,"6 to 10",orders[[#This Row],[Quantity]]&lt;=16,"11 to 16",orders[[#This Row],[Quantity]]&gt;16,"Above 16")</f>
        <v>1 to 5</v>
      </c>
    </row>
    <row r="2052" spans="1:16"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c r="P2052" t="str" cm="1">
        <f t="array" ref="P2052">_xlfn.IFS(orders[[#This Row],[Quantity]]&lt;=5,"1 to 5",orders[[#This Row],[Quantity]]&lt;=10,"6 to 10",orders[[#This Row],[Quantity]]&lt;=16,"11 to 16",orders[[#This Row],[Quantity]]&gt;16,"Above 16")</f>
        <v>6 to 10</v>
      </c>
    </row>
    <row r="2053" spans="1:16"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c r="P2053" t="str" cm="1">
        <f t="array" ref="P2053">_xlfn.IFS(orders[[#This Row],[Quantity]]&lt;=5,"1 to 5",orders[[#This Row],[Quantity]]&lt;=10,"6 to 10",orders[[#This Row],[Quantity]]&lt;=16,"11 to 16",orders[[#This Row],[Quantity]]&gt;16,"Above 16")</f>
        <v>1 to 5</v>
      </c>
    </row>
    <row r="2054" spans="1:16"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c r="P2054" t="str" cm="1">
        <f t="array" ref="P2054">_xlfn.IFS(orders[[#This Row],[Quantity]]&lt;=5,"1 to 5",orders[[#This Row],[Quantity]]&lt;=10,"6 to 10",orders[[#This Row],[Quantity]]&lt;=16,"11 to 16",orders[[#This Row],[Quantity]]&gt;16,"Above 16")</f>
        <v>1 to 5</v>
      </c>
    </row>
    <row r="2055" spans="1:16"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c r="P2055" t="str" cm="1">
        <f t="array" ref="P2055">_xlfn.IFS(orders[[#This Row],[Quantity]]&lt;=5,"1 to 5",orders[[#This Row],[Quantity]]&lt;=10,"6 to 10",orders[[#This Row],[Quantity]]&lt;=16,"11 to 16",orders[[#This Row],[Quantity]]&gt;16,"Above 16")</f>
        <v>1 to 5</v>
      </c>
    </row>
    <row r="2056" spans="1:16"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c r="P2056" t="str" cm="1">
        <f t="array" ref="P2056">_xlfn.IFS(orders[[#This Row],[Quantity]]&lt;=5,"1 to 5",orders[[#This Row],[Quantity]]&lt;=10,"6 to 10",orders[[#This Row],[Quantity]]&lt;=16,"11 to 16",orders[[#This Row],[Quantity]]&gt;16,"Above 16")</f>
        <v>11 to 16</v>
      </c>
    </row>
    <row r="2057" spans="1:16"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c r="P2057" t="str" cm="1">
        <f t="array" ref="P2057">_xlfn.IFS(orders[[#This Row],[Quantity]]&lt;=5,"1 to 5",orders[[#This Row],[Quantity]]&lt;=10,"6 to 10",orders[[#This Row],[Quantity]]&lt;=16,"11 to 16",orders[[#This Row],[Quantity]]&gt;16,"Above 16")</f>
        <v>1 to 5</v>
      </c>
    </row>
    <row r="2058" spans="1:16"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c r="P2058" t="str" cm="1">
        <f t="array" ref="P2058">_xlfn.IFS(orders[[#This Row],[Quantity]]&lt;=5,"1 to 5",orders[[#This Row],[Quantity]]&lt;=10,"6 to 10",orders[[#This Row],[Quantity]]&lt;=16,"11 to 16",orders[[#This Row],[Quantity]]&gt;16,"Above 16")</f>
        <v>1 to 5</v>
      </c>
    </row>
    <row r="2059" spans="1:16"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c r="P2059" t="str" cm="1">
        <f t="array" ref="P2059">_xlfn.IFS(orders[[#This Row],[Quantity]]&lt;=5,"1 to 5",orders[[#This Row],[Quantity]]&lt;=10,"6 to 10",orders[[#This Row],[Quantity]]&lt;=16,"11 to 16",orders[[#This Row],[Quantity]]&gt;16,"Above 16")</f>
        <v>1 to 5</v>
      </c>
    </row>
    <row r="2060" spans="1:16"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c r="P2060" t="str" cm="1">
        <f t="array" ref="P2060">_xlfn.IFS(orders[[#This Row],[Quantity]]&lt;=5,"1 to 5",orders[[#This Row],[Quantity]]&lt;=10,"6 to 10",orders[[#This Row],[Quantity]]&lt;=16,"11 to 16",orders[[#This Row],[Quantity]]&gt;16,"Above 16")</f>
        <v>1 to 5</v>
      </c>
    </row>
    <row r="2061" spans="1:16"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c r="P2061" t="str" cm="1">
        <f t="array" ref="P2061">_xlfn.IFS(orders[[#This Row],[Quantity]]&lt;=5,"1 to 5",orders[[#This Row],[Quantity]]&lt;=10,"6 to 10",orders[[#This Row],[Quantity]]&lt;=16,"11 to 16",orders[[#This Row],[Quantity]]&gt;16,"Above 16")</f>
        <v>1 to 5</v>
      </c>
    </row>
    <row r="2062" spans="1:16"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c r="P2062" t="str" cm="1">
        <f t="array" ref="P2062">_xlfn.IFS(orders[[#This Row],[Quantity]]&lt;=5,"1 to 5",orders[[#This Row],[Quantity]]&lt;=10,"6 to 10",orders[[#This Row],[Quantity]]&lt;=16,"11 to 16",orders[[#This Row],[Quantity]]&gt;16,"Above 16")</f>
        <v>11 to 16</v>
      </c>
    </row>
    <row r="2063" spans="1:16"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c r="P2063" t="str" cm="1">
        <f t="array" ref="P2063">_xlfn.IFS(orders[[#This Row],[Quantity]]&lt;=5,"1 to 5",orders[[#This Row],[Quantity]]&lt;=10,"6 to 10",orders[[#This Row],[Quantity]]&lt;=16,"11 to 16",orders[[#This Row],[Quantity]]&gt;16,"Above 16")</f>
        <v>1 to 5</v>
      </c>
    </row>
    <row r="2064" spans="1:16"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c r="P2064" t="str" cm="1">
        <f t="array" ref="P2064">_xlfn.IFS(orders[[#This Row],[Quantity]]&lt;=5,"1 to 5",orders[[#This Row],[Quantity]]&lt;=10,"6 to 10",orders[[#This Row],[Quantity]]&lt;=16,"11 to 16",orders[[#This Row],[Quantity]]&gt;16,"Above 16")</f>
        <v>6 to 10</v>
      </c>
    </row>
    <row r="2065" spans="1:16"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c r="P2065" t="str" cm="1">
        <f t="array" ref="P2065">_xlfn.IFS(orders[[#This Row],[Quantity]]&lt;=5,"1 to 5",orders[[#This Row],[Quantity]]&lt;=10,"6 to 10",orders[[#This Row],[Quantity]]&lt;=16,"11 to 16",orders[[#This Row],[Quantity]]&gt;16,"Above 16")</f>
        <v>1 to 5</v>
      </c>
    </row>
    <row r="2066" spans="1:16"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c r="P2066" t="str" cm="1">
        <f t="array" ref="P2066">_xlfn.IFS(orders[[#This Row],[Quantity]]&lt;=5,"1 to 5",orders[[#This Row],[Quantity]]&lt;=10,"6 to 10",orders[[#This Row],[Quantity]]&lt;=16,"11 to 16",orders[[#This Row],[Quantity]]&gt;16,"Above 16")</f>
        <v>1 to 5</v>
      </c>
    </row>
    <row r="2067" spans="1:16"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c r="P2067" t="str" cm="1">
        <f t="array" ref="P2067">_xlfn.IFS(orders[[#This Row],[Quantity]]&lt;=5,"1 to 5",orders[[#This Row],[Quantity]]&lt;=10,"6 to 10",orders[[#This Row],[Quantity]]&lt;=16,"11 to 16",orders[[#This Row],[Quantity]]&gt;16,"Above 16")</f>
        <v>1 to 5</v>
      </c>
    </row>
    <row r="2068" spans="1:16"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c r="P2068" t="str" cm="1">
        <f t="array" ref="P2068">_xlfn.IFS(orders[[#This Row],[Quantity]]&lt;=5,"1 to 5",orders[[#This Row],[Quantity]]&lt;=10,"6 to 10",orders[[#This Row],[Quantity]]&lt;=16,"11 to 16",orders[[#This Row],[Quantity]]&gt;16,"Above 16")</f>
        <v>1 to 5</v>
      </c>
    </row>
    <row r="2069" spans="1:16"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c r="P2069" t="str" cm="1">
        <f t="array" ref="P2069">_xlfn.IFS(orders[[#This Row],[Quantity]]&lt;=5,"1 to 5",orders[[#This Row],[Quantity]]&lt;=10,"6 to 10",orders[[#This Row],[Quantity]]&lt;=16,"11 to 16",orders[[#This Row],[Quantity]]&gt;16,"Above 16")</f>
        <v>1 to 5</v>
      </c>
    </row>
    <row r="2070" spans="1:16"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c r="P2070" t="str" cm="1">
        <f t="array" ref="P2070">_xlfn.IFS(orders[[#This Row],[Quantity]]&lt;=5,"1 to 5",orders[[#This Row],[Quantity]]&lt;=10,"6 to 10",orders[[#This Row],[Quantity]]&lt;=16,"11 to 16",orders[[#This Row],[Quantity]]&gt;16,"Above 16")</f>
        <v>6 to 10</v>
      </c>
    </row>
    <row r="2071" spans="1:16"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c r="P2071" t="str" cm="1">
        <f t="array" ref="P2071">_xlfn.IFS(orders[[#This Row],[Quantity]]&lt;=5,"1 to 5",orders[[#This Row],[Quantity]]&lt;=10,"6 to 10",orders[[#This Row],[Quantity]]&lt;=16,"11 to 16",orders[[#This Row],[Quantity]]&gt;16,"Above 16")</f>
        <v>1 to 5</v>
      </c>
    </row>
    <row r="2072" spans="1:16"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c r="P2072" t="str" cm="1">
        <f t="array" ref="P2072">_xlfn.IFS(orders[[#This Row],[Quantity]]&lt;=5,"1 to 5",orders[[#This Row],[Quantity]]&lt;=10,"6 to 10",orders[[#This Row],[Quantity]]&lt;=16,"11 to 16",orders[[#This Row],[Quantity]]&gt;16,"Above 16")</f>
        <v>1 to 5</v>
      </c>
    </row>
    <row r="2073" spans="1:16"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c r="P2073" t="str" cm="1">
        <f t="array" ref="P2073">_xlfn.IFS(orders[[#This Row],[Quantity]]&lt;=5,"1 to 5",orders[[#This Row],[Quantity]]&lt;=10,"6 to 10",orders[[#This Row],[Quantity]]&lt;=16,"11 to 16",orders[[#This Row],[Quantity]]&gt;16,"Above 16")</f>
        <v>1 to 5</v>
      </c>
    </row>
    <row r="2074" spans="1:16"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c r="P2074" t="str" cm="1">
        <f t="array" ref="P2074">_xlfn.IFS(orders[[#This Row],[Quantity]]&lt;=5,"1 to 5",orders[[#This Row],[Quantity]]&lt;=10,"6 to 10",orders[[#This Row],[Quantity]]&lt;=16,"11 to 16",orders[[#This Row],[Quantity]]&gt;16,"Above 16")</f>
        <v>1 to 5</v>
      </c>
    </row>
    <row r="2075" spans="1:16"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c r="P2075" t="str" cm="1">
        <f t="array" ref="P2075">_xlfn.IFS(orders[[#This Row],[Quantity]]&lt;=5,"1 to 5",orders[[#This Row],[Quantity]]&lt;=10,"6 to 10",orders[[#This Row],[Quantity]]&lt;=16,"11 to 16",orders[[#This Row],[Quantity]]&gt;16,"Above 16")</f>
        <v>1 to 5</v>
      </c>
    </row>
    <row r="2076" spans="1:16"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c r="P2076" t="str" cm="1">
        <f t="array" ref="P2076">_xlfn.IFS(orders[[#This Row],[Quantity]]&lt;=5,"1 to 5",orders[[#This Row],[Quantity]]&lt;=10,"6 to 10",orders[[#This Row],[Quantity]]&lt;=16,"11 to 16",orders[[#This Row],[Quantity]]&gt;16,"Above 16")</f>
        <v>1 to 5</v>
      </c>
    </row>
    <row r="2077" spans="1:16"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c r="P2077" t="str" cm="1">
        <f t="array" ref="P2077">_xlfn.IFS(orders[[#This Row],[Quantity]]&lt;=5,"1 to 5",orders[[#This Row],[Quantity]]&lt;=10,"6 to 10",orders[[#This Row],[Quantity]]&lt;=16,"11 to 16",orders[[#This Row],[Quantity]]&gt;16,"Above 16")</f>
        <v>1 to 5</v>
      </c>
    </row>
    <row r="2078" spans="1:16"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c r="P2078" t="str" cm="1">
        <f t="array" ref="P2078">_xlfn.IFS(orders[[#This Row],[Quantity]]&lt;=5,"1 to 5",orders[[#This Row],[Quantity]]&lt;=10,"6 to 10",orders[[#This Row],[Quantity]]&lt;=16,"11 to 16",orders[[#This Row],[Quantity]]&gt;16,"Above 16")</f>
        <v>1 to 5</v>
      </c>
    </row>
    <row r="2079" spans="1:16"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c r="P2079" t="str" cm="1">
        <f t="array" ref="P2079">_xlfn.IFS(orders[[#This Row],[Quantity]]&lt;=5,"1 to 5",orders[[#This Row],[Quantity]]&lt;=10,"6 to 10",orders[[#This Row],[Quantity]]&lt;=16,"11 to 16",orders[[#This Row],[Quantity]]&gt;16,"Above 16")</f>
        <v>1 to 5</v>
      </c>
    </row>
    <row r="2080" spans="1:16"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c r="P2080" t="str" cm="1">
        <f t="array" ref="P2080">_xlfn.IFS(orders[[#This Row],[Quantity]]&lt;=5,"1 to 5",orders[[#This Row],[Quantity]]&lt;=10,"6 to 10",orders[[#This Row],[Quantity]]&lt;=16,"11 to 16",orders[[#This Row],[Quantity]]&gt;16,"Above 16")</f>
        <v>1 to 5</v>
      </c>
    </row>
    <row r="2081" spans="1:16"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c r="P2081" t="str" cm="1">
        <f t="array" ref="P2081">_xlfn.IFS(orders[[#This Row],[Quantity]]&lt;=5,"1 to 5",orders[[#This Row],[Quantity]]&lt;=10,"6 to 10",orders[[#This Row],[Quantity]]&lt;=16,"11 to 16",orders[[#This Row],[Quantity]]&gt;16,"Above 16")</f>
        <v>1 to 5</v>
      </c>
    </row>
    <row r="2082" spans="1:16"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c r="P2082" t="str" cm="1">
        <f t="array" ref="P2082">_xlfn.IFS(orders[[#This Row],[Quantity]]&lt;=5,"1 to 5",orders[[#This Row],[Quantity]]&lt;=10,"6 to 10",orders[[#This Row],[Quantity]]&lt;=16,"11 to 16",orders[[#This Row],[Quantity]]&gt;16,"Above 16")</f>
        <v>1 to 5</v>
      </c>
    </row>
    <row r="2083" spans="1:16"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c r="P2083" t="str" cm="1">
        <f t="array" ref="P2083">_xlfn.IFS(orders[[#This Row],[Quantity]]&lt;=5,"1 to 5",orders[[#This Row],[Quantity]]&lt;=10,"6 to 10",orders[[#This Row],[Quantity]]&lt;=16,"11 to 16",orders[[#This Row],[Quantity]]&gt;16,"Above 16")</f>
        <v>6 to 10</v>
      </c>
    </row>
    <row r="2084" spans="1:16"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c r="P2084" t="str" cm="1">
        <f t="array" ref="P2084">_xlfn.IFS(orders[[#This Row],[Quantity]]&lt;=5,"1 to 5",orders[[#This Row],[Quantity]]&lt;=10,"6 to 10",orders[[#This Row],[Quantity]]&lt;=16,"11 to 16",orders[[#This Row],[Quantity]]&gt;16,"Above 16")</f>
        <v>1 to 5</v>
      </c>
    </row>
    <row r="2085" spans="1:16"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c r="P2085" t="str" cm="1">
        <f t="array" ref="P2085">_xlfn.IFS(orders[[#This Row],[Quantity]]&lt;=5,"1 to 5",orders[[#This Row],[Quantity]]&lt;=10,"6 to 10",orders[[#This Row],[Quantity]]&lt;=16,"11 to 16",orders[[#This Row],[Quantity]]&gt;16,"Above 16")</f>
        <v>1 to 5</v>
      </c>
    </row>
    <row r="2086" spans="1:16"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c r="P2086" t="str" cm="1">
        <f t="array" ref="P2086">_xlfn.IFS(orders[[#This Row],[Quantity]]&lt;=5,"1 to 5",orders[[#This Row],[Quantity]]&lt;=10,"6 to 10",orders[[#This Row],[Quantity]]&lt;=16,"11 to 16",orders[[#This Row],[Quantity]]&gt;16,"Above 16")</f>
        <v>1 to 5</v>
      </c>
    </row>
    <row r="2087" spans="1:16"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c r="P2087" t="str" cm="1">
        <f t="array" ref="P2087">_xlfn.IFS(orders[[#This Row],[Quantity]]&lt;=5,"1 to 5",orders[[#This Row],[Quantity]]&lt;=10,"6 to 10",orders[[#This Row],[Quantity]]&lt;=16,"11 to 16",orders[[#This Row],[Quantity]]&gt;16,"Above 16")</f>
        <v>1 to 5</v>
      </c>
    </row>
    <row r="2088" spans="1:16"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c r="P2088" t="str" cm="1">
        <f t="array" ref="P2088">_xlfn.IFS(orders[[#This Row],[Quantity]]&lt;=5,"1 to 5",orders[[#This Row],[Quantity]]&lt;=10,"6 to 10",orders[[#This Row],[Quantity]]&lt;=16,"11 to 16",orders[[#This Row],[Quantity]]&gt;16,"Above 16")</f>
        <v>1 to 5</v>
      </c>
    </row>
    <row r="2089" spans="1:16"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c r="P2089" t="str" cm="1">
        <f t="array" ref="P2089">_xlfn.IFS(orders[[#This Row],[Quantity]]&lt;=5,"1 to 5",orders[[#This Row],[Quantity]]&lt;=10,"6 to 10",orders[[#This Row],[Quantity]]&lt;=16,"11 to 16",orders[[#This Row],[Quantity]]&gt;16,"Above 16")</f>
        <v>Above 16</v>
      </c>
    </row>
    <row r="2090" spans="1:16"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c r="P2090" t="str" cm="1">
        <f t="array" ref="P2090">_xlfn.IFS(orders[[#This Row],[Quantity]]&lt;=5,"1 to 5",orders[[#This Row],[Quantity]]&lt;=10,"6 to 10",orders[[#This Row],[Quantity]]&lt;=16,"11 to 16",orders[[#This Row],[Quantity]]&gt;16,"Above 16")</f>
        <v>1 to 5</v>
      </c>
    </row>
    <row r="2091" spans="1:16"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c r="P2091" t="str" cm="1">
        <f t="array" ref="P2091">_xlfn.IFS(orders[[#This Row],[Quantity]]&lt;=5,"1 to 5",orders[[#This Row],[Quantity]]&lt;=10,"6 to 10",orders[[#This Row],[Quantity]]&lt;=16,"11 to 16",orders[[#This Row],[Quantity]]&gt;16,"Above 16")</f>
        <v>6 to 10</v>
      </c>
    </row>
    <row r="2092" spans="1:16"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c r="P2092" t="str" cm="1">
        <f t="array" ref="P2092">_xlfn.IFS(orders[[#This Row],[Quantity]]&lt;=5,"1 to 5",orders[[#This Row],[Quantity]]&lt;=10,"6 to 10",orders[[#This Row],[Quantity]]&lt;=16,"11 to 16",orders[[#This Row],[Quantity]]&gt;16,"Above 16")</f>
        <v>6 to 10</v>
      </c>
    </row>
    <row r="2093" spans="1:16"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c r="P2093" t="str" cm="1">
        <f t="array" ref="P2093">_xlfn.IFS(orders[[#This Row],[Quantity]]&lt;=5,"1 to 5",orders[[#This Row],[Quantity]]&lt;=10,"6 to 10",orders[[#This Row],[Quantity]]&lt;=16,"11 to 16",orders[[#This Row],[Quantity]]&gt;16,"Above 16")</f>
        <v>6 to 10</v>
      </c>
    </row>
    <row r="2094" spans="1:16"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c r="P2094" t="str" cm="1">
        <f t="array" ref="P2094">_xlfn.IFS(orders[[#This Row],[Quantity]]&lt;=5,"1 to 5",orders[[#This Row],[Quantity]]&lt;=10,"6 to 10",orders[[#This Row],[Quantity]]&lt;=16,"11 to 16",orders[[#This Row],[Quantity]]&gt;16,"Above 16")</f>
        <v>1 to 5</v>
      </c>
    </row>
    <row r="2095" spans="1:16"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c r="P2095" t="str" cm="1">
        <f t="array" ref="P2095">_xlfn.IFS(orders[[#This Row],[Quantity]]&lt;=5,"1 to 5",orders[[#This Row],[Quantity]]&lt;=10,"6 to 10",orders[[#This Row],[Quantity]]&lt;=16,"11 to 16",orders[[#This Row],[Quantity]]&gt;16,"Above 16")</f>
        <v>1 to 5</v>
      </c>
    </row>
    <row r="2096" spans="1:16"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c r="P2096" t="str" cm="1">
        <f t="array" ref="P2096">_xlfn.IFS(orders[[#This Row],[Quantity]]&lt;=5,"1 to 5",orders[[#This Row],[Quantity]]&lt;=10,"6 to 10",orders[[#This Row],[Quantity]]&lt;=16,"11 to 16",orders[[#This Row],[Quantity]]&gt;16,"Above 16")</f>
        <v>1 to 5</v>
      </c>
    </row>
    <row r="2097" spans="1:16"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c r="P2097" t="str" cm="1">
        <f t="array" ref="P2097">_xlfn.IFS(orders[[#This Row],[Quantity]]&lt;=5,"1 to 5",orders[[#This Row],[Quantity]]&lt;=10,"6 to 10",orders[[#This Row],[Quantity]]&lt;=16,"11 to 16",orders[[#This Row],[Quantity]]&gt;16,"Above 16")</f>
        <v>1 to 5</v>
      </c>
    </row>
    <row r="2098" spans="1:16"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c r="P2098" t="str" cm="1">
        <f t="array" ref="P2098">_xlfn.IFS(orders[[#This Row],[Quantity]]&lt;=5,"1 to 5",orders[[#This Row],[Quantity]]&lt;=10,"6 to 10",orders[[#This Row],[Quantity]]&lt;=16,"11 to 16",orders[[#This Row],[Quantity]]&gt;16,"Above 16")</f>
        <v>6 to 10</v>
      </c>
    </row>
    <row r="2099" spans="1:16"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c r="P2099" t="str" cm="1">
        <f t="array" ref="P2099">_xlfn.IFS(orders[[#This Row],[Quantity]]&lt;=5,"1 to 5",orders[[#This Row],[Quantity]]&lt;=10,"6 to 10",orders[[#This Row],[Quantity]]&lt;=16,"11 to 16",orders[[#This Row],[Quantity]]&gt;16,"Above 16")</f>
        <v>1 to 5</v>
      </c>
    </row>
    <row r="2100" spans="1:16"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c r="P2100" t="str" cm="1">
        <f t="array" ref="P2100">_xlfn.IFS(orders[[#This Row],[Quantity]]&lt;=5,"1 to 5",orders[[#This Row],[Quantity]]&lt;=10,"6 to 10",orders[[#This Row],[Quantity]]&lt;=16,"11 to 16",orders[[#This Row],[Quantity]]&gt;16,"Above 16")</f>
        <v>1 to 5</v>
      </c>
    </row>
    <row r="2101" spans="1:16"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c r="P2101" t="str" cm="1">
        <f t="array" ref="P2101">_xlfn.IFS(orders[[#This Row],[Quantity]]&lt;=5,"1 to 5",orders[[#This Row],[Quantity]]&lt;=10,"6 to 10",orders[[#This Row],[Quantity]]&lt;=16,"11 to 16",orders[[#This Row],[Quantity]]&gt;16,"Above 16")</f>
        <v>6 to 10</v>
      </c>
    </row>
    <row r="2102" spans="1:16"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c r="P2102" t="str" cm="1">
        <f t="array" ref="P2102">_xlfn.IFS(orders[[#This Row],[Quantity]]&lt;=5,"1 to 5",orders[[#This Row],[Quantity]]&lt;=10,"6 to 10",orders[[#This Row],[Quantity]]&lt;=16,"11 to 16",orders[[#This Row],[Quantity]]&gt;16,"Above 16")</f>
        <v>1 to 5</v>
      </c>
    </row>
    <row r="2103" spans="1:16"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c r="P2103" t="str" cm="1">
        <f t="array" ref="P2103">_xlfn.IFS(orders[[#This Row],[Quantity]]&lt;=5,"1 to 5",orders[[#This Row],[Quantity]]&lt;=10,"6 to 10",orders[[#This Row],[Quantity]]&lt;=16,"11 to 16",orders[[#This Row],[Quantity]]&gt;16,"Above 16")</f>
        <v>11 to 16</v>
      </c>
    </row>
    <row r="2104" spans="1:16"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c r="P2104" t="str" cm="1">
        <f t="array" ref="P2104">_xlfn.IFS(orders[[#This Row],[Quantity]]&lt;=5,"1 to 5",orders[[#This Row],[Quantity]]&lt;=10,"6 to 10",orders[[#This Row],[Quantity]]&lt;=16,"11 to 16",orders[[#This Row],[Quantity]]&gt;16,"Above 16")</f>
        <v>6 to 10</v>
      </c>
    </row>
    <row r="2105" spans="1:16"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c r="P2105" t="str" cm="1">
        <f t="array" ref="P2105">_xlfn.IFS(orders[[#This Row],[Quantity]]&lt;=5,"1 to 5",orders[[#This Row],[Quantity]]&lt;=10,"6 to 10",orders[[#This Row],[Quantity]]&lt;=16,"11 to 16",orders[[#This Row],[Quantity]]&gt;16,"Above 16")</f>
        <v>1 to 5</v>
      </c>
    </row>
    <row r="2106" spans="1:16"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c r="P2106" t="str" cm="1">
        <f t="array" ref="P2106">_xlfn.IFS(orders[[#This Row],[Quantity]]&lt;=5,"1 to 5",orders[[#This Row],[Quantity]]&lt;=10,"6 to 10",orders[[#This Row],[Quantity]]&lt;=16,"11 to 16",orders[[#This Row],[Quantity]]&gt;16,"Above 16")</f>
        <v>6 to 10</v>
      </c>
    </row>
    <row r="2107" spans="1:16"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c r="P2107" t="str" cm="1">
        <f t="array" ref="P2107">_xlfn.IFS(orders[[#This Row],[Quantity]]&lt;=5,"1 to 5",orders[[#This Row],[Quantity]]&lt;=10,"6 to 10",orders[[#This Row],[Quantity]]&lt;=16,"11 to 16",orders[[#This Row],[Quantity]]&gt;16,"Above 16")</f>
        <v>1 to 5</v>
      </c>
    </row>
    <row r="2108" spans="1:16"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c r="P2108" t="str" cm="1">
        <f t="array" ref="P2108">_xlfn.IFS(orders[[#This Row],[Quantity]]&lt;=5,"1 to 5",orders[[#This Row],[Quantity]]&lt;=10,"6 to 10",orders[[#This Row],[Quantity]]&lt;=16,"11 to 16",orders[[#This Row],[Quantity]]&gt;16,"Above 16")</f>
        <v>1 to 5</v>
      </c>
    </row>
    <row r="2109" spans="1:16"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c r="P2109" t="str" cm="1">
        <f t="array" ref="P2109">_xlfn.IFS(orders[[#This Row],[Quantity]]&lt;=5,"1 to 5",orders[[#This Row],[Quantity]]&lt;=10,"6 to 10",orders[[#This Row],[Quantity]]&lt;=16,"11 to 16",orders[[#This Row],[Quantity]]&gt;16,"Above 16")</f>
        <v>1 to 5</v>
      </c>
    </row>
    <row r="2110" spans="1:16"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c r="P2110" t="str" cm="1">
        <f t="array" ref="P2110">_xlfn.IFS(orders[[#This Row],[Quantity]]&lt;=5,"1 to 5",orders[[#This Row],[Quantity]]&lt;=10,"6 to 10",orders[[#This Row],[Quantity]]&lt;=16,"11 to 16",orders[[#This Row],[Quantity]]&gt;16,"Above 16")</f>
        <v>1 to 5</v>
      </c>
    </row>
    <row r="2111" spans="1:16"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c r="P2111" t="str" cm="1">
        <f t="array" ref="P2111">_xlfn.IFS(orders[[#This Row],[Quantity]]&lt;=5,"1 to 5",orders[[#This Row],[Quantity]]&lt;=10,"6 to 10",orders[[#This Row],[Quantity]]&lt;=16,"11 to 16",orders[[#This Row],[Quantity]]&gt;16,"Above 16")</f>
        <v>1 to 5</v>
      </c>
    </row>
    <row r="2112" spans="1:16"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c r="P2112" t="str" cm="1">
        <f t="array" ref="P2112">_xlfn.IFS(orders[[#This Row],[Quantity]]&lt;=5,"1 to 5",orders[[#This Row],[Quantity]]&lt;=10,"6 to 10",orders[[#This Row],[Quantity]]&lt;=16,"11 to 16",orders[[#This Row],[Quantity]]&gt;16,"Above 16")</f>
        <v>1 to 5</v>
      </c>
    </row>
    <row r="2113" spans="1:16"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c r="P2113" t="str" cm="1">
        <f t="array" ref="P2113">_xlfn.IFS(orders[[#This Row],[Quantity]]&lt;=5,"1 to 5",orders[[#This Row],[Quantity]]&lt;=10,"6 to 10",orders[[#This Row],[Quantity]]&lt;=16,"11 to 16",orders[[#This Row],[Quantity]]&gt;16,"Above 16")</f>
        <v>1 to 5</v>
      </c>
    </row>
    <row r="2114" spans="1:16"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c r="P2114" t="str" cm="1">
        <f t="array" ref="P2114">_xlfn.IFS(orders[[#This Row],[Quantity]]&lt;=5,"1 to 5",orders[[#This Row],[Quantity]]&lt;=10,"6 to 10",orders[[#This Row],[Quantity]]&lt;=16,"11 to 16",orders[[#This Row],[Quantity]]&gt;16,"Above 16")</f>
        <v>6 to 10</v>
      </c>
    </row>
    <row r="2115" spans="1:16"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c r="P2115" t="str" cm="1">
        <f t="array" ref="P2115">_xlfn.IFS(orders[[#This Row],[Quantity]]&lt;=5,"1 to 5",orders[[#This Row],[Quantity]]&lt;=10,"6 to 10",orders[[#This Row],[Quantity]]&lt;=16,"11 to 16",orders[[#This Row],[Quantity]]&gt;16,"Above 16")</f>
        <v>1 to 5</v>
      </c>
    </row>
    <row r="2116" spans="1:16"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c r="P2116" t="str" cm="1">
        <f t="array" ref="P2116">_xlfn.IFS(orders[[#This Row],[Quantity]]&lt;=5,"1 to 5",orders[[#This Row],[Quantity]]&lt;=10,"6 to 10",orders[[#This Row],[Quantity]]&lt;=16,"11 to 16",orders[[#This Row],[Quantity]]&gt;16,"Above 16")</f>
        <v>11 to 16</v>
      </c>
    </row>
    <row r="2117" spans="1:16"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c r="P2117" t="str" cm="1">
        <f t="array" ref="P2117">_xlfn.IFS(orders[[#This Row],[Quantity]]&lt;=5,"1 to 5",orders[[#This Row],[Quantity]]&lt;=10,"6 to 10",orders[[#This Row],[Quantity]]&lt;=16,"11 to 16",orders[[#This Row],[Quantity]]&gt;16,"Above 16")</f>
        <v>1 to 5</v>
      </c>
    </row>
    <row r="2118" spans="1:16"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c r="P2118" t="str" cm="1">
        <f t="array" ref="P2118">_xlfn.IFS(orders[[#This Row],[Quantity]]&lt;=5,"1 to 5",orders[[#This Row],[Quantity]]&lt;=10,"6 to 10",orders[[#This Row],[Quantity]]&lt;=16,"11 to 16",orders[[#This Row],[Quantity]]&gt;16,"Above 16")</f>
        <v>1 to 5</v>
      </c>
    </row>
    <row r="2119" spans="1:16"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c r="P2119" t="str" cm="1">
        <f t="array" ref="P2119">_xlfn.IFS(orders[[#This Row],[Quantity]]&lt;=5,"1 to 5",orders[[#This Row],[Quantity]]&lt;=10,"6 to 10",orders[[#This Row],[Quantity]]&lt;=16,"11 to 16",orders[[#This Row],[Quantity]]&gt;16,"Above 16")</f>
        <v>1 to 5</v>
      </c>
    </row>
    <row r="2120" spans="1:16"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c r="P2120" t="str" cm="1">
        <f t="array" ref="P2120">_xlfn.IFS(orders[[#This Row],[Quantity]]&lt;=5,"1 to 5",orders[[#This Row],[Quantity]]&lt;=10,"6 to 10",orders[[#This Row],[Quantity]]&lt;=16,"11 to 16",orders[[#This Row],[Quantity]]&gt;16,"Above 16")</f>
        <v>1 to 5</v>
      </c>
    </row>
    <row r="2121" spans="1:16"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c r="P2121" t="str" cm="1">
        <f t="array" ref="P2121">_xlfn.IFS(orders[[#This Row],[Quantity]]&lt;=5,"1 to 5",orders[[#This Row],[Quantity]]&lt;=10,"6 to 10",orders[[#This Row],[Quantity]]&lt;=16,"11 to 16",orders[[#This Row],[Quantity]]&gt;16,"Above 16")</f>
        <v>1 to 5</v>
      </c>
    </row>
    <row r="2122" spans="1:16"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c r="P2122" t="str" cm="1">
        <f t="array" ref="P2122">_xlfn.IFS(orders[[#This Row],[Quantity]]&lt;=5,"1 to 5",orders[[#This Row],[Quantity]]&lt;=10,"6 to 10",orders[[#This Row],[Quantity]]&lt;=16,"11 to 16",orders[[#This Row],[Quantity]]&gt;16,"Above 16")</f>
        <v>1 to 5</v>
      </c>
    </row>
    <row r="2123" spans="1:16"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c r="P2123" t="str" cm="1">
        <f t="array" ref="P2123">_xlfn.IFS(orders[[#This Row],[Quantity]]&lt;=5,"1 to 5",orders[[#This Row],[Quantity]]&lt;=10,"6 to 10",orders[[#This Row],[Quantity]]&lt;=16,"11 to 16",orders[[#This Row],[Quantity]]&gt;16,"Above 16")</f>
        <v>1 to 5</v>
      </c>
    </row>
    <row r="2124" spans="1:16"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c r="P2124" t="str" cm="1">
        <f t="array" ref="P2124">_xlfn.IFS(orders[[#This Row],[Quantity]]&lt;=5,"1 to 5",orders[[#This Row],[Quantity]]&lt;=10,"6 to 10",orders[[#This Row],[Quantity]]&lt;=16,"11 to 16",orders[[#This Row],[Quantity]]&gt;16,"Above 16")</f>
        <v>1 to 5</v>
      </c>
    </row>
    <row r="2125" spans="1:16"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c r="P2125" t="str" cm="1">
        <f t="array" ref="P2125">_xlfn.IFS(orders[[#This Row],[Quantity]]&lt;=5,"1 to 5",orders[[#This Row],[Quantity]]&lt;=10,"6 to 10",orders[[#This Row],[Quantity]]&lt;=16,"11 to 16",orders[[#This Row],[Quantity]]&gt;16,"Above 16")</f>
        <v>1 to 5</v>
      </c>
    </row>
    <row r="2126" spans="1:16"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c r="P2126" t="str" cm="1">
        <f t="array" ref="P2126">_xlfn.IFS(orders[[#This Row],[Quantity]]&lt;=5,"1 to 5",orders[[#This Row],[Quantity]]&lt;=10,"6 to 10",orders[[#This Row],[Quantity]]&lt;=16,"11 to 16",orders[[#This Row],[Quantity]]&gt;16,"Above 16")</f>
        <v>1 to 5</v>
      </c>
    </row>
    <row r="2127" spans="1:16"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c r="P2127" t="str" cm="1">
        <f t="array" ref="P2127">_xlfn.IFS(orders[[#This Row],[Quantity]]&lt;=5,"1 to 5",orders[[#This Row],[Quantity]]&lt;=10,"6 to 10",orders[[#This Row],[Quantity]]&lt;=16,"11 to 16",orders[[#This Row],[Quantity]]&gt;16,"Above 16")</f>
        <v>6 to 10</v>
      </c>
    </row>
    <row r="2128" spans="1:16"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c r="P2128" t="str" cm="1">
        <f t="array" ref="P2128">_xlfn.IFS(orders[[#This Row],[Quantity]]&lt;=5,"1 to 5",orders[[#This Row],[Quantity]]&lt;=10,"6 to 10",orders[[#This Row],[Quantity]]&lt;=16,"11 to 16",orders[[#This Row],[Quantity]]&gt;16,"Above 16")</f>
        <v>11 to 16</v>
      </c>
    </row>
    <row r="2129" spans="1:16"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c r="P2129" t="str" cm="1">
        <f t="array" ref="P2129">_xlfn.IFS(orders[[#This Row],[Quantity]]&lt;=5,"1 to 5",orders[[#This Row],[Quantity]]&lt;=10,"6 to 10",orders[[#This Row],[Quantity]]&lt;=16,"11 to 16",orders[[#This Row],[Quantity]]&gt;16,"Above 16")</f>
        <v>6 to 10</v>
      </c>
    </row>
    <row r="2130" spans="1:16"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c r="P2130" t="str" cm="1">
        <f t="array" ref="P2130">_xlfn.IFS(orders[[#This Row],[Quantity]]&lt;=5,"1 to 5",orders[[#This Row],[Quantity]]&lt;=10,"6 to 10",orders[[#This Row],[Quantity]]&lt;=16,"11 to 16",orders[[#This Row],[Quantity]]&gt;16,"Above 16")</f>
        <v>1 to 5</v>
      </c>
    </row>
    <row r="2131" spans="1:16"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c r="P2131" t="str" cm="1">
        <f t="array" ref="P2131">_xlfn.IFS(orders[[#This Row],[Quantity]]&lt;=5,"1 to 5",orders[[#This Row],[Quantity]]&lt;=10,"6 to 10",orders[[#This Row],[Quantity]]&lt;=16,"11 to 16",orders[[#This Row],[Quantity]]&gt;16,"Above 16")</f>
        <v>6 to 10</v>
      </c>
    </row>
    <row r="2132" spans="1:16"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c r="P2132" t="str" cm="1">
        <f t="array" ref="P2132">_xlfn.IFS(orders[[#This Row],[Quantity]]&lt;=5,"1 to 5",orders[[#This Row],[Quantity]]&lt;=10,"6 to 10",orders[[#This Row],[Quantity]]&lt;=16,"11 to 16",orders[[#This Row],[Quantity]]&gt;16,"Above 16")</f>
        <v>1 to 5</v>
      </c>
    </row>
    <row r="2133" spans="1:16"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c r="P2133" t="str" cm="1">
        <f t="array" ref="P2133">_xlfn.IFS(orders[[#This Row],[Quantity]]&lt;=5,"1 to 5",orders[[#This Row],[Quantity]]&lt;=10,"6 to 10",orders[[#This Row],[Quantity]]&lt;=16,"11 to 16",orders[[#This Row],[Quantity]]&gt;16,"Above 16")</f>
        <v>6 to 10</v>
      </c>
    </row>
    <row r="2134" spans="1:16"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c r="P2134" t="str" cm="1">
        <f t="array" ref="P2134">_xlfn.IFS(orders[[#This Row],[Quantity]]&lt;=5,"1 to 5",orders[[#This Row],[Quantity]]&lt;=10,"6 to 10",orders[[#This Row],[Quantity]]&lt;=16,"11 to 16",orders[[#This Row],[Quantity]]&gt;16,"Above 16")</f>
        <v>11 to 16</v>
      </c>
    </row>
    <row r="2135" spans="1:16"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c r="P2135" t="str" cm="1">
        <f t="array" ref="P2135">_xlfn.IFS(orders[[#This Row],[Quantity]]&lt;=5,"1 to 5",orders[[#This Row],[Quantity]]&lt;=10,"6 to 10",orders[[#This Row],[Quantity]]&lt;=16,"11 to 16",orders[[#This Row],[Quantity]]&gt;16,"Above 16")</f>
        <v>1 to 5</v>
      </c>
    </row>
    <row r="2136" spans="1:16"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c r="P2136" t="str" cm="1">
        <f t="array" ref="P2136">_xlfn.IFS(orders[[#This Row],[Quantity]]&lt;=5,"1 to 5",orders[[#This Row],[Quantity]]&lt;=10,"6 to 10",orders[[#This Row],[Quantity]]&lt;=16,"11 to 16",orders[[#This Row],[Quantity]]&gt;16,"Above 16")</f>
        <v>6 to 10</v>
      </c>
    </row>
    <row r="2137" spans="1:16"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c r="P2137" t="str" cm="1">
        <f t="array" ref="P2137">_xlfn.IFS(orders[[#This Row],[Quantity]]&lt;=5,"1 to 5",orders[[#This Row],[Quantity]]&lt;=10,"6 to 10",orders[[#This Row],[Quantity]]&lt;=16,"11 to 16",orders[[#This Row],[Quantity]]&gt;16,"Above 16")</f>
        <v>1 to 5</v>
      </c>
    </row>
    <row r="2138" spans="1:16"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c r="P2138" t="str" cm="1">
        <f t="array" ref="P2138">_xlfn.IFS(orders[[#This Row],[Quantity]]&lt;=5,"1 to 5",orders[[#This Row],[Quantity]]&lt;=10,"6 to 10",orders[[#This Row],[Quantity]]&lt;=16,"11 to 16",orders[[#This Row],[Quantity]]&gt;16,"Above 16")</f>
        <v>1 to 5</v>
      </c>
    </row>
    <row r="2139" spans="1:16"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c r="P2139" t="str" cm="1">
        <f t="array" ref="P2139">_xlfn.IFS(orders[[#This Row],[Quantity]]&lt;=5,"1 to 5",orders[[#This Row],[Quantity]]&lt;=10,"6 to 10",orders[[#This Row],[Quantity]]&lt;=16,"11 to 16",orders[[#This Row],[Quantity]]&gt;16,"Above 16")</f>
        <v>1 to 5</v>
      </c>
    </row>
    <row r="2140" spans="1:16"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c r="P2140" t="str" cm="1">
        <f t="array" ref="P2140">_xlfn.IFS(orders[[#This Row],[Quantity]]&lt;=5,"1 to 5",orders[[#This Row],[Quantity]]&lt;=10,"6 to 10",orders[[#This Row],[Quantity]]&lt;=16,"11 to 16",orders[[#This Row],[Quantity]]&gt;16,"Above 16")</f>
        <v>1 to 5</v>
      </c>
    </row>
    <row r="2141" spans="1:16"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c r="P2141" t="str" cm="1">
        <f t="array" ref="P2141">_xlfn.IFS(orders[[#This Row],[Quantity]]&lt;=5,"1 to 5",orders[[#This Row],[Quantity]]&lt;=10,"6 to 10",orders[[#This Row],[Quantity]]&lt;=16,"11 to 16",orders[[#This Row],[Quantity]]&gt;16,"Above 16")</f>
        <v>1 to 5</v>
      </c>
    </row>
    <row r="2142" spans="1:16"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c r="P2142" t="str" cm="1">
        <f t="array" ref="P2142">_xlfn.IFS(orders[[#This Row],[Quantity]]&lt;=5,"1 to 5",orders[[#This Row],[Quantity]]&lt;=10,"6 to 10",orders[[#This Row],[Quantity]]&lt;=16,"11 to 16",orders[[#This Row],[Quantity]]&gt;16,"Above 16")</f>
        <v>1 to 5</v>
      </c>
    </row>
    <row r="2143" spans="1:16"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c r="P2143" t="str" cm="1">
        <f t="array" ref="P2143">_xlfn.IFS(orders[[#This Row],[Quantity]]&lt;=5,"1 to 5",orders[[#This Row],[Quantity]]&lt;=10,"6 to 10",orders[[#This Row],[Quantity]]&lt;=16,"11 to 16",orders[[#This Row],[Quantity]]&gt;16,"Above 16")</f>
        <v>1 to 5</v>
      </c>
    </row>
    <row r="2144" spans="1:16"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c r="P2144" t="str" cm="1">
        <f t="array" ref="P2144">_xlfn.IFS(orders[[#This Row],[Quantity]]&lt;=5,"1 to 5",orders[[#This Row],[Quantity]]&lt;=10,"6 to 10",orders[[#This Row],[Quantity]]&lt;=16,"11 to 16",orders[[#This Row],[Quantity]]&gt;16,"Above 16")</f>
        <v>1 to 5</v>
      </c>
    </row>
    <row r="2145" spans="1:16"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c r="P2145" t="str" cm="1">
        <f t="array" ref="P2145">_xlfn.IFS(orders[[#This Row],[Quantity]]&lt;=5,"1 to 5",orders[[#This Row],[Quantity]]&lt;=10,"6 to 10",orders[[#This Row],[Quantity]]&lt;=16,"11 to 16",orders[[#This Row],[Quantity]]&gt;16,"Above 16")</f>
        <v>1 to 5</v>
      </c>
    </row>
    <row r="2146" spans="1:16"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c r="P2146" t="str" cm="1">
        <f t="array" ref="P2146">_xlfn.IFS(orders[[#This Row],[Quantity]]&lt;=5,"1 to 5",orders[[#This Row],[Quantity]]&lt;=10,"6 to 10",orders[[#This Row],[Quantity]]&lt;=16,"11 to 16",orders[[#This Row],[Quantity]]&gt;16,"Above 16")</f>
        <v>1 to 5</v>
      </c>
    </row>
    <row r="2147" spans="1:16"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c r="P2147" t="str" cm="1">
        <f t="array" ref="P2147">_xlfn.IFS(orders[[#This Row],[Quantity]]&lt;=5,"1 to 5",orders[[#This Row],[Quantity]]&lt;=10,"6 to 10",orders[[#This Row],[Quantity]]&lt;=16,"11 to 16",orders[[#This Row],[Quantity]]&gt;16,"Above 16")</f>
        <v>6 to 10</v>
      </c>
    </row>
    <row r="2148" spans="1:16"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c r="P2148" t="str" cm="1">
        <f t="array" ref="P2148">_xlfn.IFS(orders[[#This Row],[Quantity]]&lt;=5,"1 to 5",orders[[#This Row],[Quantity]]&lt;=10,"6 to 10",orders[[#This Row],[Quantity]]&lt;=16,"11 to 16",orders[[#This Row],[Quantity]]&gt;16,"Above 16")</f>
        <v>1 to 5</v>
      </c>
    </row>
    <row r="2149" spans="1:16"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c r="P2149" t="str" cm="1">
        <f t="array" ref="P2149">_xlfn.IFS(orders[[#This Row],[Quantity]]&lt;=5,"1 to 5",orders[[#This Row],[Quantity]]&lt;=10,"6 to 10",orders[[#This Row],[Quantity]]&lt;=16,"11 to 16",orders[[#This Row],[Quantity]]&gt;16,"Above 16")</f>
        <v>1 to 5</v>
      </c>
    </row>
    <row r="2150" spans="1:16"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c r="P2150" t="str" cm="1">
        <f t="array" ref="P2150">_xlfn.IFS(orders[[#This Row],[Quantity]]&lt;=5,"1 to 5",orders[[#This Row],[Quantity]]&lt;=10,"6 to 10",orders[[#This Row],[Quantity]]&lt;=16,"11 to 16",orders[[#This Row],[Quantity]]&gt;16,"Above 16")</f>
        <v>1 to 5</v>
      </c>
    </row>
    <row r="2151" spans="1:16"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c r="P2151" t="str" cm="1">
        <f t="array" ref="P2151">_xlfn.IFS(orders[[#This Row],[Quantity]]&lt;=5,"1 to 5",orders[[#This Row],[Quantity]]&lt;=10,"6 to 10",orders[[#This Row],[Quantity]]&lt;=16,"11 to 16",orders[[#This Row],[Quantity]]&gt;16,"Above 16")</f>
        <v>1 to 5</v>
      </c>
    </row>
    <row r="2152" spans="1:16"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c r="P2152" t="str" cm="1">
        <f t="array" ref="P2152">_xlfn.IFS(orders[[#This Row],[Quantity]]&lt;=5,"1 to 5",orders[[#This Row],[Quantity]]&lt;=10,"6 to 10",orders[[#This Row],[Quantity]]&lt;=16,"11 to 16",orders[[#This Row],[Quantity]]&gt;16,"Above 16")</f>
        <v>1 to 5</v>
      </c>
    </row>
    <row r="2153" spans="1:16"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c r="P2153" t="str" cm="1">
        <f t="array" ref="P2153">_xlfn.IFS(orders[[#This Row],[Quantity]]&lt;=5,"1 to 5",orders[[#This Row],[Quantity]]&lt;=10,"6 to 10",orders[[#This Row],[Quantity]]&lt;=16,"11 to 16",orders[[#This Row],[Quantity]]&gt;16,"Above 16")</f>
        <v>1 to 5</v>
      </c>
    </row>
    <row r="2154" spans="1:16"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c r="P2154" t="str" cm="1">
        <f t="array" ref="P2154">_xlfn.IFS(orders[[#This Row],[Quantity]]&lt;=5,"1 to 5",orders[[#This Row],[Quantity]]&lt;=10,"6 to 10",orders[[#This Row],[Quantity]]&lt;=16,"11 to 16",orders[[#This Row],[Quantity]]&gt;16,"Above 16")</f>
        <v>1 to 5</v>
      </c>
    </row>
    <row r="2155" spans="1:16"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c r="P2155" t="str" cm="1">
        <f t="array" ref="P2155">_xlfn.IFS(orders[[#This Row],[Quantity]]&lt;=5,"1 to 5",orders[[#This Row],[Quantity]]&lt;=10,"6 to 10",orders[[#This Row],[Quantity]]&lt;=16,"11 to 16",orders[[#This Row],[Quantity]]&gt;16,"Above 16")</f>
        <v>1 to 5</v>
      </c>
    </row>
    <row r="2156" spans="1:16"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c r="P2156" t="str" cm="1">
        <f t="array" ref="P2156">_xlfn.IFS(orders[[#This Row],[Quantity]]&lt;=5,"1 to 5",orders[[#This Row],[Quantity]]&lt;=10,"6 to 10",orders[[#This Row],[Quantity]]&lt;=16,"11 to 16",orders[[#This Row],[Quantity]]&gt;16,"Above 16")</f>
        <v>1 to 5</v>
      </c>
    </row>
    <row r="2157" spans="1:16"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c r="P2157" t="str" cm="1">
        <f t="array" ref="P2157">_xlfn.IFS(orders[[#This Row],[Quantity]]&lt;=5,"1 to 5",orders[[#This Row],[Quantity]]&lt;=10,"6 to 10",orders[[#This Row],[Quantity]]&lt;=16,"11 to 16",orders[[#This Row],[Quantity]]&gt;16,"Above 16")</f>
        <v>1 to 5</v>
      </c>
    </row>
    <row r="2158" spans="1:16"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c r="P2158" t="str" cm="1">
        <f t="array" ref="P2158">_xlfn.IFS(orders[[#This Row],[Quantity]]&lt;=5,"1 to 5",orders[[#This Row],[Quantity]]&lt;=10,"6 to 10",orders[[#This Row],[Quantity]]&lt;=16,"11 to 16",orders[[#This Row],[Quantity]]&gt;16,"Above 16")</f>
        <v>1 to 5</v>
      </c>
    </row>
    <row r="2159" spans="1:16"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c r="P2159" t="str" cm="1">
        <f t="array" ref="P2159">_xlfn.IFS(orders[[#This Row],[Quantity]]&lt;=5,"1 to 5",orders[[#This Row],[Quantity]]&lt;=10,"6 to 10",orders[[#This Row],[Quantity]]&lt;=16,"11 to 16",orders[[#This Row],[Quantity]]&gt;16,"Above 16")</f>
        <v>1 to 5</v>
      </c>
    </row>
    <row r="2160" spans="1:16"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c r="P2160" t="str" cm="1">
        <f t="array" ref="P2160">_xlfn.IFS(orders[[#This Row],[Quantity]]&lt;=5,"1 to 5",orders[[#This Row],[Quantity]]&lt;=10,"6 to 10",orders[[#This Row],[Quantity]]&lt;=16,"11 to 16",orders[[#This Row],[Quantity]]&gt;16,"Above 16")</f>
        <v>1 to 5</v>
      </c>
    </row>
    <row r="2161" spans="1:16"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c r="P2161" t="str" cm="1">
        <f t="array" ref="P2161">_xlfn.IFS(orders[[#This Row],[Quantity]]&lt;=5,"1 to 5",orders[[#This Row],[Quantity]]&lt;=10,"6 to 10",orders[[#This Row],[Quantity]]&lt;=16,"11 to 16",orders[[#This Row],[Quantity]]&gt;16,"Above 16")</f>
        <v>11 to 16</v>
      </c>
    </row>
    <row r="2162" spans="1:16"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c r="P2162" t="str" cm="1">
        <f t="array" ref="P2162">_xlfn.IFS(orders[[#This Row],[Quantity]]&lt;=5,"1 to 5",orders[[#This Row],[Quantity]]&lt;=10,"6 to 10",orders[[#This Row],[Quantity]]&lt;=16,"11 to 16",orders[[#This Row],[Quantity]]&gt;16,"Above 16")</f>
        <v>11 to 16</v>
      </c>
    </row>
    <row r="2163" spans="1:16"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c r="P2163" t="str" cm="1">
        <f t="array" ref="P2163">_xlfn.IFS(orders[[#This Row],[Quantity]]&lt;=5,"1 to 5",orders[[#This Row],[Quantity]]&lt;=10,"6 to 10",orders[[#This Row],[Quantity]]&lt;=16,"11 to 16",orders[[#This Row],[Quantity]]&gt;16,"Above 16")</f>
        <v>1 to 5</v>
      </c>
    </row>
    <row r="2164" spans="1:16"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c r="P2164" t="str" cm="1">
        <f t="array" ref="P2164">_xlfn.IFS(orders[[#This Row],[Quantity]]&lt;=5,"1 to 5",orders[[#This Row],[Quantity]]&lt;=10,"6 to 10",orders[[#This Row],[Quantity]]&lt;=16,"11 to 16",orders[[#This Row],[Quantity]]&gt;16,"Above 16")</f>
        <v>11 to 16</v>
      </c>
    </row>
    <row r="2165" spans="1:16"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c r="P2165" t="str" cm="1">
        <f t="array" ref="P2165">_xlfn.IFS(orders[[#This Row],[Quantity]]&lt;=5,"1 to 5",orders[[#This Row],[Quantity]]&lt;=10,"6 to 10",orders[[#This Row],[Quantity]]&lt;=16,"11 to 16",orders[[#This Row],[Quantity]]&gt;16,"Above 16")</f>
        <v>1 to 5</v>
      </c>
    </row>
    <row r="2166" spans="1:16"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c r="P2166" t="str" cm="1">
        <f t="array" ref="P2166">_xlfn.IFS(orders[[#This Row],[Quantity]]&lt;=5,"1 to 5",orders[[#This Row],[Quantity]]&lt;=10,"6 to 10",orders[[#This Row],[Quantity]]&lt;=16,"11 to 16",orders[[#This Row],[Quantity]]&gt;16,"Above 16")</f>
        <v>6 to 10</v>
      </c>
    </row>
    <row r="2167" spans="1:16"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c r="P2167" t="str" cm="1">
        <f t="array" ref="P2167">_xlfn.IFS(orders[[#This Row],[Quantity]]&lt;=5,"1 to 5",orders[[#This Row],[Quantity]]&lt;=10,"6 to 10",orders[[#This Row],[Quantity]]&lt;=16,"11 to 16",orders[[#This Row],[Quantity]]&gt;16,"Above 16")</f>
        <v>Above 16</v>
      </c>
    </row>
    <row r="2168" spans="1:16"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c r="P2168" t="str" cm="1">
        <f t="array" ref="P2168">_xlfn.IFS(orders[[#This Row],[Quantity]]&lt;=5,"1 to 5",orders[[#This Row],[Quantity]]&lt;=10,"6 to 10",orders[[#This Row],[Quantity]]&lt;=16,"11 to 16",orders[[#This Row],[Quantity]]&gt;16,"Above 16")</f>
        <v>1 to 5</v>
      </c>
    </row>
    <row r="2169" spans="1:16"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c r="P2169" t="str" cm="1">
        <f t="array" ref="P2169">_xlfn.IFS(orders[[#This Row],[Quantity]]&lt;=5,"1 to 5",orders[[#This Row],[Quantity]]&lt;=10,"6 to 10",orders[[#This Row],[Quantity]]&lt;=16,"11 to 16",orders[[#This Row],[Quantity]]&gt;16,"Above 16")</f>
        <v>1 to 5</v>
      </c>
    </row>
    <row r="2170" spans="1:16"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c r="P2170" t="str" cm="1">
        <f t="array" ref="P2170">_xlfn.IFS(orders[[#This Row],[Quantity]]&lt;=5,"1 to 5",orders[[#This Row],[Quantity]]&lt;=10,"6 to 10",orders[[#This Row],[Quantity]]&lt;=16,"11 to 16",orders[[#This Row],[Quantity]]&gt;16,"Above 16")</f>
        <v>1 to 5</v>
      </c>
    </row>
    <row r="2171" spans="1:16"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c r="P2171" t="str" cm="1">
        <f t="array" ref="P2171">_xlfn.IFS(orders[[#This Row],[Quantity]]&lt;=5,"1 to 5",orders[[#This Row],[Quantity]]&lt;=10,"6 to 10",orders[[#This Row],[Quantity]]&lt;=16,"11 to 16",orders[[#This Row],[Quantity]]&gt;16,"Above 16")</f>
        <v>1 to 5</v>
      </c>
    </row>
    <row r="2172" spans="1:16"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c r="P2172" t="str" cm="1">
        <f t="array" ref="P2172">_xlfn.IFS(orders[[#This Row],[Quantity]]&lt;=5,"1 to 5",orders[[#This Row],[Quantity]]&lt;=10,"6 to 10",orders[[#This Row],[Quantity]]&lt;=16,"11 to 16",orders[[#This Row],[Quantity]]&gt;16,"Above 16")</f>
        <v>1 to 5</v>
      </c>
    </row>
    <row r="2173" spans="1:16"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c r="P2173" t="str" cm="1">
        <f t="array" ref="P2173">_xlfn.IFS(orders[[#This Row],[Quantity]]&lt;=5,"1 to 5",orders[[#This Row],[Quantity]]&lt;=10,"6 to 10",orders[[#This Row],[Quantity]]&lt;=16,"11 to 16",orders[[#This Row],[Quantity]]&gt;16,"Above 16")</f>
        <v>1 to 5</v>
      </c>
    </row>
    <row r="2174" spans="1:16"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c r="P2174" t="str" cm="1">
        <f t="array" ref="P2174">_xlfn.IFS(orders[[#This Row],[Quantity]]&lt;=5,"1 to 5",orders[[#This Row],[Quantity]]&lt;=10,"6 to 10",orders[[#This Row],[Quantity]]&lt;=16,"11 to 16",orders[[#This Row],[Quantity]]&gt;16,"Above 16")</f>
        <v>6 to 10</v>
      </c>
    </row>
    <row r="2175" spans="1:16"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c r="P2175" t="str" cm="1">
        <f t="array" ref="P2175">_xlfn.IFS(orders[[#This Row],[Quantity]]&lt;=5,"1 to 5",orders[[#This Row],[Quantity]]&lt;=10,"6 to 10",orders[[#This Row],[Quantity]]&lt;=16,"11 to 16",orders[[#This Row],[Quantity]]&gt;16,"Above 16")</f>
        <v>1 to 5</v>
      </c>
    </row>
    <row r="2176" spans="1:16"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c r="P2176" t="str" cm="1">
        <f t="array" ref="P2176">_xlfn.IFS(orders[[#This Row],[Quantity]]&lt;=5,"1 to 5",orders[[#This Row],[Quantity]]&lt;=10,"6 to 10",orders[[#This Row],[Quantity]]&lt;=16,"11 to 16",orders[[#This Row],[Quantity]]&gt;16,"Above 16")</f>
        <v>1 to 5</v>
      </c>
    </row>
    <row r="2177" spans="1:16"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c r="P2177" t="str" cm="1">
        <f t="array" ref="P2177">_xlfn.IFS(orders[[#This Row],[Quantity]]&lt;=5,"1 to 5",orders[[#This Row],[Quantity]]&lt;=10,"6 to 10",orders[[#This Row],[Quantity]]&lt;=16,"11 to 16",orders[[#This Row],[Quantity]]&gt;16,"Above 16")</f>
        <v>1 to 5</v>
      </c>
    </row>
    <row r="2178" spans="1:16"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c r="P2178" t="str" cm="1">
        <f t="array" ref="P2178">_xlfn.IFS(orders[[#This Row],[Quantity]]&lt;=5,"1 to 5",orders[[#This Row],[Quantity]]&lt;=10,"6 to 10",orders[[#This Row],[Quantity]]&lt;=16,"11 to 16",orders[[#This Row],[Quantity]]&gt;16,"Above 16")</f>
        <v>1 to 5</v>
      </c>
    </row>
    <row r="2179" spans="1:16"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c r="P2179" t="str" cm="1">
        <f t="array" ref="P2179">_xlfn.IFS(orders[[#This Row],[Quantity]]&lt;=5,"1 to 5",orders[[#This Row],[Quantity]]&lt;=10,"6 to 10",orders[[#This Row],[Quantity]]&lt;=16,"11 to 16",orders[[#This Row],[Quantity]]&gt;16,"Above 16")</f>
        <v>1 to 5</v>
      </c>
    </row>
    <row r="2180" spans="1:16"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c r="P2180" t="str" cm="1">
        <f t="array" ref="P2180">_xlfn.IFS(orders[[#This Row],[Quantity]]&lt;=5,"1 to 5",orders[[#This Row],[Quantity]]&lt;=10,"6 to 10",orders[[#This Row],[Quantity]]&lt;=16,"11 to 16",orders[[#This Row],[Quantity]]&gt;16,"Above 16")</f>
        <v>Above 16</v>
      </c>
    </row>
    <row r="2181" spans="1:16"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c r="P2181" t="str" cm="1">
        <f t="array" ref="P2181">_xlfn.IFS(orders[[#This Row],[Quantity]]&lt;=5,"1 to 5",orders[[#This Row],[Quantity]]&lt;=10,"6 to 10",orders[[#This Row],[Quantity]]&lt;=16,"11 to 16",orders[[#This Row],[Quantity]]&gt;16,"Above 16")</f>
        <v>1 to 5</v>
      </c>
    </row>
    <row r="2182" spans="1:16"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c r="P2182" t="str" cm="1">
        <f t="array" ref="P2182">_xlfn.IFS(orders[[#This Row],[Quantity]]&lt;=5,"1 to 5",orders[[#This Row],[Quantity]]&lt;=10,"6 to 10",orders[[#This Row],[Quantity]]&lt;=16,"11 to 16",orders[[#This Row],[Quantity]]&gt;16,"Above 16")</f>
        <v>1 to 5</v>
      </c>
    </row>
    <row r="2183" spans="1:16"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c r="P2183" t="str" cm="1">
        <f t="array" ref="P2183">_xlfn.IFS(orders[[#This Row],[Quantity]]&lt;=5,"1 to 5",orders[[#This Row],[Quantity]]&lt;=10,"6 to 10",orders[[#This Row],[Quantity]]&lt;=16,"11 to 16",orders[[#This Row],[Quantity]]&gt;16,"Above 16")</f>
        <v>1 to 5</v>
      </c>
    </row>
    <row r="2184" spans="1:16"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c r="P2184" t="str" cm="1">
        <f t="array" ref="P2184">_xlfn.IFS(orders[[#This Row],[Quantity]]&lt;=5,"1 to 5",orders[[#This Row],[Quantity]]&lt;=10,"6 to 10",orders[[#This Row],[Quantity]]&lt;=16,"11 to 16",orders[[#This Row],[Quantity]]&gt;16,"Above 16")</f>
        <v>11 to 16</v>
      </c>
    </row>
    <row r="2185" spans="1:16"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c r="P2185" t="str" cm="1">
        <f t="array" ref="P2185">_xlfn.IFS(orders[[#This Row],[Quantity]]&lt;=5,"1 to 5",orders[[#This Row],[Quantity]]&lt;=10,"6 to 10",orders[[#This Row],[Quantity]]&lt;=16,"11 to 16",orders[[#This Row],[Quantity]]&gt;16,"Above 16")</f>
        <v>1 to 5</v>
      </c>
    </row>
    <row r="2186" spans="1:16"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c r="P2186" t="str" cm="1">
        <f t="array" ref="P2186">_xlfn.IFS(orders[[#This Row],[Quantity]]&lt;=5,"1 to 5",orders[[#This Row],[Quantity]]&lt;=10,"6 to 10",orders[[#This Row],[Quantity]]&lt;=16,"11 to 16",orders[[#This Row],[Quantity]]&gt;16,"Above 16")</f>
        <v>1 to 5</v>
      </c>
    </row>
    <row r="2187" spans="1:16"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c r="P2187" t="str" cm="1">
        <f t="array" ref="P2187">_xlfn.IFS(orders[[#This Row],[Quantity]]&lt;=5,"1 to 5",orders[[#This Row],[Quantity]]&lt;=10,"6 to 10",orders[[#This Row],[Quantity]]&lt;=16,"11 to 16",orders[[#This Row],[Quantity]]&gt;16,"Above 16")</f>
        <v>6 to 10</v>
      </c>
    </row>
    <row r="2188" spans="1:16"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c r="P2188" t="str" cm="1">
        <f t="array" ref="P2188">_xlfn.IFS(orders[[#This Row],[Quantity]]&lt;=5,"1 to 5",orders[[#This Row],[Quantity]]&lt;=10,"6 to 10",orders[[#This Row],[Quantity]]&lt;=16,"11 to 16",orders[[#This Row],[Quantity]]&gt;16,"Above 16")</f>
        <v>1 to 5</v>
      </c>
    </row>
    <row r="2189" spans="1:16"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c r="P2189" t="str" cm="1">
        <f t="array" ref="P2189">_xlfn.IFS(orders[[#This Row],[Quantity]]&lt;=5,"1 to 5",orders[[#This Row],[Quantity]]&lt;=10,"6 to 10",orders[[#This Row],[Quantity]]&lt;=16,"11 to 16",orders[[#This Row],[Quantity]]&gt;16,"Above 16")</f>
        <v>6 to 10</v>
      </c>
    </row>
    <row r="2190" spans="1:16"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c r="P2190" t="str" cm="1">
        <f t="array" ref="P2190">_xlfn.IFS(orders[[#This Row],[Quantity]]&lt;=5,"1 to 5",orders[[#This Row],[Quantity]]&lt;=10,"6 to 10",orders[[#This Row],[Quantity]]&lt;=16,"11 to 16",orders[[#This Row],[Quantity]]&gt;16,"Above 16")</f>
        <v>1 to 5</v>
      </c>
    </row>
    <row r="2191" spans="1:16"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c r="P2191" t="str" cm="1">
        <f t="array" ref="P2191">_xlfn.IFS(orders[[#This Row],[Quantity]]&lt;=5,"1 to 5",orders[[#This Row],[Quantity]]&lt;=10,"6 to 10",orders[[#This Row],[Quantity]]&lt;=16,"11 to 16",orders[[#This Row],[Quantity]]&gt;16,"Above 16")</f>
        <v>1 to 5</v>
      </c>
    </row>
    <row r="2192" spans="1:16"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c r="P2192" t="str" cm="1">
        <f t="array" ref="P2192">_xlfn.IFS(orders[[#This Row],[Quantity]]&lt;=5,"1 to 5",orders[[#This Row],[Quantity]]&lt;=10,"6 to 10",orders[[#This Row],[Quantity]]&lt;=16,"11 to 16",orders[[#This Row],[Quantity]]&gt;16,"Above 16")</f>
        <v>6 to 10</v>
      </c>
    </row>
    <row r="2193" spans="1:16"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c r="P2193" t="str" cm="1">
        <f t="array" ref="P2193">_xlfn.IFS(orders[[#This Row],[Quantity]]&lt;=5,"1 to 5",orders[[#This Row],[Quantity]]&lt;=10,"6 to 10",orders[[#This Row],[Quantity]]&lt;=16,"11 to 16",orders[[#This Row],[Quantity]]&gt;16,"Above 16")</f>
        <v>1 to 5</v>
      </c>
    </row>
    <row r="2194" spans="1:16"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c r="P2194" t="str" cm="1">
        <f t="array" ref="P2194">_xlfn.IFS(orders[[#This Row],[Quantity]]&lt;=5,"1 to 5",orders[[#This Row],[Quantity]]&lt;=10,"6 to 10",orders[[#This Row],[Quantity]]&lt;=16,"11 to 16",orders[[#This Row],[Quantity]]&gt;16,"Above 16")</f>
        <v>1 to 5</v>
      </c>
    </row>
    <row r="2195" spans="1:16"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c r="P2195" t="str" cm="1">
        <f t="array" ref="P2195">_xlfn.IFS(orders[[#This Row],[Quantity]]&lt;=5,"1 to 5",orders[[#This Row],[Quantity]]&lt;=10,"6 to 10",orders[[#This Row],[Quantity]]&lt;=16,"11 to 16",orders[[#This Row],[Quantity]]&gt;16,"Above 16")</f>
        <v>1 to 5</v>
      </c>
    </row>
    <row r="2196" spans="1:16"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c r="P2196" t="str" cm="1">
        <f t="array" ref="P2196">_xlfn.IFS(orders[[#This Row],[Quantity]]&lt;=5,"1 to 5",orders[[#This Row],[Quantity]]&lt;=10,"6 to 10",orders[[#This Row],[Quantity]]&lt;=16,"11 to 16",orders[[#This Row],[Quantity]]&gt;16,"Above 16")</f>
        <v>1 to 5</v>
      </c>
    </row>
    <row r="2197" spans="1:16"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c r="P2197" t="str" cm="1">
        <f t="array" ref="P2197">_xlfn.IFS(orders[[#This Row],[Quantity]]&lt;=5,"1 to 5",orders[[#This Row],[Quantity]]&lt;=10,"6 to 10",orders[[#This Row],[Quantity]]&lt;=16,"11 to 16",orders[[#This Row],[Quantity]]&gt;16,"Above 16")</f>
        <v>11 to 16</v>
      </c>
    </row>
    <row r="2198" spans="1:16"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c r="P2198" t="str" cm="1">
        <f t="array" ref="P2198">_xlfn.IFS(orders[[#This Row],[Quantity]]&lt;=5,"1 to 5",orders[[#This Row],[Quantity]]&lt;=10,"6 to 10",orders[[#This Row],[Quantity]]&lt;=16,"11 to 16",orders[[#This Row],[Quantity]]&gt;16,"Above 16")</f>
        <v>1 to 5</v>
      </c>
    </row>
    <row r="2199" spans="1:16"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c r="P2199" t="str" cm="1">
        <f t="array" ref="P2199">_xlfn.IFS(orders[[#This Row],[Quantity]]&lt;=5,"1 to 5",orders[[#This Row],[Quantity]]&lt;=10,"6 to 10",orders[[#This Row],[Quantity]]&lt;=16,"11 to 16",orders[[#This Row],[Quantity]]&gt;16,"Above 16")</f>
        <v>1 to 5</v>
      </c>
    </row>
    <row r="2200" spans="1:16"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c r="P2200" t="str" cm="1">
        <f t="array" ref="P2200">_xlfn.IFS(orders[[#This Row],[Quantity]]&lt;=5,"1 to 5",orders[[#This Row],[Quantity]]&lt;=10,"6 to 10",orders[[#This Row],[Quantity]]&lt;=16,"11 to 16",orders[[#This Row],[Quantity]]&gt;16,"Above 16")</f>
        <v>1 to 5</v>
      </c>
    </row>
    <row r="2201" spans="1:16"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c r="P2201" t="str" cm="1">
        <f t="array" ref="P2201">_xlfn.IFS(orders[[#This Row],[Quantity]]&lt;=5,"1 to 5",orders[[#This Row],[Quantity]]&lt;=10,"6 to 10",orders[[#This Row],[Quantity]]&lt;=16,"11 to 16",orders[[#This Row],[Quantity]]&gt;16,"Above 16")</f>
        <v>1 to 5</v>
      </c>
    </row>
    <row r="2202" spans="1:16"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c r="P2202" t="str" cm="1">
        <f t="array" ref="P2202">_xlfn.IFS(orders[[#This Row],[Quantity]]&lt;=5,"1 to 5",orders[[#This Row],[Quantity]]&lt;=10,"6 to 10",orders[[#This Row],[Quantity]]&lt;=16,"11 to 16",orders[[#This Row],[Quantity]]&gt;16,"Above 16")</f>
        <v>1 to 5</v>
      </c>
    </row>
    <row r="2203" spans="1:16"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c r="P2203" t="str" cm="1">
        <f t="array" ref="P2203">_xlfn.IFS(orders[[#This Row],[Quantity]]&lt;=5,"1 to 5",orders[[#This Row],[Quantity]]&lt;=10,"6 to 10",orders[[#This Row],[Quantity]]&lt;=16,"11 to 16",orders[[#This Row],[Quantity]]&gt;16,"Above 16")</f>
        <v>1 to 5</v>
      </c>
    </row>
    <row r="2204" spans="1:16"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c r="P2204" t="str" cm="1">
        <f t="array" ref="P2204">_xlfn.IFS(orders[[#This Row],[Quantity]]&lt;=5,"1 to 5",orders[[#This Row],[Quantity]]&lt;=10,"6 to 10",orders[[#This Row],[Quantity]]&lt;=16,"11 to 16",orders[[#This Row],[Quantity]]&gt;16,"Above 16")</f>
        <v>1 to 5</v>
      </c>
    </row>
    <row r="2205" spans="1:16"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c r="P2205" t="str" cm="1">
        <f t="array" ref="P2205">_xlfn.IFS(orders[[#This Row],[Quantity]]&lt;=5,"1 to 5",orders[[#This Row],[Quantity]]&lt;=10,"6 to 10",orders[[#This Row],[Quantity]]&lt;=16,"11 to 16",orders[[#This Row],[Quantity]]&gt;16,"Above 16")</f>
        <v>1 to 5</v>
      </c>
    </row>
    <row r="2206" spans="1:16"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c r="P2206" t="str" cm="1">
        <f t="array" ref="P2206">_xlfn.IFS(orders[[#This Row],[Quantity]]&lt;=5,"1 to 5",orders[[#This Row],[Quantity]]&lt;=10,"6 to 10",orders[[#This Row],[Quantity]]&lt;=16,"11 to 16",orders[[#This Row],[Quantity]]&gt;16,"Above 16")</f>
        <v>1 to 5</v>
      </c>
    </row>
    <row r="2207" spans="1:16"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c r="P2207" t="str" cm="1">
        <f t="array" ref="P2207">_xlfn.IFS(orders[[#This Row],[Quantity]]&lt;=5,"1 to 5",orders[[#This Row],[Quantity]]&lt;=10,"6 to 10",orders[[#This Row],[Quantity]]&lt;=16,"11 to 16",orders[[#This Row],[Quantity]]&gt;16,"Above 16")</f>
        <v>11 to 16</v>
      </c>
    </row>
    <row r="2208" spans="1:16"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c r="P2208" t="str" cm="1">
        <f t="array" ref="P2208">_xlfn.IFS(orders[[#This Row],[Quantity]]&lt;=5,"1 to 5",orders[[#This Row],[Quantity]]&lt;=10,"6 to 10",orders[[#This Row],[Quantity]]&lt;=16,"11 to 16",orders[[#This Row],[Quantity]]&gt;16,"Above 16")</f>
        <v>1 to 5</v>
      </c>
    </row>
    <row r="2209" spans="1:16"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c r="P2209" t="str" cm="1">
        <f t="array" ref="P2209">_xlfn.IFS(orders[[#This Row],[Quantity]]&lt;=5,"1 to 5",orders[[#This Row],[Quantity]]&lt;=10,"6 to 10",orders[[#This Row],[Quantity]]&lt;=16,"11 to 16",orders[[#This Row],[Quantity]]&gt;16,"Above 16")</f>
        <v>Above 16</v>
      </c>
    </row>
    <row r="2210" spans="1:16"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c r="P2210" t="str" cm="1">
        <f t="array" ref="P2210">_xlfn.IFS(orders[[#This Row],[Quantity]]&lt;=5,"1 to 5",orders[[#This Row],[Quantity]]&lt;=10,"6 to 10",orders[[#This Row],[Quantity]]&lt;=16,"11 to 16",orders[[#This Row],[Quantity]]&gt;16,"Above 16")</f>
        <v>1 to 5</v>
      </c>
    </row>
    <row r="2211" spans="1:16"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c r="P2211" t="str" cm="1">
        <f t="array" ref="P2211">_xlfn.IFS(orders[[#This Row],[Quantity]]&lt;=5,"1 to 5",orders[[#This Row],[Quantity]]&lt;=10,"6 to 10",orders[[#This Row],[Quantity]]&lt;=16,"11 to 16",orders[[#This Row],[Quantity]]&gt;16,"Above 16")</f>
        <v>1 to 5</v>
      </c>
    </row>
    <row r="2212" spans="1:16"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c r="P2212" t="str" cm="1">
        <f t="array" ref="P2212">_xlfn.IFS(orders[[#This Row],[Quantity]]&lt;=5,"1 to 5",orders[[#This Row],[Quantity]]&lt;=10,"6 to 10",orders[[#This Row],[Quantity]]&lt;=16,"11 to 16",orders[[#This Row],[Quantity]]&gt;16,"Above 16")</f>
        <v>1 to 5</v>
      </c>
    </row>
    <row r="2213" spans="1:16"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c r="P2213" t="str" cm="1">
        <f t="array" ref="P2213">_xlfn.IFS(orders[[#This Row],[Quantity]]&lt;=5,"1 to 5",orders[[#This Row],[Quantity]]&lt;=10,"6 to 10",orders[[#This Row],[Quantity]]&lt;=16,"11 to 16",orders[[#This Row],[Quantity]]&gt;16,"Above 16")</f>
        <v>1 to 5</v>
      </c>
    </row>
    <row r="2214" spans="1:16"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c r="P2214" t="str" cm="1">
        <f t="array" ref="P2214">_xlfn.IFS(orders[[#This Row],[Quantity]]&lt;=5,"1 to 5",orders[[#This Row],[Quantity]]&lt;=10,"6 to 10",orders[[#This Row],[Quantity]]&lt;=16,"11 to 16",orders[[#This Row],[Quantity]]&gt;16,"Above 16")</f>
        <v>6 to 10</v>
      </c>
    </row>
    <row r="2215" spans="1:16"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c r="P2215" t="str" cm="1">
        <f t="array" ref="P2215">_xlfn.IFS(orders[[#This Row],[Quantity]]&lt;=5,"1 to 5",orders[[#This Row],[Quantity]]&lt;=10,"6 to 10",orders[[#This Row],[Quantity]]&lt;=16,"11 to 16",orders[[#This Row],[Quantity]]&gt;16,"Above 16")</f>
        <v>11 to 16</v>
      </c>
    </row>
    <row r="2216" spans="1:16"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c r="P2216" t="str" cm="1">
        <f t="array" ref="P2216">_xlfn.IFS(orders[[#This Row],[Quantity]]&lt;=5,"1 to 5",orders[[#This Row],[Quantity]]&lt;=10,"6 to 10",orders[[#This Row],[Quantity]]&lt;=16,"11 to 16",orders[[#This Row],[Quantity]]&gt;16,"Above 16")</f>
        <v>1 to 5</v>
      </c>
    </row>
    <row r="2217" spans="1:16"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c r="P2217" t="str" cm="1">
        <f t="array" ref="P2217">_xlfn.IFS(orders[[#This Row],[Quantity]]&lt;=5,"1 to 5",orders[[#This Row],[Quantity]]&lt;=10,"6 to 10",orders[[#This Row],[Quantity]]&lt;=16,"11 to 16",orders[[#This Row],[Quantity]]&gt;16,"Above 16")</f>
        <v>1 to 5</v>
      </c>
    </row>
    <row r="2218" spans="1:16"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c r="P2218" t="str" cm="1">
        <f t="array" ref="P2218">_xlfn.IFS(orders[[#This Row],[Quantity]]&lt;=5,"1 to 5",orders[[#This Row],[Quantity]]&lt;=10,"6 to 10",orders[[#This Row],[Quantity]]&lt;=16,"11 to 16",orders[[#This Row],[Quantity]]&gt;16,"Above 16")</f>
        <v>1 to 5</v>
      </c>
    </row>
    <row r="2219" spans="1:16"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c r="P2219" t="str" cm="1">
        <f t="array" ref="P2219">_xlfn.IFS(orders[[#This Row],[Quantity]]&lt;=5,"1 to 5",orders[[#This Row],[Quantity]]&lt;=10,"6 to 10",orders[[#This Row],[Quantity]]&lt;=16,"11 to 16",orders[[#This Row],[Quantity]]&gt;16,"Above 16")</f>
        <v>6 to 10</v>
      </c>
    </row>
    <row r="2220" spans="1:16"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c r="P2220" t="str" cm="1">
        <f t="array" ref="P2220">_xlfn.IFS(orders[[#This Row],[Quantity]]&lt;=5,"1 to 5",orders[[#This Row],[Quantity]]&lt;=10,"6 to 10",orders[[#This Row],[Quantity]]&lt;=16,"11 to 16",orders[[#This Row],[Quantity]]&gt;16,"Above 16")</f>
        <v>1 to 5</v>
      </c>
    </row>
    <row r="2221" spans="1:16"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c r="P2221" t="str" cm="1">
        <f t="array" ref="P2221">_xlfn.IFS(orders[[#This Row],[Quantity]]&lt;=5,"1 to 5",orders[[#This Row],[Quantity]]&lt;=10,"6 to 10",orders[[#This Row],[Quantity]]&lt;=16,"11 to 16",orders[[#This Row],[Quantity]]&gt;16,"Above 16")</f>
        <v>6 to 10</v>
      </c>
    </row>
    <row r="2222" spans="1:16"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c r="P2222" t="str" cm="1">
        <f t="array" ref="P2222">_xlfn.IFS(orders[[#This Row],[Quantity]]&lt;=5,"1 to 5",orders[[#This Row],[Quantity]]&lt;=10,"6 to 10",orders[[#This Row],[Quantity]]&lt;=16,"11 to 16",orders[[#This Row],[Quantity]]&gt;16,"Above 16")</f>
        <v>1 to 5</v>
      </c>
    </row>
    <row r="2223" spans="1:16"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c r="P2223" t="str" cm="1">
        <f t="array" ref="P2223">_xlfn.IFS(orders[[#This Row],[Quantity]]&lt;=5,"1 to 5",orders[[#This Row],[Quantity]]&lt;=10,"6 to 10",orders[[#This Row],[Quantity]]&lt;=16,"11 to 16",orders[[#This Row],[Quantity]]&gt;16,"Above 16")</f>
        <v>1 to 5</v>
      </c>
    </row>
    <row r="2224" spans="1:16"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c r="P2224" t="str" cm="1">
        <f t="array" ref="P2224">_xlfn.IFS(orders[[#This Row],[Quantity]]&lt;=5,"1 to 5",orders[[#This Row],[Quantity]]&lt;=10,"6 to 10",orders[[#This Row],[Quantity]]&lt;=16,"11 to 16",orders[[#This Row],[Quantity]]&gt;16,"Above 16")</f>
        <v>1 to 5</v>
      </c>
    </row>
    <row r="2225" spans="1:16"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c r="P2225" t="str" cm="1">
        <f t="array" ref="P2225">_xlfn.IFS(orders[[#This Row],[Quantity]]&lt;=5,"1 to 5",orders[[#This Row],[Quantity]]&lt;=10,"6 to 10",orders[[#This Row],[Quantity]]&lt;=16,"11 to 16",orders[[#This Row],[Quantity]]&gt;16,"Above 16")</f>
        <v>1 to 5</v>
      </c>
    </row>
    <row r="2226" spans="1:16"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c r="P2226" t="str" cm="1">
        <f t="array" ref="P2226">_xlfn.IFS(orders[[#This Row],[Quantity]]&lt;=5,"1 to 5",orders[[#This Row],[Quantity]]&lt;=10,"6 to 10",orders[[#This Row],[Quantity]]&lt;=16,"11 to 16",orders[[#This Row],[Quantity]]&gt;16,"Above 16")</f>
        <v>1 to 5</v>
      </c>
    </row>
    <row r="2227" spans="1:16"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c r="P2227" t="str" cm="1">
        <f t="array" ref="P2227">_xlfn.IFS(orders[[#This Row],[Quantity]]&lt;=5,"1 to 5",orders[[#This Row],[Quantity]]&lt;=10,"6 to 10",orders[[#This Row],[Quantity]]&lt;=16,"11 to 16",orders[[#This Row],[Quantity]]&gt;16,"Above 16")</f>
        <v>1 to 5</v>
      </c>
    </row>
    <row r="2228" spans="1:16"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c r="P2228" t="str" cm="1">
        <f t="array" ref="P2228">_xlfn.IFS(orders[[#This Row],[Quantity]]&lt;=5,"1 to 5",orders[[#This Row],[Quantity]]&lt;=10,"6 to 10",orders[[#This Row],[Quantity]]&lt;=16,"11 to 16",orders[[#This Row],[Quantity]]&gt;16,"Above 16")</f>
        <v>1 to 5</v>
      </c>
    </row>
    <row r="2229" spans="1:16"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c r="P2229" t="str" cm="1">
        <f t="array" ref="P2229">_xlfn.IFS(orders[[#This Row],[Quantity]]&lt;=5,"1 to 5",orders[[#This Row],[Quantity]]&lt;=10,"6 to 10",orders[[#This Row],[Quantity]]&lt;=16,"11 to 16",orders[[#This Row],[Quantity]]&gt;16,"Above 16")</f>
        <v>1 to 5</v>
      </c>
    </row>
    <row r="2230" spans="1:16"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c r="P2230" t="str" cm="1">
        <f t="array" ref="P2230">_xlfn.IFS(orders[[#This Row],[Quantity]]&lt;=5,"1 to 5",orders[[#This Row],[Quantity]]&lt;=10,"6 to 10",orders[[#This Row],[Quantity]]&lt;=16,"11 to 16",orders[[#This Row],[Quantity]]&gt;16,"Above 16")</f>
        <v>1 to 5</v>
      </c>
    </row>
    <row r="2231" spans="1:16"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c r="P2231" t="str" cm="1">
        <f t="array" ref="P2231">_xlfn.IFS(orders[[#This Row],[Quantity]]&lt;=5,"1 to 5",orders[[#This Row],[Quantity]]&lt;=10,"6 to 10",orders[[#This Row],[Quantity]]&lt;=16,"11 to 16",orders[[#This Row],[Quantity]]&gt;16,"Above 16")</f>
        <v>6 to 10</v>
      </c>
    </row>
    <row r="2232" spans="1:16"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c r="P2232" t="str" cm="1">
        <f t="array" ref="P2232">_xlfn.IFS(orders[[#This Row],[Quantity]]&lt;=5,"1 to 5",orders[[#This Row],[Quantity]]&lt;=10,"6 to 10",orders[[#This Row],[Quantity]]&lt;=16,"11 to 16",orders[[#This Row],[Quantity]]&gt;16,"Above 16")</f>
        <v>6 to 10</v>
      </c>
    </row>
    <row r="2233" spans="1:16"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c r="P2233" t="str" cm="1">
        <f t="array" ref="P2233">_xlfn.IFS(orders[[#This Row],[Quantity]]&lt;=5,"1 to 5",orders[[#This Row],[Quantity]]&lt;=10,"6 to 10",orders[[#This Row],[Quantity]]&lt;=16,"11 to 16",orders[[#This Row],[Quantity]]&gt;16,"Above 16")</f>
        <v>1 to 5</v>
      </c>
    </row>
    <row r="2234" spans="1:16"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c r="P2234" t="str" cm="1">
        <f t="array" ref="P2234">_xlfn.IFS(orders[[#This Row],[Quantity]]&lt;=5,"1 to 5",orders[[#This Row],[Quantity]]&lt;=10,"6 to 10",orders[[#This Row],[Quantity]]&lt;=16,"11 to 16",orders[[#This Row],[Quantity]]&gt;16,"Above 16")</f>
        <v>1 to 5</v>
      </c>
    </row>
    <row r="2235" spans="1:16"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c r="P2235" t="str" cm="1">
        <f t="array" ref="P2235">_xlfn.IFS(orders[[#This Row],[Quantity]]&lt;=5,"1 to 5",orders[[#This Row],[Quantity]]&lt;=10,"6 to 10",orders[[#This Row],[Quantity]]&lt;=16,"11 to 16",orders[[#This Row],[Quantity]]&gt;16,"Above 16")</f>
        <v>6 to 10</v>
      </c>
    </row>
    <row r="2236" spans="1:16"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c r="P2236" t="str" cm="1">
        <f t="array" ref="P2236">_xlfn.IFS(orders[[#This Row],[Quantity]]&lt;=5,"1 to 5",orders[[#This Row],[Quantity]]&lt;=10,"6 to 10",orders[[#This Row],[Quantity]]&lt;=16,"11 to 16",orders[[#This Row],[Quantity]]&gt;16,"Above 16")</f>
        <v>1 to 5</v>
      </c>
    </row>
    <row r="2237" spans="1:16"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c r="P2237" t="str" cm="1">
        <f t="array" ref="P2237">_xlfn.IFS(orders[[#This Row],[Quantity]]&lt;=5,"1 to 5",orders[[#This Row],[Quantity]]&lt;=10,"6 to 10",orders[[#This Row],[Quantity]]&lt;=16,"11 to 16",orders[[#This Row],[Quantity]]&gt;16,"Above 16")</f>
        <v>1 to 5</v>
      </c>
    </row>
    <row r="2238" spans="1:16"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c r="P2238" t="str" cm="1">
        <f t="array" ref="P2238">_xlfn.IFS(orders[[#This Row],[Quantity]]&lt;=5,"1 to 5",orders[[#This Row],[Quantity]]&lt;=10,"6 to 10",orders[[#This Row],[Quantity]]&lt;=16,"11 to 16",orders[[#This Row],[Quantity]]&gt;16,"Above 16")</f>
        <v>1 to 5</v>
      </c>
    </row>
    <row r="2239" spans="1:16"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c r="P2239" t="str" cm="1">
        <f t="array" ref="P2239">_xlfn.IFS(orders[[#This Row],[Quantity]]&lt;=5,"1 to 5",orders[[#This Row],[Quantity]]&lt;=10,"6 to 10",orders[[#This Row],[Quantity]]&lt;=16,"11 to 16",orders[[#This Row],[Quantity]]&gt;16,"Above 16")</f>
        <v>1 to 5</v>
      </c>
    </row>
    <row r="2240" spans="1:16"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c r="P2240" t="str" cm="1">
        <f t="array" ref="P2240">_xlfn.IFS(orders[[#This Row],[Quantity]]&lt;=5,"1 to 5",orders[[#This Row],[Quantity]]&lt;=10,"6 to 10",orders[[#This Row],[Quantity]]&lt;=16,"11 to 16",orders[[#This Row],[Quantity]]&gt;16,"Above 16")</f>
        <v>1 to 5</v>
      </c>
    </row>
    <row r="2241" spans="1:16"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c r="P2241" t="str" cm="1">
        <f t="array" ref="P2241">_xlfn.IFS(orders[[#This Row],[Quantity]]&lt;=5,"1 to 5",orders[[#This Row],[Quantity]]&lt;=10,"6 to 10",orders[[#This Row],[Quantity]]&lt;=16,"11 to 16",orders[[#This Row],[Quantity]]&gt;16,"Above 16")</f>
        <v>6 to 10</v>
      </c>
    </row>
    <row r="2242" spans="1:16"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c r="P2242" t="str" cm="1">
        <f t="array" ref="P2242">_xlfn.IFS(orders[[#This Row],[Quantity]]&lt;=5,"1 to 5",orders[[#This Row],[Quantity]]&lt;=10,"6 to 10",orders[[#This Row],[Quantity]]&lt;=16,"11 to 16",orders[[#This Row],[Quantity]]&gt;16,"Above 16")</f>
        <v>1 to 5</v>
      </c>
    </row>
    <row r="2243" spans="1:16"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c r="P2243" t="str" cm="1">
        <f t="array" ref="P2243">_xlfn.IFS(orders[[#This Row],[Quantity]]&lt;=5,"1 to 5",orders[[#This Row],[Quantity]]&lt;=10,"6 to 10",orders[[#This Row],[Quantity]]&lt;=16,"11 to 16",orders[[#This Row],[Quantity]]&gt;16,"Above 16")</f>
        <v>1 to 5</v>
      </c>
    </row>
    <row r="2244" spans="1:16"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c r="P2244" t="str" cm="1">
        <f t="array" ref="P2244">_xlfn.IFS(orders[[#This Row],[Quantity]]&lt;=5,"1 to 5",orders[[#This Row],[Quantity]]&lt;=10,"6 to 10",orders[[#This Row],[Quantity]]&lt;=16,"11 to 16",orders[[#This Row],[Quantity]]&gt;16,"Above 16")</f>
        <v>1 to 5</v>
      </c>
    </row>
    <row r="2245" spans="1:16"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c r="P2245" t="str" cm="1">
        <f t="array" ref="P2245">_xlfn.IFS(orders[[#This Row],[Quantity]]&lt;=5,"1 to 5",orders[[#This Row],[Quantity]]&lt;=10,"6 to 10",orders[[#This Row],[Quantity]]&lt;=16,"11 to 16",orders[[#This Row],[Quantity]]&gt;16,"Above 16")</f>
        <v>1 to 5</v>
      </c>
    </row>
    <row r="2246" spans="1:16"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c r="P2246" t="str" cm="1">
        <f t="array" ref="P2246">_xlfn.IFS(orders[[#This Row],[Quantity]]&lt;=5,"1 to 5",orders[[#This Row],[Quantity]]&lt;=10,"6 to 10",orders[[#This Row],[Quantity]]&lt;=16,"11 to 16",orders[[#This Row],[Quantity]]&gt;16,"Above 16")</f>
        <v>1 to 5</v>
      </c>
    </row>
    <row r="2247" spans="1:16"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c r="P2247" t="str" cm="1">
        <f t="array" ref="P2247">_xlfn.IFS(orders[[#This Row],[Quantity]]&lt;=5,"1 to 5",orders[[#This Row],[Quantity]]&lt;=10,"6 to 10",orders[[#This Row],[Quantity]]&lt;=16,"11 to 16",orders[[#This Row],[Quantity]]&gt;16,"Above 16")</f>
        <v>1 to 5</v>
      </c>
    </row>
    <row r="2248" spans="1:16"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c r="P2248" t="str" cm="1">
        <f t="array" ref="P2248">_xlfn.IFS(orders[[#This Row],[Quantity]]&lt;=5,"1 to 5",orders[[#This Row],[Quantity]]&lt;=10,"6 to 10",orders[[#This Row],[Quantity]]&lt;=16,"11 to 16",orders[[#This Row],[Quantity]]&gt;16,"Above 16")</f>
        <v>1 to 5</v>
      </c>
    </row>
    <row r="2249" spans="1:16"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c r="P2249" t="str" cm="1">
        <f t="array" ref="P2249">_xlfn.IFS(orders[[#This Row],[Quantity]]&lt;=5,"1 to 5",orders[[#This Row],[Quantity]]&lt;=10,"6 to 10",orders[[#This Row],[Quantity]]&lt;=16,"11 to 16",orders[[#This Row],[Quantity]]&gt;16,"Above 16")</f>
        <v>1 to 5</v>
      </c>
    </row>
    <row r="2250" spans="1:16"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c r="P2250" t="str" cm="1">
        <f t="array" ref="P2250">_xlfn.IFS(orders[[#This Row],[Quantity]]&lt;=5,"1 to 5",orders[[#This Row],[Quantity]]&lt;=10,"6 to 10",orders[[#This Row],[Quantity]]&lt;=16,"11 to 16",orders[[#This Row],[Quantity]]&gt;16,"Above 16")</f>
        <v>1 to 5</v>
      </c>
    </row>
    <row r="2251" spans="1:16"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c r="P2251" t="str" cm="1">
        <f t="array" ref="P2251">_xlfn.IFS(orders[[#This Row],[Quantity]]&lt;=5,"1 to 5",orders[[#This Row],[Quantity]]&lt;=10,"6 to 10",orders[[#This Row],[Quantity]]&lt;=16,"11 to 16",orders[[#This Row],[Quantity]]&gt;16,"Above 16")</f>
        <v>1 to 5</v>
      </c>
    </row>
    <row r="2252" spans="1:16"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c r="P2252" t="str" cm="1">
        <f t="array" ref="P2252">_xlfn.IFS(orders[[#This Row],[Quantity]]&lt;=5,"1 to 5",orders[[#This Row],[Quantity]]&lt;=10,"6 to 10",orders[[#This Row],[Quantity]]&lt;=16,"11 to 16",orders[[#This Row],[Quantity]]&gt;16,"Above 16")</f>
        <v>1 to 5</v>
      </c>
    </row>
    <row r="2253" spans="1:16"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c r="P2253" t="str" cm="1">
        <f t="array" ref="P2253">_xlfn.IFS(orders[[#This Row],[Quantity]]&lt;=5,"1 to 5",orders[[#This Row],[Quantity]]&lt;=10,"6 to 10",orders[[#This Row],[Quantity]]&lt;=16,"11 to 16",orders[[#This Row],[Quantity]]&gt;16,"Above 16")</f>
        <v>1 to 5</v>
      </c>
    </row>
    <row r="2254" spans="1:16"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c r="P2254" t="str" cm="1">
        <f t="array" ref="P2254">_xlfn.IFS(orders[[#This Row],[Quantity]]&lt;=5,"1 to 5",orders[[#This Row],[Quantity]]&lt;=10,"6 to 10",orders[[#This Row],[Quantity]]&lt;=16,"11 to 16",orders[[#This Row],[Quantity]]&gt;16,"Above 16")</f>
        <v>1 to 5</v>
      </c>
    </row>
    <row r="2255" spans="1:16"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c r="P2255" t="str" cm="1">
        <f t="array" ref="P2255">_xlfn.IFS(orders[[#This Row],[Quantity]]&lt;=5,"1 to 5",orders[[#This Row],[Quantity]]&lt;=10,"6 to 10",orders[[#This Row],[Quantity]]&lt;=16,"11 to 16",orders[[#This Row],[Quantity]]&gt;16,"Above 16")</f>
        <v>1 to 5</v>
      </c>
    </row>
    <row r="2256" spans="1:16"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c r="P2256" t="str" cm="1">
        <f t="array" ref="P2256">_xlfn.IFS(orders[[#This Row],[Quantity]]&lt;=5,"1 to 5",orders[[#This Row],[Quantity]]&lt;=10,"6 to 10",orders[[#This Row],[Quantity]]&lt;=16,"11 to 16",orders[[#This Row],[Quantity]]&gt;16,"Above 16")</f>
        <v>11 to 16</v>
      </c>
    </row>
    <row r="2257" spans="1:16"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c r="P2257" t="str" cm="1">
        <f t="array" ref="P2257">_xlfn.IFS(orders[[#This Row],[Quantity]]&lt;=5,"1 to 5",orders[[#This Row],[Quantity]]&lt;=10,"6 to 10",orders[[#This Row],[Quantity]]&lt;=16,"11 to 16",orders[[#This Row],[Quantity]]&gt;16,"Above 16")</f>
        <v>1 to 5</v>
      </c>
    </row>
    <row r="2258" spans="1:16"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c r="P2258" t="str" cm="1">
        <f t="array" ref="P2258">_xlfn.IFS(orders[[#This Row],[Quantity]]&lt;=5,"1 to 5",orders[[#This Row],[Quantity]]&lt;=10,"6 to 10",orders[[#This Row],[Quantity]]&lt;=16,"11 to 16",orders[[#This Row],[Quantity]]&gt;16,"Above 16")</f>
        <v>1 to 5</v>
      </c>
    </row>
    <row r="2259" spans="1:16"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c r="P2259" t="str" cm="1">
        <f t="array" ref="P2259">_xlfn.IFS(orders[[#This Row],[Quantity]]&lt;=5,"1 to 5",orders[[#This Row],[Quantity]]&lt;=10,"6 to 10",orders[[#This Row],[Quantity]]&lt;=16,"11 to 16",orders[[#This Row],[Quantity]]&gt;16,"Above 16")</f>
        <v>1 to 5</v>
      </c>
    </row>
    <row r="2260" spans="1:16"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c r="P2260" t="str" cm="1">
        <f t="array" ref="P2260">_xlfn.IFS(orders[[#This Row],[Quantity]]&lt;=5,"1 to 5",orders[[#This Row],[Quantity]]&lt;=10,"6 to 10",orders[[#This Row],[Quantity]]&lt;=16,"11 to 16",orders[[#This Row],[Quantity]]&gt;16,"Above 16")</f>
        <v>1 to 5</v>
      </c>
    </row>
    <row r="2261" spans="1:16"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c r="P2261" t="str" cm="1">
        <f t="array" ref="P2261">_xlfn.IFS(orders[[#This Row],[Quantity]]&lt;=5,"1 to 5",orders[[#This Row],[Quantity]]&lt;=10,"6 to 10",orders[[#This Row],[Quantity]]&lt;=16,"11 to 16",orders[[#This Row],[Quantity]]&gt;16,"Above 16")</f>
        <v>11 to 16</v>
      </c>
    </row>
    <row r="2262" spans="1:16"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c r="P2262" t="str" cm="1">
        <f t="array" ref="P2262">_xlfn.IFS(orders[[#This Row],[Quantity]]&lt;=5,"1 to 5",orders[[#This Row],[Quantity]]&lt;=10,"6 to 10",orders[[#This Row],[Quantity]]&lt;=16,"11 to 16",orders[[#This Row],[Quantity]]&gt;16,"Above 16")</f>
        <v>6 to 10</v>
      </c>
    </row>
    <row r="2263" spans="1:16"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c r="P2263" t="str" cm="1">
        <f t="array" ref="P2263">_xlfn.IFS(orders[[#This Row],[Quantity]]&lt;=5,"1 to 5",orders[[#This Row],[Quantity]]&lt;=10,"6 to 10",orders[[#This Row],[Quantity]]&lt;=16,"11 to 16",orders[[#This Row],[Quantity]]&gt;16,"Above 16")</f>
        <v>1 to 5</v>
      </c>
    </row>
    <row r="2264" spans="1:16"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c r="P2264" t="str" cm="1">
        <f t="array" ref="P2264">_xlfn.IFS(orders[[#This Row],[Quantity]]&lt;=5,"1 to 5",orders[[#This Row],[Quantity]]&lt;=10,"6 to 10",orders[[#This Row],[Quantity]]&lt;=16,"11 to 16",orders[[#This Row],[Quantity]]&gt;16,"Above 16")</f>
        <v>1 to 5</v>
      </c>
    </row>
    <row r="2265" spans="1:16"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c r="P2265" t="str" cm="1">
        <f t="array" ref="P2265">_xlfn.IFS(orders[[#This Row],[Quantity]]&lt;=5,"1 to 5",orders[[#This Row],[Quantity]]&lt;=10,"6 to 10",orders[[#This Row],[Quantity]]&lt;=16,"11 to 16",orders[[#This Row],[Quantity]]&gt;16,"Above 16")</f>
        <v>1 to 5</v>
      </c>
    </row>
    <row r="2266" spans="1:16"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c r="P2266" t="str" cm="1">
        <f t="array" ref="P2266">_xlfn.IFS(orders[[#This Row],[Quantity]]&lt;=5,"1 to 5",orders[[#This Row],[Quantity]]&lt;=10,"6 to 10",orders[[#This Row],[Quantity]]&lt;=16,"11 to 16",orders[[#This Row],[Quantity]]&gt;16,"Above 16")</f>
        <v>1 to 5</v>
      </c>
    </row>
    <row r="2267" spans="1:16"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c r="P2267" t="str" cm="1">
        <f t="array" ref="P2267">_xlfn.IFS(orders[[#This Row],[Quantity]]&lt;=5,"1 to 5",orders[[#This Row],[Quantity]]&lt;=10,"6 to 10",orders[[#This Row],[Quantity]]&lt;=16,"11 to 16",orders[[#This Row],[Quantity]]&gt;16,"Above 16")</f>
        <v>1 to 5</v>
      </c>
    </row>
    <row r="2268" spans="1:16"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c r="P2268" t="str" cm="1">
        <f t="array" ref="P2268">_xlfn.IFS(orders[[#This Row],[Quantity]]&lt;=5,"1 to 5",orders[[#This Row],[Quantity]]&lt;=10,"6 to 10",orders[[#This Row],[Quantity]]&lt;=16,"11 to 16",orders[[#This Row],[Quantity]]&gt;16,"Above 16")</f>
        <v>11 to 16</v>
      </c>
    </row>
    <row r="2269" spans="1:16"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c r="P2269" t="str" cm="1">
        <f t="array" ref="P2269">_xlfn.IFS(orders[[#This Row],[Quantity]]&lt;=5,"1 to 5",orders[[#This Row],[Quantity]]&lt;=10,"6 to 10",orders[[#This Row],[Quantity]]&lt;=16,"11 to 16",orders[[#This Row],[Quantity]]&gt;16,"Above 16")</f>
        <v>1 to 5</v>
      </c>
    </row>
    <row r="2270" spans="1:16"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c r="P2270" t="str" cm="1">
        <f t="array" ref="P2270">_xlfn.IFS(orders[[#This Row],[Quantity]]&lt;=5,"1 to 5",orders[[#This Row],[Quantity]]&lt;=10,"6 to 10",orders[[#This Row],[Quantity]]&lt;=16,"11 to 16",orders[[#This Row],[Quantity]]&gt;16,"Above 16")</f>
        <v>1 to 5</v>
      </c>
    </row>
    <row r="2271" spans="1:16"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c r="P2271" t="str" cm="1">
        <f t="array" ref="P2271">_xlfn.IFS(orders[[#This Row],[Quantity]]&lt;=5,"1 to 5",orders[[#This Row],[Quantity]]&lt;=10,"6 to 10",orders[[#This Row],[Quantity]]&lt;=16,"11 to 16",orders[[#This Row],[Quantity]]&gt;16,"Above 16")</f>
        <v>1 to 5</v>
      </c>
    </row>
    <row r="2272" spans="1:16"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c r="P2272" t="str" cm="1">
        <f t="array" ref="P2272">_xlfn.IFS(orders[[#This Row],[Quantity]]&lt;=5,"1 to 5",orders[[#This Row],[Quantity]]&lt;=10,"6 to 10",orders[[#This Row],[Quantity]]&lt;=16,"11 to 16",orders[[#This Row],[Quantity]]&gt;16,"Above 16")</f>
        <v>1 to 5</v>
      </c>
    </row>
    <row r="2273" spans="1:16"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c r="P2273" t="str" cm="1">
        <f t="array" ref="P2273">_xlfn.IFS(orders[[#This Row],[Quantity]]&lt;=5,"1 to 5",orders[[#This Row],[Quantity]]&lt;=10,"6 to 10",orders[[#This Row],[Quantity]]&lt;=16,"11 to 16",orders[[#This Row],[Quantity]]&gt;16,"Above 16")</f>
        <v>1 to 5</v>
      </c>
    </row>
    <row r="2274" spans="1:16"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c r="P2274" t="str" cm="1">
        <f t="array" ref="P2274">_xlfn.IFS(orders[[#This Row],[Quantity]]&lt;=5,"1 to 5",orders[[#This Row],[Quantity]]&lt;=10,"6 to 10",orders[[#This Row],[Quantity]]&lt;=16,"11 to 16",orders[[#This Row],[Quantity]]&gt;16,"Above 16")</f>
        <v>1 to 5</v>
      </c>
    </row>
    <row r="2275" spans="1:16"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c r="P2275" t="str" cm="1">
        <f t="array" ref="P2275">_xlfn.IFS(orders[[#This Row],[Quantity]]&lt;=5,"1 to 5",orders[[#This Row],[Quantity]]&lt;=10,"6 to 10",orders[[#This Row],[Quantity]]&lt;=16,"11 to 16",orders[[#This Row],[Quantity]]&gt;16,"Above 16")</f>
        <v>1 to 5</v>
      </c>
    </row>
    <row r="2276" spans="1:16"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c r="P2276" t="str" cm="1">
        <f t="array" ref="P2276">_xlfn.IFS(orders[[#This Row],[Quantity]]&lt;=5,"1 to 5",orders[[#This Row],[Quantity]]&lt;=10,"6 to 10",orders[[#This Row],[Quantity]]&lt;=16,"11 to 16",orders[[#This Row],[Quantity]]&gt;16,"Above 16")</f>
        <v>1 to 5</v>
      </c>
    </row>
    <row r="2277" spans="1:16"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c r="P2277" t="str" cm="1">
        <f t="array" ref="P2277">_xlfn.IFS(orders[[#This Row],[Quantity]]&lt;=5,"1 to 5",orders[[#This Row],[Quantity]]&lt;=10,"6 to 10",orders[[#This Row],[Quantity]]&lt;=16,"11 to 16",orders[[#This Row],[Quantity]]&gt;16,"Above 16")</f>
        <v>6 to 10</v>
      </c>
    </row>
    <row r="2278" spans="1:16"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c r="P2278" t="str" cm="1">
        <f t="array" ref="P2278">_xlfn.IFS(orders[[#This Row],[Quantity]]&lt;=5,"1 to 5",orders[[#This Row],[Quantity]]&lt;=10,"6 to 10",orders[[#This Row],[Quantity]]&lt;=16,"11 to 16",orders[[#This Row],[Quantity]]&gt;16,"Above 16")</f>
        <v>1 to 5</v>
      </c>
    </row>
    <row r="2279" spans="1:16"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c r="P2279" t="str" cm="1">
        <f t="array" ref="P2279">_xlfn.IFS(orders[[#This Row],[Quantity]]&lt;=5,"1 to 5",orders[[#This Row],[Quantity]]&lt;=10,"6 to 10",orders[[#This Row],[Quantity]]&lt;=16,"11 to 16",orders[[#This Row],[Quantity]]&gt;16,"Above 16")</f>
        <v>1 to 5</v>
      </c>
    </row>
    <row r="2280" spans="1:16"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c r="P2280" t="str" cm="1">
        <f t="array" ref="P2280">_xlfn.IFS(orders[[#This Row],[Quantity]]&lt;=5,"1 to 5",orders[[#This Row],[Quantity]]&lt;=10,"6 to 10",orders[[#This Row],[Quantity]]&lt;=16,"11 to 16",orders[[#This Row],[Quantity]]&gt;16,"Above 16")</f>
        <v>1 to 5</v>
      </c>
    </row>
    <row r="2281" spans="1:16"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c r="P2281" t="str" cm="1">
        <f t="array" ref="P2281">_xlfn.IFS(orders[[#This Row],[Quantity]]&lt;=5,"1 to 5",orders[[#This Row],[Quantity]]&lt;=10,"6 to 10",orders[[#This Row],[Quantity]]&lt;=16,"11 to 16",orders[[#This Row],[Quantity]]&gt;16,"Above 16")</f>
        <v>1 to 5</v>
      </c>
    </row>
    <row r="2282" spans="1:16"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c r="P2282" t="str" cm="1">
        <f t="array" ref="P2282">_xlfn.IFS(orders[[#This Row],[Quantity]]&lt;=5,"1 to 5",orders[[#This Row],[Quantity]]&lt;=10,"6 to 10",orders[[#This Row],[Quantity]]&lt;=16,"11 to 16",orders[[#This Row],[Quantity]]&gt;16,"Above 16")</f>
        <v>1 to 5</v>
      </c>
    </row>
    <row r="2283" spans="1:16"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c r="P2283" t="str" cm="1">
        <f t="array" ref="P2283">_xlfn.IFS(orders[[#This Row],[Quantity]]&lt;=5,"1 to 5",orders[[#This Row],[Quantity]]&lt;=10,"6 to 10",orders[[#This Row],[Quantity]]&lt;=16,"11 to 16",orders[[#This Row],[Quantity]]&gt;16,"Above 16")</f>
        <v>6 to 10</v>
      </c>
    </row>
    <row r="2284" spans="1:16"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c r="P2284" t="str" cm="1">
        <f t="array" ref="P2284">_xlfn.IFS(orders[[#This Row],[Quantity]]&lt;=5,"1 to 5",orders[[#This Row],[Quantity]]&lt;=10,"6 to 10",orders[[#This Row],[Quantity]]&lt;=16,"11 to 16",orders[[#This Row],[Quantity]]&gt;16,"Above 16")</f>
        <v>6 to 10</v>
      </c>
    </row>
    <row r="2285" spans="1:16"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c r="P2285" t="str" cm="1">
        <f t="array" ref="P2285">_xlfn.IFS(orders[[#This Row],[Quantity]]&lt;=5,"1 to 5",orders[[#This Row],[Quantity]]&lt;=10,"6 to 10",orders[[#This Row],[Quantity]]&lt;=16,"11 to 16",orders[[#This Row],[Quantity]]&gt;16,"Above 16")</f>
        <v>6 to 10</v>
      </c>
    </row>
    <row r="2286" spans="1:16"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c r="P2286" t="str" cm="1">
        <f t="array" ref="P2286">_xlfn.IFS(orders[[#This Row],[Quantity]]&lt;=5,"1 to 5",orders[[#This Row],[Quantity]]&lt;=10,"6 to 10",orders[[#This Row],[Quantity]]&lt;=16,"11 to 16",orders[[#This Row],[Quantity]]&gt;16,"Above 16")</f>
        <v>1 to 5</v>
      </c>
    </row>
    <row r="2287" spans="1:16"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c r="P2287" t="str" cm="1">
        <f t="array" ref="P2287">_xlfn.IFS(orders[[#This Row],[Quantity]]&lt;=5,"1 to 5",orders[[#This Row],[Quantity]]&lt;=10,"6 to 10",orders[[#This Row],[Quantity]]&lt;=16,"11 to 16",orders[[#This Row],[Quantity]]&gt;16,"Above 16")</f>
        <v>6 to 10</v>
      </c>
    </row>
    <row r="2288" spans="1:16"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c r="P2288" t="str" cm="1">
        <f t="array" ref="P2288">_xlfn.IFS(orders[[#This Row],[Quantity]]&lt;=5,"1 to 5",orders[[#This Row],[Quantity]]&lt;=10,"6 to 10",orders[[#This Row],[Quantity]]&lt;=16,"11 to 16",orders[[#This Row],[Quantity]]&gt;16,"Above 16")</f>
        <v>11 to 16</v>
      </c>
    </row>
    <row r="2289" spans="1:16"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c r="P2289" t="str" cm="1">
        <f t="array" ref="P2289">_xlfn.IFS(orders[[#This Row],[Quantity]]&lt;=5,"1 to 5",orders[[#This Row],[Quantity]]&lt;=10,"6 to 10",orders[[#This Row],[Quantity]]&lt;=16,"11 to 16",orders[[#This Row],[Quantity]]&gt;16,"Above 16")</f>
        <v>1 to 5</v>
      </c>
    </row>
    <row r="2290" spans="1:16"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c r="P2290" t="str" cm="1">
        <f t="array" ref="P2290">_xlfn.IFS(orders[[#This Row],[Quantity]]&lt;=5,"1 to 5",orders[[#This Row],[Quantity]]&lt;=10,"6 to 10",orders[[#This Row],[Quantity]]&lt;=16,"11 to 16",orders[[#This Row],[Quantity]]&gt;16,"Above 16")</f>
        <v>1 to 5</v>
      </c>
    </row>
    <row r="2291" spans="1:16"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c r="P2291" t="str" cm="1">
        <f t="array" ref="P2291">_xlfn.IFS(orders[[#This Row],[Quantity]]&lt;=5,"1 to 5",orders[[#This Row],[Quantity]]&lt;=10,"6 to 10",orders[[#This Row],[Quantity]]&lt;=16,"11 to 16",orders[[#This Row],[Quantity]]&gt;16,"Above 16")</f>
        <v>1 to 5</v>
      </c>
    </row>
    <row r="2292" spans="1:16"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c r="P2292" t="str" cm="1">
        <f t="array" ref="P2292">_xlfn.IFS(orders[[#This Row],[Quantity]]&lt;=5,"1 to 5",orders[[#This Row],[Quantity]]&lt;=10,"6 to 10",orders[[#This Row],[Quantity]]&lt;=16,"11 to 16",orders[[#This Row],[Quantity]]&gt;16,"Above 16")</f>
        <v>1 to 5</v>
      </c>
    </row>
    <row r="2293" spans="1:16"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c r="P2293" t="str" cm="1">
        <f t="array" ref="P2293">_xlfn.IFS(orders[[#This Row],[Quantity]]&lt;=5,"1 to 5",orders[[#This Row],[Quantity]]&lt;=10,"6 to 10",orders[[#This Row],[Quantity]]&lt;=16,"11 to 16",orders[[#This Row],[Quantity]]&gt;16,"Above 16")</f>
        <v>1 to 5</v>
      </c>
    </row>
    <row r="2294" spans="1:16"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c r="P2294" t="str" cm="1">
        <f t="array" ref="P2294">_xlfn.IFS(orders[[#This Row],[Quantity]]&lt;=5,"1 to 5",orders[[#This Row],[Quantity]]&lt;=10,"6 to 10",orders[[#This Row],[Quantity]]&lt;=16,"11 to 16",orders[[#This Row],[Quantity]]&gt;16,"Above 16")</f>
        <v>1 to 5</v>
      </c>
    </row>
    <row r="2295" spans="1:16"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c r="P2295" t="str" cm="1">
        <f t="array" ref="P2295">_xlfn.IFS(orders[[#This Row],[Quantity]]&lt;=5,"1 to 5",orders[[#This Row],[Quantity]]&lt;=10,"6 to 10",orders[[#This Row],[Quantity]]&lt;=16,"11 to 16",orders[[#This Row],[Quantity]]&gt;16,"Above 16")</f>
        <v>1 to 5</v>
      </c>
    </row>
    <row r="2296" spans="1:16"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c r="P2296" t="str" cm="1">
        <f t="array" ref="P2296">_xlfn.IFS(orders[[#This Row],[Quantity]]&lt;=5,"1 to 5",orders[[#This Row],[Quantity]]&lt;=10,"6 to 10",orders[[#This Row],[Quantity]]&lt;=16,"11 to 16",orders[[#This Row],[Quantity]]&gt;16,"Above 16")</f>
        <v>1 to 5</v>
      </c>
    </row>
    <row r="2297" spans="1:16"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c r="P2297" t="str" cm="1">
        <f t="array" ref="P2297">_xlfn.IFS(orders[[#This Row],[Quantity]]&lt;=5,"1 to 5",orders[[#This Row],[Quantity]]&lt;=10,"6 to 10",orders[[#This Row],[Quantity]]&lt;=16,"11 to 16",orders[[#This Row],[Quantity]]&gt;16,"Above 16")</f>
        <v>1 to 5</v>
      </c>
    </row>
    <row r="2298" spans="1:16"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c r="P2298" t="str" cm="1">
        <f t="array" ref="P2298">_xlfn.IFS(orders[[#This Row],[Quantity]]&lt;=5,"1 to 5",orders[[#This Row],[Quantity]]&lt;=10,"6 to 10",orders[[#This Row],[Quantity]]&lt;=16,"11 to 16",orders[[#This Row],[Quantity]]&gt;16,"Above 16")</f>
        <v>1 to 5</v>
      </c>
    </row>
    <row r="2299" spans="1:16"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c r="P2299" t="str" cm="1">
        <f t="array" ref="P2299">_xlfn.IFS(orders[[#This Row],[Quantity]]&lt;=5,"1 to 5",orders[[#This Row],[Quantity]]&lt;=10,"6 to 10",orders[[#This Row],[Quantity]]&lt;=16,"11 to 16",orders[[#This Row],[Quantity]]&gt;16,"Above 16")</f>
        <v>1 to 5</v>
      </c>
    </row>
    <row r="2300" spans="1:16"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c r="P2300" t="str" cm="1">
        <f t="array" ref="P2300">_xlfn.IFS(orders[[#This Row],[Quantity]]&lt;=5,"1 to 5",orders[[#This Row],[Quantity]]&lt;=10,"6 to 10",orders[[#This Row],[Quantity]]&lt;=16,"11 to 16",orders[[#This Row],[Quantity]]&gt;16,"Above 16")</f>
        <v>1 to 5</v>
      </c>
    </row>
    <row r="2301" spans="1:16"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c r="P2301" t="str" cm="1">
        <f t="array" ref="P2301">_xlfn.IFS(orders[[#This Row],[Quantity]]&lt;=5,"1 to 5",orders[[#This Row],[Quantity]]&lt;=10,"6 to 10",orders[[#This Row],[Quantity]]&lt;=16,"11 to 16",orders[[#This Row],[Quantity]]&gt;16,"Above 16")</f>
        <v>1 to 5</v>
      </c>
    </row>
    <row r="2302" spans="1:16"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c r="P2302" t="str" cm="1">
        <f t="array" ref="P2302">_xlfn.IFS(orders[[#This Row],[Quantity]]&lt;=5,"1 to 5",orders[[#This Row],[Quantity]]&lt;=10,"6 to 10",orders[[#This Row],[Quantity]]&lt;=16,"11 to 16",orders[[#This Row],[Quantity]]&gt;16,"Above 16")</f>
        <v>1 to 5</v>
      </c>
    </row>
    <row r="2303" spans="1:16"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c r="P2303" t="str" cm="1">
        <f t="array" ref="P2303">_xlfn.IFS(orders[[#This Row],[Quantity]]&lt;=5,"1 to 5",orders[[#This Row],[Quantity]]&lt;=10,"6 to 10",orders[[#This Row],[Quantity]]&lt;=16,"11 to 16",orders[[#This Row],[Quantity]]&gt;16,"Above 16")</f>
        <v>1 to 5</v>
      </c>
    </row>
    <row r="2304" spans="1:16"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c r="P2304" t="str" cm="1">
        <f t="array" ref="P2304">_xlfn.IFS(orders[[#This Row],[Quantity]]&lt;=5,"1 to 5",orders[[#This Row],[Quantity]]&lt;=10,"6 to 10",orders[[#This Row],[Quantity]]&lt;=16,"11 to 16",orders[[#This Row],[Quantity]]&gt;16,"Above 16")</f>
        <v>1 to 5</v>
      </c>
    </row>
    <row r="2305" spans="1:16"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c r="P2305" t="str" cm="1">
        <f t="array" ref="P2305">_xlfn.IFS(orders[[#This Row],[Quantity]]&lt;=5,"1 to 5",orders[[#This Row],[Quantity]]&lt;=10,"6 to 10",orders[[#This Row],[Quantity]]&lt;=16,"11 to 16",orders[[#This Row],[Quantity]]&gt;16,"Above 16")</f>
        <v>1 to 5</v>
      </c>
    </row>
    <row r="2306" spans="1:16"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c r="P2306" t="str" cm="1">
        <f t="array" ref="P2306">_xlfn.IFS(orders[[#This Row],[Quantity]]&lt;=5,"1 to 5",orders[[#This Row],[Quantity]]&lt;=10,"6 to 10",orders[[#This Row],[Quantity]]&lt;=16,"11 to 16",orders[[#This Row],[Quantity]]&gt;16,"Above 16")</f>
        <v>1 to 5</v>
      </c>
    </row>
    <row r="2307" spans="1:16"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c r="P2307" t="str" cm="1">
        <f t="array" ref="P2307">_xlfn.IFS(orders[[#This Row],[Quantity]]&lt;=5,"1 to 5",orders[[#This Row],[Quantity]]&lt;=10,"6 to 10",orders[[#This Row],[Quantity]]&lt;=16,"11 to 16",orders[[#This Row],[Quantity]]&gt;16,"Above 16")</f>
        <v>1 to 5</v>
      </c>
    </row>
    <row r="2308" spans="1:16"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c r="P2308" t="str" cm="1">
        <f t="array" ref="P2308">_xlfn.IFS(orders[[#This Row],[Quantity]]&lt;=5,"1 to 5",orders[[#This Row],[Quantity]]&lt;=10,"6 to 10",orders[[#This Row],[Quantity]]&lt;=16,"11 to 16",orders[[#This Row],[Quantity]]&gt;16,"Above 16")</f>
        <v>1 to 5</v>
      </c>
    </row>
    <row r="2309" spans="1:16"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c r="P2309" t="str" cm="1">
        <f t="array" ref="P2309">_xlfn.IFS(orders[[#This Row],[Quantity]]&lt;=5,"1 to 5",orders[[#This Row],[Quantity]]&lt;=10,"6 to 10",orders[[#This Row],[Quantity]]&lt;=16,"11 to 16",orders[[#This Row],[Quantity]]&gt;16,"Above 16")</f>
        <v>1 to 5</v>
      </c>
    </row>
    <row r="2310" spans="1:16"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c r="P2310" t="str" cm="1">
        <f t="array" ref="P2310">_xlfn.IFS(orders[[#This Row],[Quantity]]&lt;=5,"1 to 5",orders[[#This Row],[Quantity]]&lt;=10,"6 to 10",orders[[#This Row],[Quantity]]&lt;=16,"11 to 16",orders[[#This Row],[Quantity]]&gt;16,"Above 16")</f>
        <v>1 to 5</v>
      </c>
    </row>
    <row r="2311" spans="1:16"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c r="P2311" t="str" cm="1">
        <f t="array" ref="P2311">_xlfn.IFS(orders[[#This Row],[Quantity]]&lt;=5,"1 to 5",orders[[#This Row],[Quantity]]&lt;=10,"6 to 10",orders[[#This Row],[Quantity]]&lt;=16,"11 to 16",orders[[#This Row],[Quantity]]&gt;16,"Above 16")</f>
        <v>1 to 5</v>
      </c>
    </row>
    <row r="2312" spans="1:16"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c r="P2312" t="str" cm="1">
        <f t="array" ref="P2312">_xlfn.IFS(orders[[#This Row],[Quantity]]&lt;=5,"1 to 5",orders[[#This Row],[Quantity]]&lt;=10,"6 to 10",orders[[#This Row],[Quantity]]&lt;=16,"11 to 16",orders[[#This Row],[Quantity]]&gt;16,"Above 16")</f>
        <v>11 to 16</v>
      </c>
    </row>
    <row r="2313" spans="1:16"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c r="P2313" t="str" cm="1">
        <f t="array" ref="P2313">_xlfn.IFS(orders[[#This Row],[Quantity]]&lt;=5,"1 to 5",orders[[#This Row],[Quantity]]&lt;=10,"6 to 10",orders[[#This Row],[Quantity]]&lt;=16,"11 to 16",orders[[#This Row],[Quantity]]&gt;16,"Above 16")</f>
        <v>6 to 10</v>
      </c>
    </row>
    <row r="2314" spans="1:16"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c r="P2314" t="str" cm="1">
        <f t="array" ref="P2314">_xlfn.IFS(orders[[#This Row],[Quantity]]&lt;=5,"1 to 5",orders[[#This Row],[Quantity]]&lt;=10,"6 to 10",orders[[#This Row],[Quantity]]&lt;=16,"11 to 16",orders[[#This Row],[Quantity]]&gt;16,"Above 16")</f>
        <v>1 to 5</v>
      </c>
    </row>
    <row r="2315" spans="1:16"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c r="P2315" t="str" cm="1">
        <f t="array" ref="P2315">_xlfn.IFS(orders[[#This Row],[Quantity]]&lt;=5,"1 to 5",orders[[#This Row],[Quantity]]&lt;=10,"6 to 10",orders[[#This Row],[Quantity]]&lt;=16,"11 to 16",orders[[#This Row],[Quantity]]&gt;16,"Above 16")</f>
        <v>11 to 16</v>
      </c>
    </row>
    <row r="2316" spans="1:16"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c r="P2316" t="str" cm="1">
        <f t="array" ref="P2316">_xlfn.IFS(orders[[#This Row],[Quantity]]&lt;=5,"1 to 5",orders[[#This Row],[Quantity]]&lt;=10,"6 to 10",orders[[#This Row],[Quantity]]&lt;=16,"11 to 16",orders[[#This Row],[Quantity]]&gt;16,"Above 16")</f>
        <v>1 to 5</v>
      </c>
    </row>
    <row r="2317" spans="1:16"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c r="P2317" t="str" cm="1">
        <f t="array" ref="P2317">_xlfn.IFS(orders[[#This Row],[Quantity]]&lt;=5,"1 to 5",orders[[#This Row],[Quantity]]&lt;=10,"6 to 10",orders[[#This Row],[Quantity]]&lt;=16,"11 to 16",orders[[#This Row],[Quantity]]&gt;16,"Above 16")</f>
        <v>1 to 5</v>
      </c>
    </row>
    <row r="2318" spans="1:16"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c r="P2318" t="str" cm="1">
        <f t="array" ref="P2318">_xlfn.IFS(orders[[#This Row],[Quantity]]&lt;=5,"1 to 5",orders[[#This Row],[Quantity]]&lt;=10,"6 to 10",orders[[#This Row],[Quantity]]&lt;=16,"11 to 16",orders[[#This Row],[Quantity]]&gt;16,"Above 16")</f>
        <v>11 to 16</v>
      </c>
    </row>
    <row r="2319" spans="1:16"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c r="P2319" t="str" cm="1">
        <f t="array" ref="P2319">_xlfn.IFS(orders[[#This Row],[Quantity]]&lt;=5,"1 to 5",orders[[#This Row],[Quantity]]&lt;=10,"6 to 10",orders[[#This Row],[Quantity]]&lt;=16,"11 to 16",orders[[#This Row],[Quantity]]&gt;16,"Above 16")</f>
        <v>Above 16</v>
      </c>
    </row>
    <row r="2320" spans="1:16"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c r="P2320" t="str" cm="1">
        <f t="array" ref="P2320">_xlfn.IFS(orders[[#This Row],[Quantity]]&lt;=5,"1 to 5",orders[[#This Row],[Quantity]]&lt;=10,"6 to 10",orders[[#This Row],[Quantity]]&lt;=16,"11 to 16",orders[[#This Row],[Quantity]]&gt;16,"Above 16")</f>
        <v>1 to 5</v>
      </c>
    </row>
    <row r="2321" spans="1:16"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c r="P2321" t="str" cm="1">
        <f t="array" ref="P2321">_xlfn.IFS(orders[[#This Row],[Quantity]]&lt;=5,"1 to 5",orders[[#This Row],[Quantity]]&lt;=10,"6 to 10",orders[[#This Row],[Quantity]]&lt;=16,"11 to 16",orders[[#This Row],[Quantity]]&gt;16,"Above 16")</f>
        <v>1 to 5</v>
      </c>
    </row>
    <row r="2322" spans="1:16"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c r="P2322" t="str" cm="1">
        <f t="array" ref="P2322">_xlfn.IFS(orders[[#This Row],[Quantity]]&lt;=5,"1 to 5",orders[[#This Row],[Quantity]]&lt;=10,"6 to 10",orders[[#This Row],[Quantity]]&lt;=16,"11 to 16",orders[[#This Row],[Quantity]]&gt;16,"Above 16")</f>
        <v>1 to 5</v>
      </c>
    </row>
    <row r="2323" spans="1:16"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c r="P2323" t="str" cm="1">
        <f t="array" ref="P2323">_xlfn.IFS(orders[[#This Row],[Quantity]]&lt;=5,"1 to 5",orders[[#This Row],[Quantity]]&lt;=10,"6 to 10",orders[[#This Row],[Quantity]]&lt;=16,"11 to 16",orders[[#This Row],[Quantity]]&gt;16,"Above 16")</f>
        <v>1 to 5</v>
      </c>
    </row>
    <row r="2324" spans="1:16"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c r="P2324" t="str" cm="1">
        <f t="array" ref="P2324">_xlfn.IFS(orders[[#This Row],[Quantity]]&lt;=5,"1 to 5",orders[[#This Row],[Quantity]]&lt;=10,"6 to 10",orders[[#This Row],[Quantity]]&lt;=16,"11 to 16",orders[[#This Row],[Quantity]]&gt;16,"Above 16")</f>
        <v>6 to 10</v>
      </c>
    </row>
    <row r="2325" spans="1:16"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c r="P2325" t="str" cm="1">
        <f t="array" ref="P2325">_xlfn.IFS(orders[[#This Row],[Quantity]]&lt;=5,"1 to 5",orders[[#This Row],[Quantity]]&lt;=10,"6 to 10",orders[[#This Row],[Quantity]]&lt;=16,"11 to 16",orders[[#This Row],[Quantity]]&gt;16,"Above 16")</f>
        <v>1 to 5</v>
      </c>
    </row>
    <row r="2326" spans="1:16"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c r="P2326" t="str" cm="1">
        <f t="array" ref="P2326">_xlfn.IFS(orders[[#This Row],[Quantity]]&lt;=5,"1 to 5",orders[[#This Row],[Quantity]]&lt;=10,"6 to 10",orders[[#This Row],[Quantity]]&lt;=16,"11 to 16",orders[[#This Row],[Quantity]]&gt;16,"Above 16")</f>
        <v>6 to 10</v>
      </c>
    </row>
    <row r="2327" spans="1:16"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c r="P2327" t="str" cm="1">
        <f t="array" ref="P2327">_xlfn.IFS(orders[[#This Row],[Quantity]]&lt;=5,"1 to 5",orders[[#This Row],[Quantity]]&lt;=10,"6 to 10",orders[[#This Row],[Quantity]]&lt;=16,"11 to 16",orders[[#This Row],[Quantity]]&gt;16,"Above 16")</f>
        <v>6 to 10</v>
      </c>
    </row>
    <row r="2328" spans="1:16"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c r="P2328" t="str" cm="1">
        <f t="array" ref="P2328">_xlfn.IFS(orders[[#This Row],[Quantity]]&lt;=5,"1 to 5",orders[[#This Row],[Quantity]]&lt;=10,"6 to 10",orders[[#This Row],[Quantity]]&lt;=16,"11 to 16",orders[[#This Row],[Quantity]]&gt;16,"Above 16")</f>
        <v>Above 16</v>
      </c>
    </row>
    <row r="2329" spans="1:16"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c r="P2329" t="str" cm="1">
        <f t="array" ref="P2329">_xlfn.IFS(orders[[#This Row],[Quantity]]&lt;=5,"1 to 5",orders[[#This Row],[Quantity]]&lt;=10,"6 to 10",orders[[#This Row],[Quantity]]&lt;=16,"11 to 16",orders[[#This Row],[Quantity]]&gt;16,"Above 16")</f>
        <v>1 to 5</v>
      </c>
    </row>
    <row r="2330" spans="1:16"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c r="P2330" t="str" cm="1">
        <f t="array" ref="P2330">_xlfn.IFS(orders[[#This Row],[Quantity]]&lt;=5,"1 to 5",orders[[#This Row],[Quantity]]&lt;=10,"6 to 10",orders[[#This Row],[Quantity]]&lt;=16,"11 to 16",orders[[#This Row],[Quantity]]&gt;16,"Above 16")</f>
        <v>1 to 5</v>
      </c>
    </row>
    <row r="2331" spans="1:16"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c r="P2331" t="str" cm="1">
        <f t="array" ref="P2331">_xlfn.IFS(orders[[#This Row],[Quantity]]&lt;=5,"1 to 5",orders[[#This Row],[Quantity]]&lt;=10,"6 to 10",orders[[#This Row],[Quantity]]&lt;=16,"11 to 16",orders[[#This Row],[Quantity]]&gt;16,"Above 16")</f>
        <v>1 to 5</v>
      </c>
    </row>
    <row r="2332" spans="1:16"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c r="P2332" t="str" cm="1">
        <f t="array" ref="P2332">_xlfn.IFS(orders[[#This Row],[Quantity]]&lt;=5,"1 to 5",orders[[#This Row],[Quantity]]&lt;=10,"6 to 10",orders[[#This Row],[Quantity]]&lt;=16,"11 to 16",orders[[#This Row],[Quantity]]&gt;16,"Above 16")</f>
        <v>11 to 16</v>
      </c>
    </row>
    <row r="2333" spans="1:16"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c r="P2333" t="str" cm="1">
        <f t="array" ref="P2333">_xlfn.IFS(orders[[#This Row],[Quantity]]&lt;=5,"1 to 5",orders[[#This Row],[Quantity]]&lt;=10,"6 to 10",orders[[#This Row],[Quantity]]&lt;=16,"11 to 16",orders[[#This Row],[Quantity]]&gt;16,"Above 16")</f>
        <v>6 to 10</v>
      </c>
    </row>
    <row r="2334" spans="1:16"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c r="P2334" t="str" cm="1">
        <f t="array" ref="P2334">_xlfn.IFS(orders[[#This Row],[Quantity]]&lt;=5,"1 to 5",orders[[#This Row],[Quantity]]&lt;=10,"6 to 10",orders[[#This Row],[Quantity]]&lt;=16,"11 to 16",orders[[#This Row],[Quantity]]&gt;16,"Above 16")</f>
        <v>11 to 16</v>
      </c>
    </row>
    <row r="2335" spans="1:16"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c r="P2335" t="str" cm="1">
        <f t="array" ref="P2335">_xlfn.IFS(orders[[#This Row],[Quantity]]&lt;=5,"1 to 5",orders[[#This Row],[Quantity]]&lt;=10,"6 to 10",orders[[#This Row],[Quantity]]&lt;=16,"11 to 16",orders[[#This Row],[Quantity]]&gt;16,"Above 16")</f>
        <v>1 to 5</v>
      </c>
    </row>
    <row r="2336" spans="1:16"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c r="P2336" t="str" cm="1">
        <f t="array" ref="P2336">_xlfn.IFS(orders[[#This Row],[Quantity]]&lt;=5,"1 to 5",orders[[#This Row],[Quantity]]&lt;=10,"6 to 10",orders[[#This Row],[Quantity]]&lt;=16,"11 to 16",orders[[#This Row],[Quantity]]&gt;16,"Above 16")</f>
        <v>1 to 5</v>
      </c>
    </row>
    <row r="2337" spans="1:16"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c r="P2337" t="str" cm="1">
        <f t="array" ref="P2337">_xlfn.IFS(orders[[#This Row],[Quantity]]&lt;=5,"1 to 5",orders[[#This Row],[Quantity]]&lt;=10,"6 to 10",orders[[#This Row],[Quantity]]&lt;=16,"11 to 16",orders[[#This Row],[Quantity]]&gt;16,"Above 16")</f>
        <v>1 to 5</v>
      </c>
    </row>
    <row r="2338" spans="1:16"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c r="P2338" t="str" cm="1">
        <f t="array" ref="P2338">_xlfn.IFS(orders[[#This Row],[Quantity]]&lt;=5,"1 to 5",orders[[#This Row],[Quantity]]&lt;=10,"6 to 10",orders[[#This Row],[Quantity]]&lt;=16,"11 to 16",orders[[#This Row],[Quantity]]&gt;16,"Above 16")</f>
        <v>1 to 5</v>
      </c>
    </row>
    <row r="2339" spans="1:16"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c r="P2339" t="str" cm="1">
        <f t="array" ref="P2339">_xlfn.IFS(orders[[#This Row],[Quantity]]&lt;=5,"1 to 5",orders[[#This Row],[Quantity]]&lt;=10,"6 to 10",orders[[#This Row],[Quantity]]&lt;=16,"11 to 16",orders[[#This Row],[Quantity]]&gt;16,"Above 16")</f>
        <v>1 to 5</v>
      </c>
    </row>
    <row r="2340" spans="1:16"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c r="P2340" t="str" cm="1">
        <f t="array" ref="P2340">_xlfn.IFS(orders[[#This Row],[Quantity]]&lt;=5,"1 to 5",orders[[#This Row],[Quantity]]&lt;=10,"6 to 10",orders[[#This Row],[Quantity]]&lt;=16,"11 to 16",orders[[#This Row],[Quantity]]&gt;16,"Above 16")</f>
        <v>1 to 5</v>
      </c>
    </row>
    <row r="2341" spans="1:16"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c r="P2341" t="str" cm="1">
        <f t="array" ref="P2341">_xlfn.IFS(orders[[#This Row],[Quantity]]&lt;=5,"1 to 5",orders[[#This Row],[Quantity]]&lt;=10,"6 to 10",orders[[#This Row],[Quantity]]&lt;=16,"11 to 16",orders[[#This Row],[Quantity]]&gt;16,"Above 16")</f>
        <v>6 to 10</v>
      </c>
    </row>
    <row r="2342" spans="1:16"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c r="P2342" t="str" cm="1">
        <f t="array" ref="P2342">_xlfn.IFS(orders[[#This Row],[Quantity]]&lt;=5,"1 to 5",orders[[#This Row],[Quantity]]&lt;=10,"6 to 10",orders[[#This Row],[Quantity]]&lt;=16,"11 to 16",orders[[#This Row],[Quantity]]&gt;16,"Above 16")</f>
        <v>6 to 10</v>
      </c>
    </row>
    <row r="2343" spans="1:16"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c r="P2343" t="str" cm="1">
        <f t="array" ref="P2343">_xlfn.IFS(orders[[#This Row],[Quantity]]&lt;=5,"1 to 5",orders[[#This Row],[Quantity]]&lt;=10,"6 to 10",orders[[#This Row],[Quantity]]&lt;=16,"11 to 16",orders[[#This Row],[Quantity]]&gt;16,"Above 16")</f>
        <v>1 to 5</v>
      </c>
    </row>
    <row r="2344" spans="1:16"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c r="P2344" t="str" cm="1">
        <f t="array" ref="P2344">_xlfn.IFS(orders[[#This Row],[Quantity]]&lt;=5,"1 to 5",orders[[#This Row],[Quantity]]&lt;=10,"6 to 10",orders[[#This Row],[Quantity]]&lt;=16,"11 to 16",orders[[#This Row],[Quantity]]&gt;16,"Above 16")</f>
        <v>1 to 5</v>
      </c>
    </row>
    <row r="2345" spans="1:16"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c r="P2345" t="str" cm="1">
        <f t="array" ref="P2345">_xlfn.IFS(orders[[#This Row],[Quantity]]&lt;=5,"1 to 5",orders[[#This Row],[Quantity]]&lt;=10,"6 to 10",orders[[#This Row],[Quantity]]&lt;=16,"11 to 16",orders[[#This Row],[Quantity]]&gt;16,"Above 16")</f>
        <v>1 to 5</v>
      </c>
    </row>
    <row r="2346" spans="1:16"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c r="P2346" t="str" cm="1">
        <f t="array" ref="P2346">_xlfn.IFS(orders[[#This Row],[Quantity]]&lt;=5,"1 to 5",orders[[#This Row],[Quantity]]&lt;=10,"6 to 10",orders[[#This Row],[Quantity]]&lt;=16,"11 to 16",orders[[#This Row],[Quantity]]&gt;16,"Above 16")</f>
        <v>6 to 10</v>
      </c>
    </row>
    <row r="2347" spans="1:16"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c r="P2347" t="str" cm="1">
        <f t="array" ref="P2347">_xlfn.IFS(orders[[#This Row],[Quantity]]&lt;=5,"1 to 5",orders[[#This Row],[Quantity]]&lt;=10,"6 to 10",orders[[#This Row],[Quantity]]&lt;=16,"11 to 16",orders[[#This Row],[Quantity]]&gt;16,"Above 16")</f>
        <v>1 to 5</v>
      </c>
    </row>
    <row r="2348" spans="1:16"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c r="P2348" t="str" cm="1">
        <f t="array" ref="P2348">_xlfn.IFS(orders[[#This Row],[Quantity]]&lt;=5,"1 to 5",orders[[#This Row],[Quantity]]&lt;=10,"6 to 10",orders[[#This Row],[Quantity]]&lt;=16,"11 to 16",orders[[#This Row],[Quantity]]&gt;16,"Above 16")</f>
        <v>1 to 5</v>
      </c>
    </row>
    <row r="2349" spans="1:16"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c r="P2349" t="str" cm="1">
        <f t="array" ref="P2349">_xlfn.IFS(orders[[#This Row],[Quantity]]&lt;=5,"1 to 5",orders[[#This Row],[Quantity]]&lt;=10,"6 to 10",orders[[#This Row],[Quantity]]&lt;=16,"11 to 16",orders[[#This Row],[Quantity]]&gt;16,"Above 16")</f>
        <v>1 to 5</v>
      </c>
    </row>
    <row r="2350" spans="1:16"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c r="P2350" t="str" cm="1">
        <f t="array" ref="P2350">_xlfn.IFS(orders[[#This Row],[Quantity]]&lt;=5,"1 to 5",orders[[#This Row],[Quantity]]&lt;=10,"6 to 10",orders[[#This Row],[Quantity]]&lt;=16,"11 to 16",orders[[#This Row],[Quantity]]&gt;16,"Above 16")</f>
        <v>1 to 5</v>
      </c>
    </row>
    <row r="2351" spans="1:16"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c r="P2351" t="str" cm="1">
        <f t="array" ref="P2351">_xlfn.IFS(orders[[#This Row],[Quantity]]&lt;=5,"1 to 5",orders[[#This Row],[Quantity]]&lt;=10,"6 to 10",orders[[#This Row],[Quantity]]&lt;=16,"11 to 16",orders[[#This Row],[Quantity]]&gt;16,"Above 16")</f>
        <v>1 to 5</v>
      </c>
    </row>
    <row r="2352" spans="1:16"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c r="P2352" t="str" cm="1">
        <f t="array" ref="P2352">_xlfn.IFS(orders[[#This Row],[Quantity]]&lt;=5,"1 to 5",orders[[#This Row],[Quantity]]&lt;=10,"6 to 10",orders[[#This Row],[Quantity]]&lt;=16,"11 to 16",orders[[#This Row],[Quantity]]&gt;16,"Above 16")</f>
        <v>1 to 5</v>
      </c>
    </row>
    <row r="2353" spans="1:16"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c r="P2353" t="str" cm="1">
        <f t="array" ref="P2353">_xlfn.IFS(orders[[#This Row],[Quantity]]&lt;=5,"1 to 5",orders[[#This Row],[Quantity]]&lt;=10,"6 to 10",orders[[#This Row],[Quantity]]&lt;=16,"11 to 16",orders[[#This Row],[Quantity]]&gt;16,"Above 16")</f>
        <v>1 to 5</v>
      </c>
    </row>
    <row r="2354" spans="1:16"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c r="P2354" t="str" cm="1">
        <f t="array" ref="P2354">_xlfn.IFS(orders[[#This Row],[Quantity]]&lt;=5,"1 to 5",orders[[#This Row],[Quantity]]&lt;=10,"6 to 10",orders[[#This Row],[Quantity]]&lt;=16,"11 to 16",orders[[#This Row],[Quantity]]&gt;16,"Above 16")</f>
        <v>1 to 5</v>
      </c>
    </row>
    <row r="2355" spans="1:16"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c r="P2355" t="str" cm="1">
        <f t="array" ref="P2355">_xlfn.IFS(orders[[#This Row],[Quantity]]&lt;=5,"1 to 5",orders[[#This Row],[Quantity]]&lt;=10,"6 to 10",orders[[#This Row],[Quantity]]&lt;=16,"11 to 16",orders[[#This Row],[Quantity]]&gt;16,"Above 16")</f>
        <v>1 to 5</v>
      </c>
    </row>
    <row r="2356" spans="1:16"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c r="P2356" t="str" cm="1">
        <f t="array" ref="P2356">_xlfn.IFS(orders[[#This Row],[Quantity]]&lt;=5,"1 to 5",orders[[#This Row],[Quantity]]&lt;=10,"6 to 10",orders[[#This Row],[Quantity]]&lt;=16,"11 to 16",orders[[#This Row],[Quantity]]&gt;16,"Above 16")</f>
        <v>6 to 10</v>
      </c>
    </row>
    <row r="2357" spans="1:16"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c r="P2357" t="str" cm="1">
        <f t="array" ref="P2357">_xlfn.IFS(orders[[#This Row],[Quantity]]&lt;=5,"1 to 5",orders[[#This Row],[Quantity]]&lt;=10,"6 to 10",orders[[#This Row],[Quantity]]&lt;=16,"11 to 16",orders[[#This Row],[Quantity]]&gt;16,"Above 16")</f>
        <v>1 to 5</v>
      </c>
    </row>
    <row r="2358" spans="1:16"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c r="P2358" t="str" cm="1">
        <f t="array" ref="P2358">_xlfn.IFS(orders[[#This Row],[Quantity]]&lt;=5,"1 to 5",orders[[#This Row],[Quantity]]&lt;=10,"6 to 10",orders[[#This Row],[Quantity]]&lt;=16,"11 to 16",orders[[#This Row],[Quantity]]&gt;16,"Above 16")</f>
        <v>1 to 5</v>
      </c>
    </row>
    <row r="2359" spans="1:16"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c r="P2359" t="str" cm="1">
        <f t="array" ref="P2359">_xlfn.IFS(orders[[#This Row],[Quantity]]&lt;=5,"1 to 5",orders[[#This Row],[Quantity]]&lt;=10,"6 to 10",orders[[#This Row],[Quantity]]&lt;=16,"11 to 16",orders[[#This Row],[Quantity]]&gt;16,"Above 16")</f>
        <v>6 to 10</v>
      </c>
    </row>
    <row r="2360" spans="1:16"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c r="P2360" t="str" cm="1">
        <f t="array" ref="P2360">_xlfn.IFS(orders[[#This Row],[Quantity]]&lt;=5,"1 to 5",orders[[#This Row],[Quantity]]&lt;=10,"6 to 10",orders[[#This Row],[Quantity]]&lt;=16,"11 to 16",orders[[#This Row],[Quantity]]&gt;16,"Above 16")</f>
        <v>1 to 5</v>
      </c>
    </row>
    <row r="2361" spans="1:16"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c r="P2361" t="str" cm="1">
        <f t="array" ref="P2361">_xlfn.IFS(orders[[#This Row],[Quantity]]&lt;=5,"1 to 5",orders[[#This Row],[Quantity]]&lt;=10,"6 to 10",orders[[#This Row],[Quantity]]&lt;=16,"11 to 16",orders[[#This Row],[Quantity]]&gt;16,"Above 16")</f>
        <v>1 to 5</v>
      </c>
    </row>
    <row r="2362" spans="1:16"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c r="P2362" t="str" cm="1">
        <f t="array" ref="P2362">_xlfn.IFS(orders[[#This Row],[Quantity]]&lt;=5,"1 to 5",orders[[#This Row],[Quantity]]&lt;=10,"6 to 10",orders[[#This Row],[Quantity]]&lt;=16,"11 to 16",orders[[#This Row],[Quantity]]&gt;16,"Above 16")</f>
        <v>6 to 10</v>
      </c>
    </row>
    <row r="2363" spans="1:16"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c r="P2363" t="str" cm="1">
        <f t="array" ref="P2363">_xlfn.IFS(orders[[#This Row],[Quantity]]&lt;=5,"1 to 5",orders[[#This Row],[Quantity]]&lt;=10,"6 to 10",orders[[#This Row],[Quantity]]&lt;=16,"11 to 16",orders[[#This Row],[Quantity]]&gt;16,"Above 16")</f>
        <v>6 to 10</v>
      </c>
    </row>
    <row r="2364" spans="1:16"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c r="P2364" t="str" cm="1">
        <f t="array" ref="P2364">_xlfn.IFS(orders[[#This Row],[Quantity]]&lt;=5,"1 to 5",orders[[#This Row],[Quantity]]&lt;=10,"6 to 10",orders[[#This Row],[Quantity]]&lt;=16,"11 to 16",orders[[#This Row],[Quantity]]&gt;16,"Above 16")</f>
        <v>1 to 5</v>
      </c>
    </row>
    <row r="2365" spans="1:16"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c r="P2365" t="str" cm="1">
        <f t="array" ref="P2365">_xlfn.IFS(orders[[#This Row],[Quantity]]&lt;=5,"1 to 5",orders[[#This Row],[Quantity]]&lt;=10,"6 to 10",orders[[#This Row],[Quantity]]&lt;=16,"11 to 16",orders[[#This Row],[Quantity]]&gt;16,"Above 16")</f>
        <v>1 to 5</v>
      </c>
    </row>
    <row r="2366" spans="1:16"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c r="P2366" t="str" cm="1">
        <f t="array" ref="P2366">_xlfn.IFS(orders[[#This Row],[Quantity]]&lt;=5,"1 to 5",orders[[#This Row],[Quantity]]&lt;=10,"6 to 10",orders[[#This Row],[Quantity]]&lt;=16,"11 to 16",orders[[#This Row],[Quantity]]&gt;16,"Above 16")</f>
        <v>1 to 5</v>
      </c>
    </row>
    <row r="2367" spans="1:16"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c r="P2367" t="str" cm="1">
        <f t="array" ref="P2367">_xlfn.IFS(orders[[#This Row],[Quantity]]&lt;=5,"1 to 5",orders[[#This Row],[Quantity]]&lt;=10,"6 to 10",orders[[#This Row],[Quantity]]&lt;=16,"11 to 16",orders[[#This Row],[Quantity]]&gt;16,"Above 16")</f>
        <v>1 to 5</v>
      </c>
    </row>
    <row r="2368" spans="1:16"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c r="P2368" t="str" cm="1">
        <f t="array" ref="P2368">_xlfn.IFS(orders[[#This Row],[Quantity]]&lt;=5,"1 to 5",orders[[#This Row],[Quantity]]&lt;=10,"6 to 10",orders[[#This Row],[Quantity]]&lt;=16,"11 to 16",orders[[#This Row],[Quantity]]&gt;16,"Above 16")</f>
        <v>1 to 5</v>
      </c>
    </row>
    <row r="2369" spans="1:16"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c r="P2369" t="str" cm="1">
        <f t="array" ref="P2369">_xlfn.IFS(orders[[#This Row],[Quantity]]&lt;=5,"1 to 5",orders[[#This Row],[Quantity]]&lt;=10,"6 to 10",orders[[#This Row],[Quantity]]&lt;=16,"11 to 16",orders[[#This Row],[Quantity]]&gt;16,"Above 16")</f>
        <v>6 to 10</v>
      </c>
    </row>
    <row r="2370" spans="1:16"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c r="P2370" t="str" cm="1">
        <f t="array" ref="P2370">_xlfn.IFS(orders[[#This Row],[Quantity]]&lt;=5,"1 to 5",orders[[#This Row],[Quantity]]&lt;=10,"6 to 10",orders[[#This Row],[Quantity]]&lt;=16,"11 to 16",orders[[#This Row],[Quantity]]&gt;16,"Above 16")</f>
        <v>1 to 5</v>
      </c>
    </row>
    <row r="2371" spans="1:16"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c r="P2371" t="str" cm="1">
        <f t="array" ref="P2371">_xlfn.IFS(orders[[#This Row],[Quantity]]&lt;=5,"1 to 5",orders[[#This Row],[Quantity]]&lt;=10,"6 to 10",orders[[#This Row],[Quantity]]&lt;=16,"11 to 16",orders[[#This Row],[Quantity]]&gt;16,"Above 16")</f>
        <v>1 to 5</v>
      </c>
    </row>
    <row r="2372" spans="1:16"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c r="P2372" t="str" cm="1">
        <f t="array" ref="P2372">_xlfn.IFS(orders[[#This Row],[Quantity]]&lt;=5,"1 to 5",orders[[#This Row],[Quantity]]&lt;=10,"6 to 10",orders[[#This Row],[Quantity]]&lt;=16,"11 to 16",orders[[#This Row],[Quantity]]&gt;16,"Above 16")</f>
        <v>11 to 16</v>
      </c>
    </row>
    <row r="2373" spans="1:16"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c r="P2373" t="str" cm="1">
        <f t="array" ref="P2373">_xlfn.IFS(orders[[#This Row],[Quantity]]&lt;=5,"1 to 5",orders[[#This Row],[Quantity]]&lt;=10,"6 to 10",orders[[#This Row],[Quantity]]&lt;=16,"11 to 16",orders[[#This Row],[Quantity]]&gt;16,"Above 16")</f>
        <v>1 to 5</v>
      </c>
    </row>
    <row r="2374" spans="1:16"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c r="P2374" t="str" cm="1">
        <f t="array" ref="P2374">_xlfn.IFS(orders[[#This Row],[Quantity]]&lt;=5,"1 to 5",orders[[#This Row],[Quantity]]&lt;=10,"6 to 10",orders[[#This Row],[Quantity]]&lt;=16,"11 to 16",orders[[#This Row],[Quantity]]&gt;16,"Above 16")</f>
        <v>1 to 5</v>
      </c>
    </row>
    <row r="2375" spans="1:16"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c r="P2375" t="str" cm="1">
        <f t="array" ref="P2375">_xlfn.IFS(orders[[#This Row],[Quantity]]&lt;=5,"1 to 5",orders[[#This Row],[Quantity]]&lt;=10,"6 to 10",orders[[#This Row],[Quantity]]&lt;=16,"11 to 16",orders[[#This Row],[Quantity]]&gt;16,"Above 16")</f>
        <v>1 to 5</v>
      </c>
    </row>
    <row r="2376" spans="1:16"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c r="P2376" t="str" cm="1">
        <f t="array" ref="P2376">_xlfn.IFS(orders[[#This Row],[Quantity]]&lt;=5,"1 to 5",orders[[#This Row],[Quantity]]&lt;=10,"6 to 10",orders[[#This Row],[Quantity]]&lt;=16,"11 to 16",orders[[#This Row],[Quantity]]&gt;16,"Above 16")</f>
        <v>1 to 5</v>
      </c>
    </row>
    <row r="2377" spans="1:16"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c r="P2377" t="str" cm="1">
        <f t="array" ref="P2377">_xlfn.IFS(orders[[#This Row],[Quantity]]&lt;=5,"1 to 5",orders[[#This Row],[Quantity]]&lt;=10,"6 to 10",orders[[#This Row],[Quantity]]&lt;=16,"11 to 16",orders[[#This Row],[Quantity]]&gt;16,"Above 16")</f>
        <v>1 to 5</v>
      </c>
    </row>
    <row r="2378" spans="1:16"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c r="P2378" t="str" cm="1">
        <f t="array" ref="P2378">_xlfn.IFS(orders[[#This Row],[Quantity]]&lt;=5,"1 to 5",orders[[#This Row],[Quantity]]&lt;=10,"6 to 10",orders[[#This Row],[Quantity]]&lt;=16,"11 to 16",orders[[#This Row],[Quantity]]&gt;16,"Above 16")</f>
        <v>Above 16</v>
      </c>
    </row>
    <row r="2379" spans="1:16"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c r="P2379" t="str" cm="1">
        <f t="array" ref="P2379">_xlfn.IFS(orders[[#This Row],[Quantity]]&lt;=5,"1 to 5",orders[[#This Row],[Quantity]]&lt;=10,"6 to 10",orders[[#This Row],[Quantity]]&lt;=16,"11 to 16",orders[[#This Row],[Quantity]]&gt;16,"Above 16")</f>
        <v>1 to 5</v>
      </c>
    </row>
    <row r="2380" spans="1:16"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c r="P2380" t="str" cm="1">
        <f t="array" ref="P2380">_xlfn.IFS(orders[[#This Row],[Quantity]]&lt;=5,"1 to 5",orders[[#This Row],[Quantity]]&lt;=10,"6 to 10",orders[[#This Row],[Quantity]]&lt;=16,"11 to 16",orders[[#This Row],[Quantity]]&gt;16,"Above 16")</f>
        <v>6 to 10</v>
      </c>
    </row>
    <row r="2381" spans="1:16"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c r="P2381" t="str" cm="1">
        <f t="array" ref="P2381">_xlfn.IFS(orders[[#This Row],[Quantity]]&lt;=5,"1 to 5",orders[[#This Row],[Quantity]]&lt;=10,"6 to 10",orders[[#This Row],[Quantity]]&lt;=16,"11 to 16",orders[[#This Row],[Quantity]]&gt;16,"Above 16")</f>
        <v>1 to 5</v>
      </c>
    </row>
    <row r="2382" spans="1:16"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c r="P2382" t="str" cm="1">
        <f t="array" ref="P2382">_xlfn.IFS(orders[[#This Row],[Quantity]]&lt;=5,"1 to 5",orders[[#This Row],[Quantity]]&lt;=10,"6 to 10",orders[[#This Row],[Quantity]]&lt;=16,"11 to 16",orders[[#This Row],[Quantity]]&gt;16,"Above 16")</f>
        <v>1 to 5</v>
      </c>
    </row>
    <row r="2383" spans="1:16"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c r="P2383" t="str" cm="1">
        <f t="array" ref="P2383">_xlfn.IFS(orders[[#This Row],[Quantity]]&lt;=5,"1 to 5",orders[[#This Row],[Quantity]]&lt;=10,"6 to 10",orders[[#This Row],[Quantity]]&lt;=16,"11 to 16",orders[[#This Row],[Quantity]]&gt;16,"Above 16")</f>
        <v>1 to 5</v>
      </c>
    </row>
    <row r="2384" spans="1:16"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c r="P2384" t="str" cm="1">
        <f t="array" ref="P2384">_xlfn.IFS(orders[[#This Row],[Quantity]]&lt;=5,"1 to 5",orders[[#This Row],[Quantity]]&lt;=10,"6 to 10",orders[[#This Row],[Quantity]]&lt;=16,"11 to 16",orders[[#This Row],[Quantity]]&gt;16,"Above 16")</f>
        <v>6 to 10</v>
      </c>
    </row>
    <row r="2385" spans="1:16"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c r="P2385" t="str" cm="1">
        <f t="array" ref="P2385">_xlfn.IFS(orders[[#This Row],[Quantity]]&lt;=5,"1 to 5",orders[[#This Row],[Quantity]]&lt;=10,"6 to 10",orders[[#This Row],[Quantity]]&lt;=16,"11 to 16",orders[[#This Row],[Quantity]]&gt;16,"Above 16")</f>
        <v>1 to 5</v>
      </c>
    </row>
    <row r="2386" spans="1:16"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c r="P2386" t="str" cm="1">
        <f t="array" ref="P2386">_xlfn.IFS(orders[[#This Row],[Quantity]]&lt;=5,"1 to 5",orders[[#This Row],[Quantity]]&lt;=10,"6 to 10",orders[[#This Row],[Quantity]]&lt;=16,"11 to 16",orders[[#This Row],[Quantity]]&gt;16,"Above 16")</f>
        <v>1 to 5</v>
      </c>
    </row>
    <row r="2387" spans="1:16"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c r="P2387" t="str" cm="1">
        <f t="array" ref="P2387">_xlfn.IFS(orders[[#This Row],[Quantity]]&lt;=5,"1 to 5",orders[[#This Row],[Quantity]]&lt;=10,"6 to 10",orders[[#This Row],[Quantity]]&lt;=16,"11 to 16",orders[[#This Row],[Quantity]]&gt;16,"Above 16")</f>
        <v>1 to 5</v>
      </c>
    </row>
    <row r="2388" spans="1:16"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c r="P2388" t="str" cm="1">
        <f t="array" ref="P2388">_xlfn.IFS(orders[[#This Row],[Quantity]]&lt;=5,"1 to 5",orders[[#This Row],[Quantity]]&lt;=10,"6 to 10",orders[[#This Row],[Quantity]]&lt;=16,"11 to 16",orders[[#This Row],[Quantity]]&gt;16,"Above 16")</f>
        <v>1 to 5</v>
      </c>
    </row>
    <row r="2389" spans="1:16"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c r="P2389" t="str" cm="1">
        <f t="array" ref="P2389">_xlfn.IFS(orders[[#This Row],[Quantity]]&lt;=5,"1 to 5",orders[[#This Row],[Quantity]]&lt;=10,"6 to 10",orders[[#This Row],[Quantity]]&lt;=16,"11 to 16",orders[[#This Row],[Quantity]]&gt;16,"Above 16")</f>
        <v>1 to 5</v>
      </c>
    </row>
    <row r="2390" spans="1:16"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c r="P2390" t="str" cm="1">
        <f t="array" ref="P2390">_xlfn.IFS(orders[[#This Row],[Quantity]]&lt;=5,"1 to 5",orders[[#This Row],[Quantity]]&lt;=10,"6 to 10",orders[[#This Row],[Quantity]]&lt;=16,"11 to 16",orders[[#This Row],[Quantity]]&gt;16,"Above 16")</f>
        <v>6 to 10</v>
      </c>
    </row>
    <row r="2391" spans="1:16"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c r="P2391" t="str" cm="1">
        <f t="array" ref="P2391">_xlfn.IFS(orders[[#This Row],[Quantity]]&lt;=5,"1 to 5",orders[[#This Row],[Quantity]]&lt;=10,"6 to 10",orders[[#This Row],[Quantity]]&lt;=16,"11 to 16",orders[[#This Row],[Quantity]]&gt;16,"Above 16")</f>
        <v>1 to 5</v>
      </c>
    </row>
    <row r="2392" spans="1:16"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c r="P2392" t="str" cm="1">
        <f t="array" ref="P2392">_xlfn.IFS(orders[[#This Row],[Quantity]]&lt;=5,"1 to 5",orders[[#This Row],[Quantity]]&lt;=10,"6 to 10",orders[[#This Row],[Quantity]]&lt;=16,"11 to 16",orders[[#This Row],[Quantity]]&gt;16,"Above 16")</f>
        <v>1 to 5</v>
      </c>
    </row>
    <row r="2393" spans="1:16"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c r="P2393" t="str" cm="1">
        <f t="array" ref="P2393">_xlfn.IFS(orders[[#This Row],[Quantity]]&lt;=5,"1 to 5",orders[[#This Row],[Quantity]]&lt;=10,"6 to 10",orders[[#This Row],[Quantity]]&lt;=16,"11 to 16",orders[[#This Row],[Quantity]]&gt;16,"Above 16")</f>
        <v>1 to 5</v>
      </c>
    </row>
    <row r="2394" spans="1:16"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c r="P2394" t="str" cm="1">
        <f t="array" ref="P2394">_xlfn.IFS(orders[[#This Row],[Quantity]]&lt;=5,"1 to 5",orders[[#This Row],[Quantity]]&lt;=10,"6 to 10",orders[[#This Row],[Quantity]]&lt;=16,"11 to 16",orders[[#This Row],[Quantity]]&gt;16,"Above 16")</f>
        <v>1 to 5</v>
      </c>
    </row>
    <row r="2395" spans="1:16"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c r="P2395" t="str" cm="1">
        <f t="array" ref="P2395">_xlfn.IFS(orders[[#This Row],[Quantity]]&lt;=5,"1 to 5",orders[[#This Row],[Quantity]]&lt;=10,"6 to 10",orders[[#This Row],[Quantity]]&lt;=16,"11 to 16",orders[[#This Row],[Quantity]]&gt;16,"Above 16")</f>
        <v>1 to 5</v>
      </c>
    </row>
    <row r="2396" spans="1:16"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c r="P2396" t="str" cm="1">
        <f t="array" ref="P2396">_xlfn.IFS(orders[[#This Row],[Quantity]]&lt;=5,"1 to 5",orders[[#This Row],[Quantity]]&lt;=10,"6 to 10",orders[[#This Row],[Quantity]]&lt;=16,"11 to 16",orders[[#This Row],[Quantity]]&gt;16,"Above 16")</f>
        <v>1 to 5</v>
      </c>
    </row>
    <row r="2397" spans="1:16"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c r="P2397" t="str" cm="1">
        <f t="array" ref="P2397">_xlfn.IFS(orders[[#This Row],[Quantity]]&lt;=5,"1 to 5",orders[[#This Row],[Quantity]]&lt;=10,"6 to 10",orders[[#This Row],[Quantity]]&lt;=16,"11 to 16",orders[[#This Row],[Quantity]]&gt;16,"Above 16")</f>
        <v>1 to 5</v>
      </c>
    </row>
    <row r="2398" spans="1:16"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c r="P2398" t="str" cm="1">
        <f t="array" ref="P2398">_xlfn.IFS(orders[[#This Row],[Quantity]]&lt;=5,"1 to 5",orders[[#This Row],[Quantity]]&lt;=10,"6 to 10",orders[[#This Row],[Quantity]]&lt;=16,"11 to 16",orders[[#This Row],[Quantity]]&gt;16,"Above 16")</f>
        <v>1 to 5</v>
      </c>
    </row>
    <row r="2399" spans="1:16"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c r="P2399" t="str" cm="1">
        <f t="array" ref="P2399">_xlfn.IFS(orders[[#This Row],[Quantity]]&lt;=5,"1 to 5",orders[[#This Row],[Quantity]]&lt;=10,"6 to 10",orders[[#This Row],[Quantity]]&lt;=16,"11 to 16",orders[[#This Row],[Quantity]]&gt;16,"Above 16")</f>
        <v>1 to 5</v>
      </c>
    </row>
    <row r="2400" spans="1:16"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c r="P2400" t="str" cm="1">
        <f t="array" ref="P2400">_xlfn.IFS(orders[[#This Row],[Quantity]]&lt;=5,"1 to 5",orders[[#This Row],[Quantity]]&lt;=10,"6 to 10",orders[[#This Row],[Quantity]]&lt;=16,"11 to 16",orders[[#This Row],[Quantity]]&gt;16,"Above 16")</f>
        <v>1 to 5</v>
      </c>
    </row>
    <row r="2401" spans="1:16"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c r="P2401" t="str" cm="1">
        <f t="array" ref="P2401">_xlfn.IFS(orders[[#This Row],[Quantity]]&lt;=5,"1 to 5",orders[[#This Row],[Quantity]]&lt;=10,"6 to 10",orders[[#This Row],[Quantity]]&lt;=16,"11 to 16",orders[[#This Row],[Quantity]]&gt;16,"Above 16")</f>
        <v>1 to 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2</vt:lpstr>
      <vt:lpstr>Pivots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AKSAYALAXME UMAPATHY</cp:lastModifiedBy>
  <dcterms:created xsi:type="dcterms:W3CDTF">2025-06-13T02:42:26Z</dcterms:created>
  <dcterms:modified xsi:type="dcterms:W3CDTF">2026-09-06T15:06:48Z</dcterms:modified>
</cp:coreProperties>
</file>